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76"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ujj42569\Desktop\"/>
    </mc:Choice>
  </mc:AlternateContent>
  <xr:revisionPtr revIDLastSave="0" documentId="13_ncr:1_{C8378958-A6B0-4F41-8F11-3AA2DEF645CC}" xr6:coauthVersionLast="36" xr6:coauthVersionMax="36" xr10:uidLastSave="{00000000-0000-0000-0000-000000000000}"/>
  <bookViews>
    <workbookView xWindow="0" yWindow="0" windowWidth="20490" windowHeight="7065" activeTab="9" xr2:uid="{00000000-000D-0000-FFFF-FFFF00000000}"/>
  </bookViews>
  <sheets>
    <sheet name="RDBMailOutlook (2)" sheetId="8" r:id="rId1"/>
    <sheet name="Sheet3" sheetId="12" r:id="rId2"/>
    <sheet name="Program Data" sheetId="4" state="veryHidden" r:id="rId3"/>
    <sheet name="Sheet1" sheetId="5" state="veryHidden" r:id="rId4"/>
    <sheet name="Sheet2" sheetId="6" state="veryHidden" r:id="rId5"/>
    <sheet name="Sheet4" sheetId="13" r:id="rId6"/>
    <sheet name="Sheet5" sheetId="14" r:id="rId7"/>
    <sheet name="Sheet6" sheetId="15" r:id="rId8"/>
    <sheet name="Sheet7" sheetId="16" r:id="rId9"/>
    <sheet name="Sheet8" sheetId="17" r:id="rId10"/>
  </sheets>
  <functionGroups builtInGroupCount="19"/>
  <definedNames>
    <definedName name="_xlnm._FilterDatabase" localSheetId="0" hidden="1">'RDBMailOutlook (2)'!$R$6:$S$448</definedName>
    <definedName name="_xlnm._FilterDatabase" localSheetId="1" hidden="1">Sheet3!$A$2:$O$477</definedName>
    <definedName name="_xlnm._FilterDatabase" localSheetId="6" hidden="1">Sheet5!$A$1:$H$571</definedName>
    <definedName name="_xlnm._FilterDatabase" localSheetId="7" hidden="1">Sheet6!$L$1:$N$82</definedName>
  </definedNames>
  <calcPr calcId="191029"/>
</workbook>
</file>

<file path=xl/calcChain.xml><?xml version="1.0" encoding="utf-8"?>
<calcChain xmlns="http://schemas.openxmlformats.org/spreadsheetml/2006/main">
  <c r="K333" i="12" l="1"/>
  <c r="K429" i="12"/>
  <c r="K445" i="12"/>
  <c r="H3" i="14"/>
  <c r="K259" i="12" s="1"/>
  <c r="H4" i="14"/>
  <c r="K244" i="12" s="1"/>
  <c r="H5" i="14"/>
  <c r="K247" i="12" s="1"/>
  <c r="H6" i="14"/>
  <c r="K255" i="12" s="1"/>
  <c r="H7" i="14"/>
  <c r="K233" i="12" s="1"/>
  <c r="H8" i="14"/>
  <c r="K280" i="12" s="1"/>
  <c r="H9" i="14"/>
  <c r="K274" i="12" s="1"/>
  <c r="H10" i="14"/>
  <c r="K246" i="12" s="1"/>
  <c r="H11" i="14"/>
  <c r="K235" i="12" s="1"/>
  <c r="H12" i="14"/>
  <c r="K286" i="12" s="1"/>
  <c r="H13" i="14"/>
  <c r="K252" i="12" s="1"/>
  <c r="H14" i="14"/>
  <c r="K281" i="12" s="1"/>
  <c r="H15" i="14"/>
  <c r="K230" i="12" s="1"/>
  <c r="H16" i="14"/>
  <c r="K234" i="12" s="1"/>
  <c r="H17" i="14"/>
  <c r="K232" i="12" s="1"/>
  <c r="H18" i="14"/>
  <c r="K272" i="12" s="1"/>
  <c r="H19" i="14"/>
  <c r="K236" i="12" s="1"/>
  <c r="H20" i="14"/>
  <c r="K239" i="12" s="1"/>
  <c r="H21" i="14"/>
  <c r="K279" i="12" s="1"/>
  <c r="H22" i="14"/>
  <c r="K291" i="12" s="1"/>
  <c r="H23" i="14"/>
  <c r="K248" i="12" s="1"/>
  <c r="H24" i="14"/>
  <c r="K253" i="12" s="1"/>
  <c r="H25" i="14"/>
  <c r="K237" i="12" s="1"/>
  <c r="H26" i="14"/>
  <c r="K231" i="12" s="1"/>
  <c r="H27" i="14"/>
  <c r="K444" i="12" s="1"/>
  <c r="H28" i="14"/>
  <c r="K245" i="12" s="1"/>
  <c r="H29" i="14"/>
  <c r="K241" i="12" s="1"/>
  <c r="H30" i="14"/>
  <c r="K243" i="12" s="1"/>
  <c r="H31" i="14"/>
  <c r="K240" i="12" s="1"/>
  <c r="H32" i="14"/>
  <c r="K242" i="12" s="1"/>
  <c r="H33" i="14"/>
  <c r="K238" i="12" s="1"/>
  <c r="H34" i="14"/>
  <c r="K254" i="12" s="1"/>
  <c r="H35" i="14"/>
  <c r="K313" i="12" s="1"/>
  <c r="H36" i="14"/>
  <c r="K303" i="12" s="1"/>
  <c r="H37" i="14"/>
  <c r="K312" i="12" s="1"/>
  <c r="H38" i="14"/>
  <c r="K329" i="12" s="1"/>
  <c r="H39" i="14"/>
  <c r="K304" i="12" s="1"/>
  <c r="H40" i="14"/>
  <c r="K305" i="12" s="1"/>
  <c r="H41" i="14"/>
  <c r="K296" i="12" s="1"/>
  <c r="H42" i="14"/>
  <c r="K306" i="12" s="1"/>
  <c r="H43" i="14"/>
  <c r="K307" i="12" s="1"/>
  <c r="H44" i="14"/>
  <c r="K295" i="12" s="1"/>
  <c r="H45" i="14"/>
  <c r="K327" i="12" s="1"/>
  <c r="H46" i="14"/>
  <c r="K349" i="12" s="1"/>
  <c r="H47" i="14"/>
  <c r="K323" i="12" s="1"/>
  <c r="H48" i="14"/>
  <c r="K308" i="12" s="1"/>
  <c r="H49" i="14"/>
  <c r="K309" i="12" s="1"/>
  <c r="H50" i="14"/>
  <c r="K322" i="12" s="1"/>
  <c r="H51" i="14"/>
  <c r="K310" i="12" s="1"/>
  <c r="H52" i="14"/>
  <c r="K311" i="12" s="1"/>
  <c r="H53" i="14"/>
  <c r="K347" i="12" s="1"/>
  <c r="H54" i="14"/>
  <c r="K348" i="12" s="1"/>
  <c r="H55" i="14"/>
  <c r="K314" i="12" s="1"/>
  <c r="H56" i="14"/>
  <c r="K328" i="12" s="1"/>
  <c r="H57" i="14"/>
  <c r="K346" i="12" s="1"/>
  <c r="H58" i="14"/>
  <c r="K350" i="12" s="1"/>
  <c r="H59" i="14"/>
  <c r="K351" i="12" s="1"/>
  <c r="H60" i="14"/>
  <c r="K352" i="12" s="1"/>
  <c r="H61" i="14"/>
  <c r="K353" i="12" s="1"/>
  <c r="H62" i="14"/>
  <c r="K354" i="12" s="1"/>
  <c r="H63" i="14"/>
  <c r="K355" i="12" s="1"/>
  <c r="H64" i="14"/>
  <c r="K268" i="12" s="1"/>
  <c r="H65" i="14"/>
  <c r="K282" i="12" s="1"/>
  <c r="H66" i="14"/>
  <c r="K249" i="12" s="1"/>
  <c r="H67" i="14"/>
  <c r="K275" i="12" s="1"/>
  <c r="H68" i="14"/>
  <c r="K301" i="12" s="1"/>
  <c r="H69" i="14"/>
  <c r="K256" i="12" s="1"/>
  <c r="H70" i="14"/>
  <c r="K270" i="12" s="1"/>
  <c r="H71" i="14"/>
  <c r="K265" i="12" s="1"/>
  <c r="H72" i="14"/>
  <c r="K277" i="12" s="1"/>
  <c r="H73" i="14"/>
  <c r="K276" i="12" s="1"/>
  <c r="H74" i="14"/>
  <c r="K257" i="12" s="1"/>
  <c r="H75" i="14"/>
  <c r="K264" i="12" s="1"/>
  <c r="H76" i="14"/>
  <c r="K292" i="12" s="1"/>
  <c r="H77" i="14"/>
  <c r="K250" i="12" s="1"/>
  <c r="H78" i="14"/>
  <c r="K251" i="12" s="1"/>
  <c r="H79" i="14"/>
  <c r="K278" i="12" s="1"/>
  <c r="H80" i="14"/>
  <c r="K262" i="12" s="1"/>
  <c r="H81" i="14"/>
  <c r="K290" i="12" s="1"/>
  <c r="H82" i="14"/>
  <c r="K302" i="12" s="1"/>
  <c r="H83" i="14"/>
  <c r="K261" i="12" s="1"/>
  <c r="H84" i="14"/>
  <c r="K315" i="12" s="1"/>
  <c r="H85" i="14"/>
  <c r="K258" i="12" s="1"/>
  <c r="H86" i="14"/>
  <c r="K342" i="12" s="1"/>
  <c r="H87" i="14"/>
  <c r="K299" i="12" s="1"/>
  <c r="H88" i="14"/>
  <c r="K316" i="12" s="1"/>
  <c r="H89" i="14"/>
  <c r="K293" i="12" s="1"/>
  <c r="H90" i="14"/>
  <c r="K289" i="12" s="1"/>
  <c r="H91" i="14"/>
  <c r="K294" i="12" s="1"/>
  <c r="H92" i="14"/>
  <c r="K263" i="12" s="1"/>
  <c r="H93" i="14"/>
  <c r="K317" i="12" s="1"/>
  <c r="H94" i="14"/>
  <c r="K269" i="12" s="1"/>
  <c r="H95" i="14"/>
  <c r="K287" i="12" s="1"/>
  <c r="H96" i="14"/>
  <c r="K288" i="12" s="1"/>
  <c r="H97" i="14"/>
  <c r="K260" i="12" s="1"/>
  <c r="H98" i="14"/>
  <c r="K324" i="12" s="1"/>
  <c r="H99" i="14"/>
  <c r="K300" i="12" s="1"/>
  <c r="H100" i="14"/>
  <c r="K334" i="12" s="1"/>
  <c r="H101" i="14"/>
  <c r="K335" i="12" s="1"/>
  <c r="H102" i="14"/>
  <c r="K320" i="12" s="1"/>
  <c r="H103" i="14"/>
  <c r="K345" i="12" s="1"/>
  <c r="H104" i="14"/>
  <c r="K266" i="12" s="1"/>
  <c r="H105" i="14"/>
  <c r="K331" i="12" s="1"/>
  <c r="H106" i="14"/>
  <c r="K283" i="12" s="1"/>
  <c r="H107" i="14"/>
  <c r="K285" i="12" s="1"/>
  <c r="H108" i="14"/>
  <c r="K284" i="12" s="1"/>
  <c r="H109" i="14"/>
  <c r="K325" i="12" s="1"/>
  <c r="H110" i="14"/>
  <c r="K271" i="12" s="1"/>
  <c r="H111" i="14"/>
  <c r="K326" i="12" s="1"/>
  <c r="H112" i="14"/>
  <c r="K319" i="12" s="1"/>
  <c r="H113" i="14"/>
  <c r="K330" i="12" s="1"/>
  <c r="H114" i="14"/>
  <c r="K297" i="12" s="1"/>
  <c r="H115" i="14"/>
  <c r="K343" i="12" s="1"/>
  <c r="H116" i="14"/>
  <c r="K267" i="12" s="1"/>
  <c r="H117" i="14"/>
  <c r="K321" i="12" s="1"/>
  <c r="H118" i="14"/>
  <c r="K332" i="12" s="1"/>
  <c r="H119" i="14"/>
  <c r="K344" i="12" s="1"/>
  <c r="H120" i="14"/>
  <c r="K318" i="12" s="1"/>
  <c r="H121" i="14"/>
  <c r="K298" i="12" s="1"/>
  <c r="H122" i="14"/>
  <c r="K336" i="12" s="1"/>
  <c r="H123" i="14"/>
  <c r="K337" i="12" s="1"/>
  <c r="H124" i="14"/>
  <c r="K338" i="12" s="1"/>
  <c r="H125" i="14"/>
  <c r="K339" i="12" s="1"/>
  <c r="H126" i="14"/>
  <c r="K340" i="12" s="1"/>
  <c r="H127" i="14"/>
  <c r="K341" i="12" s="1"/>
  <c r="H128" i="14"/>
  <c r="K447" i="12" s="1"/>
  <c r="H129" i="14"/>
  <c r="K448" i="12" s="1"/>
  <c r="H130" i="14"/>
  <c r="K449" i="12" s="1"/>
  <c r="H131" i="14"/>
  <c r="K356" i="12" s="1"/>
  <c r="H132" i="14"/>
  <c r="K357" i="12" s="1"/>
  <c r="H133" i="14"/>
  <c r="K358" i="12" s="1"/>
  <c r="H134" i="14"/>
  <c r="K450" i="12" s="1"/>
  <c r="H135" i="14"/>
  <c r="K359" i="12" s="1"/>
  <c r="H136" i="14"/>
  <c r="K360" i="12" s="1"/>
  <c r="H137" i="14"/>
  <c r="K361" i="12" s="1"/>
  <c r="H138" i="14"/>
  <c r="K362" i="12" s="1"/>
  <c r="H139" i="14"/>
  <c r="K363" i="12" s="1"/>
  <c r="H140" i="14"/>
  <c r="K451" i="12" s="1"/>
  <c r="H141" i="14"/>
  <c r="K364" i="12" s="1"/>
  <c r="H142" i="14"/>
  <c r="K452" i="12" s="1"/>
  <c r="H143" i="14"/>
  <c r="K365" i="12" s="1"/>
  <c r="H144" i="14"/>
  <c r="K366" i="12" s="1"/>
  <c r="H145" i="14"/>
  <c r="K367" i="12" s="1"/>
  <c r="H146" i="14"/>
  <c r="K368" i="12" s="1"/>
  <c r="H147" i="14"/>
  <c r="K369" i="12" s="1"/>
  <c r="H148" i="14"/>
  <c r="K453" i="12" s="1"/>
  <c r="H149" i="14"/>
  <c r="K454" i="12" s="1"/>
  <c r="H150" i="14"/>
  <c r="K370" i="12" s="1"/>
  <c r="H151" i="14"/>
  <c r="K371" i="12" s="1"/>
  <c r="H152" i="14"/>
  <c r="K372" i="12" s="1"/>
  <c r="H153" i="14"/>
  <c r="K373" i="12" s="1"/>
  <c r="H154" i="14"/>
  <c r="K374" i="12" s="1"/>
  <c r="H155" i="14"/>
  <c r="K375" i="12" s="1"/>
  <c r="H156" i="14"/>
  <c r="K376" i="12" s="1"/>
  <c r="H157" i="14"/>
  <c r="K377" i="12" s="1"/>
  <c r="H158" i="14"/>
  <c r="K378" i="12" s="1"/>
  <c r="H159" i="14"/>
  <c r="K455" i="12" s="1"/>
  <c r="H160" i="14"/>
  <c r="K379" i="12" s="1"/>
  <c r="H161" i="14"/>
  <c r="K380" i="12" s="1"/>
  <c r="H162" i="14"/>
  <c r="K381" i="12" s="1"/>
  <c r="H163" i="14"/>
  <c r="K382" i="12" s="1"/>
  <c r="H164" i="14"/>
  <c r="K456" i="12" s="1"/>
  <c r="H165" i="14"/>
  <c r="K383" i="12" s="1"/>
  <c r="H166" i="14"/>
  <c r="K384" i="12" s="1"/>
  <c r="H167" i="14"/>
  <c r="K385" i="12" s="1"/>
  <c r="H168" i="14"/>
  <c r="K457" i="12" s="1"/>
  <c r="H169" i="14"/>
  <c r="K386" i="12" s="1"/>
  <c r="H170" i="14"/>
  <c r="K458" i="12" s="1"/>
  <c r="H171" i="14"/>
  <c r="K387" i="12" s="1"/>
  <c r="H172" i="14"/>
  <c r="K459" i="12" s="1"/>
  <c r="H173" i="14"/>
  <c r="K460" i="12" s="1"/>
  <c r="H174" i="14"/>
  <c r="K388" i="12" s="1"/>
  <c r="H175" i="14"/>
  <c r="K389" i="12" s="1"/>
  <c r="H176" i="14"/>
  <c r="K461" i="12" s="1"/>
  <c r="H177" i="14"/>
  <c r="K390" i="12" s="1"/>
  <c r="H178" i="14"/>
  <c r="K391" i="12" s="1"/>
  <c r="H179" i="14"/>
  <c r="K392" i="12" s="1"/>
  <c r="H180" i="14"/>
  <c r="K393" i="12" s="1"/>
  <c r="H181" i="14"/>
  <c r="K394" i="12" s="1"/>
  <c r="H182" i="14"/>
  <c r="K462" i="12" s="1"/>
  <c r="H183" i="14"/>
  <c r="K395" i="12" s="1"/>
  <c r="H184" i="14"/>
  <c r="K396" i="12" s="1"/>
  <c r="H185" i="14"/>
  <c r="K397" i="12" s="1"/>
  <c r="H186" i="14"/>
  <c r="K398" i="12" s="1"/>
  <c r="H187" i="14"/>
  <c r="K399" i="12" s="1"/>
  <c r="H188" i="14"/>
  <c r="K400" i="12" s="1"/>
  <c r="H189" i="14"/>
  <c r="K401" i="12" s="1"/>
  <c r="H190" i="14"/>
  <c r="K402" i="12" s="1"/>
  <c r="H191" i="14"/>
  <c r="K403" i="12" s="1"/>
  <c r="H192" i="14"/>
  <c r="K404" i="12" s="1"/>
  <c r="H193" i="14"/>
  <c r="K405" i="12" s="1"/>
  <c r="H194" i="14"/>
  <c r="K406" i="12" s="1"/>
  <c r="H195" i="14"/>
  <c r="K407" i="12" s="1"/>
  <c r="H196" i="14"/>
  <c r="K408" i="12" s="1"/>
  <c r="H197" i="14"/>
  <c r="K409" i="12" s="1"/>
  <c r="H198" i="14"/>
  <c r="K410" i="12" s="1"/>
  <c r="H199" i="14"/>
  <c r="K411" i="12" s="1"/>
  <c r="H200" i="14"/>
  <c r="K463" i="12" s="1"/>
  <c r="H201" i="14"/>
  <c r="K412" i="12" s="1"/>
  <c r="H202" i="14"/>
  <c r="K413" i="12" s="1"/>
  <c r="H203" i="14"/>
  <c r="K464" i="12" s="1"/>
  <c r="H204" i="14"/>
  <c r="K414" i="12" s="1"/>
  <c r="H205" i="14"/>
  <c r="K415" i="12" s="1"/>
  <c r="H206" i="14"/>
  <c r="K416" i="12" s="1"/>
  <c r="H207" i="14"/>
  <c r="K465" i="12" s="1"/>
  <c r="H208" i="14"/>
  <c r="K417" i="12" s="1"/>
  <c r="H209" i="14"/>
  <c r="K418" i="12" s="1"/>
  <c r="H210" i="14"/>
  <c r="K466" i="12" s="1"/>
  <c r="H211" i="14"/>
  <c r="K467" i="12" s="1"/>
  <c r="H212" i="14"/>
  <c r="K419" i="12" s="1"/>
  <c r="H213" i="14"/>
  <c r="K468" i="12" s="1"/>
  <c r="H214" i="14"/>
  <c r="K469" i="12" s="1"/>
  <c r="H215" i="14"/>
  <c r="K470" i="12" s="1"/>
  <c r="H216" i="14"/>
  <c r="K471" i="12" s="1"/>
  <c r="H217" i="14"/>
  <c r="K472" i="12" s="1"/>
  <c r="H218" i="14"/>
  <c r="K473" i="12" s="1"/>
  <c r="H219" i="14"/>
  <c r="K474" i="12" s="1"/>
  <c r="H220" i="14"/>
  <c r="K475" i="12" s="1"/>
  <c r="H221" i="14"/>
  <c r="K476" i="12" s="1"/>
  <c r="H222" i="14"/>
  <c r="K127" i="12" s="1"/>
  <c r="H223" i="14"/>
  <c r="K128" i="12" s="1"/>
  <c r="H224" i="14"/>
  <c r="K430" i="12" s="1"/>
  <c r="H225" i="14"/>
  <c r="K431" i="12" s="1"/>
  <c r="H226" i="14"/>
  <c r="K129" i="12" s="1"/>
  <c r="H227" i="14"/>
  <c r="K130" i="12" s="1"/>
  <c r="H228" i="14"/>
  <c r="K432" i="12" s="1"/>
  <c r="H229" i="14"/>
  <c r="K433" i="12" s="1"/>
  <c r="H230" i="14"/>
  <c r="K131" i="12" s="1"/>
  <c r="H231" i="14"/>
  <c r="K132" i="12" s="1"/>
  <c r="H232" i="14"/>
  <c r="K133" i="12" s="1"/>
  <c r="H233" i="14"/>
  <c r="K134" i="12" s="1"/>
  <c r="H234" i="14"/>
  <c r="K135" i="12" s="1"/>
  <c r="H235" i="14"/>
  <c r="K136" i="12" s="1"/>
  <c r="H236" i="14"/>
  <c r="K137" i="12" s="1"/>
  <c r="H237" i="14"/>
  <c r="K138" i="12" s="1"/>
  <c r="H238" i="14"/>
  <c r="K139" i="12" s="1"/>
  <c r="H239" i="14"/>
  <c r="K140" i="12" s="1"/>
  <c r="H240" i="14"/>
  <c r="K434" i="12" s="1"/>
  <c r="H241" i="14"/>
  <c r="K141" i="12" s="1"/>
  <c r="H242" i="14"/>
  <c r="K435" i="12" s="1"/>
  <c r="H243" i="14"/>
  <c r="K142" i="12" s="1"/>
  <c r="H244" i="14"/>
  <c r="K143" i="12" s="1"/>
  <c r="H245" i="14"/>
  <c r="K144" i="12" s="1"/>
  <c r="H246" i="14"/>
  <c r="K145" i="12" s="1"/>
  <c r="H247" i="14"/>
  <c r="K146" i="12" s="1"/>
  <c r="H248" i="14"/>
  <c r="K147" i="12" s="1"/>
  <c r="H249" i="14"/>
  <c r="K148" i="12" s="1"/>
  <c r="H250" i="14"/>
  <c r="K149" i="12" s="1"/>
  <c r="H251" i="14"/>
  <c r="K150" i="12" s="1"/>
  <c r="H252" i="14"/>
  <c r="K151" i="12" s="1"/>
  <c r="H253" i="14"/>
  <c r="K436" i="12" s="1"/>
  <c r="H254" i="14"/>
  <c r="K152" i="12" s="1"/>
  <c r="H255" i="14"/>
  <c r="K153" i="12" s="1"/>
  <c r="H256" i="14"/>
  <c r="K154" i="12" s="1"/>
  <c r="H257" i="14"/>
  <c r="K155" i="12" s="1"/>
  <c r="H258" i="14"/>
  <c r="K156" i="12" s="1"/>
  <c r="H259" i="14"/>
  <c r="K157" i="12" s="1"/>
  <c r="H260" i="14"/>
  <c r="K158" i="12" s="1"/>
  <c r="H261" i="14"/>
  <c r="K159" i="12" s="1"/>
  <c r="H262" i="14"/>
  <c r="K160" i="12" s="1"/>
  <c r="H263" i="14"/>
  <c r="K161" i="12" s="1"/>
  <c r="H264" i="14"/>
  <c r="K162" i="12" s="1"/>
  <c r="H265" i="14"/>
  <c r="K163" i="12" s="1"/>
  <c r="H266" i="14"/>
  <c r="K164" i="12" s="1"/>
  <c r="H267" i="14"/>
  <c r="K165" i="12" s="1"/>
  <c r="H268" i="14"/>
  <c r="K166" i="12" s="1"/>
  <c r="H269" i="14"/>
  <c r="K167" i="12" s="1"/>
  <c r="H270" i="14"/>
  <c r="K168" i="12" s="1"/>
  <c r="H271" i="14"/>
  <c r="K169" i="12" s="1"/>
  <c r="H272" i="14"/>
  <c r="K170" i="12" s="1"/>
  <c r="H273" i="14"/>
  <c r="K437" i="12" s="1"/>
  <c r="H274" i="14"/>
  <c r="K171" i="12" s="1"/>
  <c r="H275" i="14"/>
  <c r="K172" i="12" s="1"/>
  <c r="H276" i="14"/>
  <c r="K173" i="12" s="1"/>
  <c r="H277" i="14"/>
  <c r="K174" i="12" s="1"/>
  <c r="H278" i="14"/>
  <c r="K175" i="12" s="1"/>
  <c r="H279" i="14"/>
  <c r="K176" i="12" s="1"/>
  <c r="H280" i="14"/>
  <c r="K177" i="12" s="1"/>
  <c r="H281" i="14"/>
  <c r="K178" i="12" s="1"/>
  <c r="H282" i="14"/>
  <c r="K438" i="12" s="1"/>
  <c r="H283" i="14"/>
  <c r="K179" i="12" s="1"/>
  <c r="H284" i="14"/>
  <c r="K180" i="12" s="1"/>
  <c r="H285" i="14"/>
  <c r="K181" i="12" s="1"/>
  <c r="H286" i="14"/>
  <c r="K182" i="12" s="1"/>
  <c r="H287" i="14"/>
  <c r="K183" i="12" s="1"/>
  <c r="H288" i="14"/>
  <c r="K184" i="12" s="1"/>
  <c r="H289" i="14"/>
  <c r="K185" i="12" s="1"/>
  <c r="H290" i="14"/>
  <c r="K186" i="12" s="1"/>
  <c r="H291" i="14"/>
  <c r="K187" i="12" s="1"/>
  <c r="H292" i="14"/>
  <c r="K439" i="12" s="1"/>
  <c r="H293" i="14"/>
  <c r="K440" i="12" s="1"/>
  <c r="H294" i="14"/>
  <c r="K188" i="12" s="1"/>
  <c r="H295" i="14"/>
  <c r="K189" i="12" s="1"/>
  <c r="H296" i="14"/>
  <c r="K190" i="12" s="1"/>
  <c r="H297" i="14"/>
  <c r="K191" i="12" s="1"/>
  <c r="H298" i="14"/>
  <c r="K192" i="12" s="1"/>
  <c r="H299" i="14"/>
  <c r="K193" i="12" s="1"/>
  <c r="H300" i="14"/>
  <c r="K194" i="12" s="1"/>
  <c r="H301" i="14"/>
  <c r="K195" i="12" s="1"/>
  <c r="H302" i="14"/>
  <c r="K196" i="12" s="1"/>
  <c r="H303" i="14"/>
  <c r="K197" i="12" s="1"/>
  <c r="H304" i="14"/>
  <c r="K198" i="12" s="1"/>
  <c r="H305" i="14"/>
  <c r="K199" i="12" s="1"/>
  <c r="H306" i="14"/>
  <c r="K200" i="12" s="1"/>
  <c r="H307" i="14"/>
  <c r="K201" i="12" s="1"/>
  <c r="H308" i="14"/>
  <c r="K202" i="12" s="1"/>
  <c r="H309" i="14"/>
  <c r="K203" i="12" s="1"/>
  <c r="H310" i="14"/>
  <c r="K204" i="12" s="1"/>
  <c r="H311" i="14"/>
  <c r="K205" i="12" s="1"/>
  <c r="H312" i="14"/>
  <c r="K206" i="12" s="1"/>
  <c r="H313" i="14"/>
  <c r="K207" i="12" s="1"/>
  <c r="H314" i="14"/>
  <c r="K208" i="12" s="1"/>
  <c r="H315" i="14"/>
  <c r="K209" i="12" s="1"/>
  <c r="H316" i="14"/>
  <c r="K210" i="12" s="1"/>
  <c r="H317" i="14"/>
  <c r="K211" i="12" s="1"/>
  <c r="H318" i="14"/>
  <c r="K212" i="12" s="1"/>
  <c r="H319" i="14"/>
  <c r="K213" i="12" s="1"/>
  <c r="H320" i="14"/>
  <c r="K214" i="12" s="1"/>
  <c r="H321" i="14"/>
  <c r="K215" i="12" s="1"/>
  <c r="H322" i="14"/>
  <c r="K216" i="12" s="1"/>
  <c r="H323" i="14"/>
  <c r="K217" i="12" s="1"/>
  <c r="H324" i="14"/>
  <c r="K218" i="12" s="1"/>
  <c r="H325" i="14"/>
  <c r="K219" i="12" s="1"/>
  <c r="H326" i="14"/>
  <c r="K220" i="12" s="1"/>
  <c r="H327" i="14"/>
  <c r="K221" i="12" s="1"/>
  <c r="H328" i="14"/>
  <c r="K222" i="12" s="1"/>
  <c r="H329" i="14"/>
  <c r="K223" i="12" s="1"/>
  <c r="H330" i="14"/>
  <c r="K224" i="12" s="1"/>
  <c r="H331" i="14"/>
  <c r="K225" i="12" s="1"/>
  <c r="H332" i="14"/>
  <c r="K226" i="12" s="1"/>
  <c r="H333" i="14"/>
  <c r="K227" i="12" s="1"/>
  <c r="H334" i="14"/>
  <c r="K228" i="12" s="1"/>
  <c r="H335" i="14"/>
  <c r="K229" i="12" s="1"/>
  <c r="H336" i="14"/>
  <c r="K441" i="12" s="1"/>
  <c r="H337" i="14"/>
  <c r="K442" i="12" s="1"/>
  <c r="H338" i="14"/>
  <c r="K477" i="12" s="1"/>
  <c r="H339" i="14"/>
  <c r="K443" i="12" s="1"/>
  <c r="H340" i="14"/>
  <c r="H341" i="14"/>
  <c r="K6" i="12" s="1"/>
  <c r="H342" i="14"/>
  <c r="K7" i="12" s="1"/>
  <c r="H343" i="14"/>
  <c r="K8" i="12" s="1"/>
  <c r="H344" i="14"/>
  <c r="K9" i="12" s="1"/>
  <c r="H345" i="14"/>
  <c r="K10" i="12" s="1"/>
  <c r="H346" i="14"/>
  <c r="K11" i="12" s="1"/>
  <c r="H347" i="14"/>
  <c r="K12" i="12" s="1"/>
  <c r="H348" i="14"/>
  <c r="K13" i="12" s="1"/>
  <c r="H349" i="14"/>
  <c r="K14" i="12" s="1"/>
  <c r="H350" i="14"/>
  <c r="K15" i="12" s="1"/>
  <c r="H351" i="14"/>
  <c r="K16" i="12" s="1"/>
  <c r="H352" i="14"/>
  <c r="K17" i="12" s="1"/>
  <c r="H353" i="14"/>
  <c r="K18" i="12" s="1"/>
  <c r="H354" i="14"/>
  <c r="K19" i="12" s="1"/>
  <c r="H355" i="14"/>
  <c r="K20" i="12" s="1"/>
  <c r="H356" i="14"/>
  <c r="K21" i="12" s="1"/>
  <c r="H357" i="14"/>
  <c r="K22" i="12" s="1"/>
  <c r="H358" i="14"/>
  <c r="K23" i="12" s="1"/>
  <c r="H359" i="14"/>
  <c r="K24" i="12" s="1"/>
  <c r="H360" i="14"/>
  <c r="K25" i="12" s="1"/>
  <c r="H361" i="14"/>
  <c r="K26" i="12" s="1"/>
  <c r="H362" i="14"/>
  <c r="K420" i="12" s="1"/>
  <c r="H363" i="14"/>
  <c r="K27" i="12" s="1"/>
  <c r="H364" i="14"/>
  <c r="K28" i="12" s="1"/>
  <c r="H365" i="14"/>
  <c r="K29" i="12" s="1"/>
  <c r="H366" i="14"/>
  <c r="K30" i="12" s="1"/>
  <c r="H367" i="14"/>
  <c r="K31" i="12" s="1"/>
  <c r="H368" i="14"/>
  <c r="K32" i="12" s="1"/>
  <c r="H369" i="14"/>
  <c r="K33" i="12" s="1"/>
  <c r="H370" i="14"/>
  <c r="K34" i="12" s="1"/>
  <c r="H371" i="14"/>
  <c r="K35" i="12" s="1"/>
  <c r="H372" i="14"/>
  <c r="K36" i="12" s="1"/>
  <c r="H373" i="14"/>
  <c r="K37" i="12" s="1"/>
  <c r="H374" i="14"/>
  <c r="K38" i="12" s="1"/>
  <c r="H375" i="14"/>
  <c r="K39" i="12" s="1"/>
  <c r="H376" i="14"/>
  <c r="K40" i="12" s="1"/>
  <c r="H377" i="14"/>
  <c r="K41" i="12" s="1"/>
  <c r="H378" i="14"/>
  <c r="K42" i="12" s="1"/>
  <c r="H379" i="14"/>
  <c r="K43" i="12" s="1"/>
  <c r="H380" i="14"/>
  <c r="K44" i="12" s="1"/>
  <c r="H381" i="14"/>
  <c r="K45" i="12" s="1"/>
  <c r="H382" i="14"/>
  <c r="K46" i="12" s="1"/>
  <c r="H383" i="14"/>
  <c r="K47" i="12" s="1"/>
  <c r="H384" i="14"/>
  <c r="K48" i="12" s="1"/>
  <c r="H385" i="14"/>
  <c r="K49" i="12" s="1"/>
  <c r="H386" i="14"/>
  <c r="K50" i="12" s="1"/>
  <c r="H387" i="14"/>
  <c r="K51" i="12" s="1"/>
  <c r="H388" i="14"/>
  <c r="K421" i="12" s="1"/>
  <c r="H389" i="14"/>
  <c r="K52" i="12" s="1"/>
  <c r="H390" i="14"/>
  <c r="K422" i="12" s="1"/>
  <c r="H391" i="14"/>
  <c r="K53" i="12" s="1"/>
  <c r="H392" i="14"/>
  <c r="K54" i="12" s="1"/>
  <c r="H393" i="14"/>
  <c r="K55" i="12" s="1"/>
  <c r="H394" i="14"/>
  <c r="K56" i="12" s="1"/>
  <c r="H395" i="14"/>
  <c r="K57" i="12" s="1"/>
  <c r="H396" i="14"/>
  <c r="K58" i="12" s="1"/>
  <c r="H397" i="14"/>
  <c r="K59" i="12" s="1"/>
  <c r="H398" i="14"/>
  <c r="K60" i="12" s="1"/>
  <c r="H399" i="14"/>
  <c r="K61" i="12" s="1"/>
  <c r="H400" i="14"/>
  <c r="K62" i="12" s="1"/>
  <c r="H401" i="14"/>
  <c r="K63" i="12" s="1"/>
  <c r="H402" i="14"/>
  <c r="K64" i="12" s="1"/>
  <c r="H403" i="14"/>
  <c r="K65" i="12" s="1"/>
  <c r="H404" i="14"/>
  <c r="K66" i="12" s="1"/>
  <c r="H405" i="14"/>
  <c r="K67" i="12" s="1"/>
  <c r="H406" i="14"/>
  <c r="K68" i="12" s="1"/>
  <c r="H407" i="14"/>
  <c r="K69" i="12" s="1"/>
  <c r="H408" i="14"/>
  <c r="K70" i="12" s="1"/>
  <c r="H409" i="14"/>
  <c r="K71" i="12" s="1"/>
  <c r="H410" i="14"/>
  <c r="K72" i="12" s="1"/>
  <c r="H411" i="14"/>
  <c r="K73" i="12" s="1"/>
  <c r="H412" i="14"/>
  <c r="K424" i="12" s="1"/>
  <c r="H413" i="14"/>
  <c r="K74" i="12" s="1"/>
  <c r="H414" i="14"/>
  <c r="K75" i="12" s="1"/>
  <c r="H415" i="14"/>
  <c r="K76" i="12" s="1"/>
  <c r="H416" i="14"/>
  <c r="K77" i="12" s="1"/>
  <c r="H417" i="14"/>
  <c r="K78" i="12" s="1"/>
  <c r="H418" i="14"/>
  <c r="K79" i="12" s="1"/>
  <c r="H419" i="14"/>
  <c r="K80" i="12" s="1"/>
  <c r="H420" i="14"/>
  <c r="K81" i="12" s="1"/>
  <c r="H421" i="14"/>
  <c r="K82" i="12" s="1"/>
  <c r="H422" i="14"/>
  <c r="K83" i="12" s="1"/>
  <c r="H423" i="14"/>
  <c r="K84" i="12" s="1"/>
  <c r="H424" i="14"/>
  <c r="K85" i="12" s="1"/>
  <c r="H425" i="14"/>
  <c r="K425" i="12" s="1"/>
  <c r="H426" i="14"/>
  <c r="K86" i="12" s="1"/>
  <c r="H427" i="14"/>
  <c r="K87" i="12" s="1"/>
  <c r="H428" i="14"/>
  <c r="K88" i="12" s="1"/>
  <c r="H429" i="14"/>
  <c r="K89" i="12" s="1"/>
  <c r="H430" i="14"/>
  <c r="K90" i="12" s="1"/>
  <c r="H431" i="14"/>
  <c r="K91" i="12" s="1"/>
  <c r="H432" i="14"/>
  <c r="K92" i="12" s="1"/>
  <c r="H433" i="14"/>
  <c r="K93" i="12" s="1"/>
  <c r="H434" i="14"/>
  <c r="K94" i="12" s="1"/>
  <c r="H435" i="14"/>
  <c r="K95" i="12" s="1"/>
  <c r="H436" i="14"/>
  <c r="K96" i="12" s="1"/>
  <c r="H437" i="14"/>
  <c r="K97" i="12" s="1"/>
  <c r="H438" i="14"/>
  <c r="K98" i="12" s="1"/>
  <c r="H439" i="14"/>
  <c r="K99" i="12" s="1"/>
  <c r="H440" i="14"/>
  <c r="K100" i="12" s="1"/>
  <c r="H441" i="14"/>
  <c r="K101" i="12" s="1"/>
  <c r="H442" i="14"/>
  <c r="K102" i="12" s="1"/>
  <c r="H443" i="14"/>
  <c r="K103" i="12" s="1"/>
  <c r="H444" i="14"/>
  <c r="K104" i="12" s="1"/>
  <c r="H445" i="14"/>
  <c r="K105" i="12" s="1"/>
  <c r="H446" i="14"/>
  <c r="K106" i="12" s="1"/>
  <c r="H447" i="14"/>
  <c r="K107" i="12" s="1"/>
  <c r="H448" i="14"/>
  <c r="K108" i="12" s="1"/>
  <c r="H449" i="14"/>
  <c r="K109" i="12" s="1"/>
  <c r="H450" i="14"/>
  <c r="K110" i="12" s="1"/>
  <c r="H451" i="14"/>
  <c r="K111" i="12" s="1"/>
  <c r="H452" i="14"/>
  <c r="K112" i="12" s="1"/>
  <c r="H453" i="14"/>
  <c r="K113" i="12" s="1"/>
  <c r="H454" i="14"/>
  <c r="K114" i="12" s="1"/>
  <c r="H455" i="14"/>
  <c r="K115" i="12" s="1"/>
  <c r="H456" i="14"/>
  <c r="K116" i="12" s="1"/>
  <c r="H457" i="14"/>
  <c r="K117" i="12" s="1"/>
  <c r="H458" i="14"/>
  <c r="K118" i="12" s="1"/>
  <c r="H459" i="14"/>
  <c r="K119" i="12" s="1"/>
  <c r="H460" i="14"/>
  <c r="K120" i="12" s="1"/>
  <c r="H461" i="14"/>
  <c r="K121" i="12" s="1"/>
  <c r="H462" i="14"/>
  <c r="K122" i="12" s="1"/>
  <c r="H463" i="14"/>
  <c r="K123" i="12" s="1"/>
  <c r="H464" i="14"/>
  <c r="K124" i="12" s="1"/>
  <c r="H465" i="14"/>
  <c r="K125" i="12" s="1"/>
  <c r="H466" i="14"/>
  <c r="K126" i="12" s="1"/>
  <c r="H467" i="14"/>
  <c r="K426" i="12" s="1"/>
  <c r="H468" i="14"/>
  <c r="K427" i="12" s="1"/>
  <c r="H469" i="14"/>
  <c r="K428" i="12" s="1"/>
  <c r="H471" i="14"/>
  <c r="H472" i="14"/>
  <c r="H473" i="14"/>
  <c r="H474" i="14"/>
  <c r="H475" i="14"/>
  <c r="H476" i="14"/>
  <c r="H477" i="14"/>
  <c r="H478" i="14"/>
  <c r="H479" i="14"/>
  <c r="H480" i="14"/>
  <c r="H481" i="14"/>
  <c r="H482" i="14"/>
  <c r="H483" i="14"/>
  <c r="H484" i="14"/>
  <c r="H485" i="14"/>
  <c r="H486" i="14"/>
  <c r="H487" i="14"/>
  <c r="H488" i="14"/>
  <c r="H489" i="14"/>
  <c r="H490" i="14"/>
  <c r="H491" i="14"/>
  <c r="H492" i="14"/>
  <c r="H493" i="14"/>
  <c r="H494" i="14"/>
  <c r="H495" i="14"/>
  <c r="H496" i="14"/>
  <c r="H497" i="14"/>
  <c r="H498" i="14"/>
  <c r="H499" i="14"/>
  <c r="H500" i="14"/>
  <c r="H501" i="14"/>
  <c r="H502" i="14"/>
  <c r="H503" i="14"/>
  <c r="H504" i="14"/>
  <c r="H505" i="14"/>
  <c r="H506" i="14"/>
  <c r="H507" i="14"/>
  <c r="H508" i="14"/>
  <c r="H509" i="14"/>
  <c r="H510" i="14"/>
  <c r="H511" i="14"/>
  <c r="H512" i="14"/>
  <c r="H513" i="14"/>
  <c r="H514" i="14"/>
  <c r="H515" i="14"/>
  <c r="H516" i="14"/>
  <c r="H517" i="14"/>
  <c r="H518" i="14"/>
  <c r="H519" i="14"/>
  <c r="H520" i="14"/>
  <c r="H521" i="14"/>
  <c r="H522" i="14"/>
  <c r="H523" i="14"/>
  <c r="H524" i="14"/>
  <c r="H525" i="14"/>
  <c r="H526" i="14"/>
  <c r="H527" i="14"/>
  <c r="H528" i="14"/>
  <c r="H529" i="14"/>
  <c r="H530" i="14"/>
  <c r="H531" i="14"/>
  <c r="H532" i="14"/>
  <c r="H533" i="14"/>
  <c r="H534" i="14"/>
  <c r="H535" i="14"/>
  <c r="H536" i="14"/>
  <c r="H537" i="14"/>
  <c r="H538" i="14"/>
  <c r="H539" i="14"/>
  <c r="H540" i="14"/>
  <c r="H541" i="14"/>
  <c r="H542" i="14"/>
  <c r="H543" i="14"/>
  <c r="H544" i="14"/>
  <c r="H545" i="14"/>
  <c r="H546" i="14"/>
  <c r="H547" i="14"/>
  <c r="H548" i="14"/>
  <c r="H549" i="14"/>
  <c r="H550" i="14"/>
  <c r="H551" i="14"/>
  <c r="H552" i="14"/>
  <c r="H553" i="14"/>
  <c r="H554" i="14"/>
  <c r="H555" i="14"/>
  <c r="H556" i="14"/>
  <c r="H557" i="14"/>
  <c r="H558" i="14"/>
  <c r="H559" i="14"/>
  <c r="H560" i="14"/>
  <c r="H561" i="14"/>
  <c r="H562" i="14"/>
  <c r="H563" i="14"/>
  <c r="H564" i="14"/>
  <c r="H565" i="14"/>
  <c r="H566" i="14"/>
  <c r="H567" i="14"/>
  <c r="H568" i="14"/>
  <c r="H569" i="14"/>
  <c r="H570" i="14"/>
  <c r="H571" i="14"/>
  <c r="K423" i="12" l="1"/>
  <c r="K446" i="12"/>
  <c r="D5" i="12" l="1"/>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K5" i="12"/>
  <c r="H2" i="14"/>
  <c r="K273" i="12" s="1"/>
  <c r="N6" i="12" l="1"/>
  <c r="N7" i="12"/>
  <c r="N8" i="12"/>
  <c r="N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3" i="12"/>
  <c r="N124" i="12"/>
  <c r="N125" i="12"/>
  <c r="N126" i="12"/>
  <c r="N127" i="12"/>
  <c r="N128" i="12"/>
  <c r="N129" i="12"/>
  <c r="N131" i="12"/>
  <c r="N132" i="12"/>
  <c r="N133" i="12"/>
  <c r="N134"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1" i="12"/>
  <c r="N162" i="12"/>
  <c r="N163" i="12"/>
  <c r="N164" i="12"/>
  <c r="N165" i="12"/>
  <c r="N166" i="12"/>
  <c r="N168" i="12"/>
  <c r="N169" i="12"/>
  <c r="N170" i="12"/>
  <c r="N171" i="12"/>
  <c r="N172" i="12"/>
  <c r="N173" i="12"/>
  <c r="N174" i="12"/>
  <c r="N175" i="12"/>
  <c r="N176" i="12"/>
  <c r="N177" i="12"/>
  <c r="N178" i="12"/>
  <c r="N179" i="12"/>
  <c r="N180" i="12"/>
  <c r="N183" i="12"/>
  <c r="N184" i="12"/>
  <c r="N186" i="12"/>
  <c r="N187" i="12"/>
  <c r="N188" i="12"/>
  <c r="N190" i="12"/>
  <c r="N191" i="12"/>
  <c r="N192" i="12"/>
  <c r="N193" i="12"/>
  <c r="N194" i="12"/>
  <c r="N195" i="12"/>
  <c r="N196" i="12"/>
  <c r="N197" i="12"/>
  <c r="N198" i="12"/>
  <c r="N199" i="12"/>
  <c r="N200" i="12"/>
  <c r="N201" i="12"/>
  <c r="N203" i="12"/>
  <c r="N205" i="12"/>
  <c r="N206" i="12"/>
  <c r="N207" i="12"/>
  <c r="N208" i="12"/>
  <c r="N209" i="12"/>
  <c r="N211" i="12"/>
  <c r="N213" i="12"/>
  <c r="N215" i="12"/>
  <c r="N216" i="12"/>
  <c r="N217" i="12"/>
  <c r="N218" i="12"/>
  <c r="N219" i="12"/>
  <c r="N220" i="12"/>
  <c r="N221" i="12"/>
  <c r="N222" i="12"/>
  <c r="N224" i="12"/>
  <c r="N225" i="12"/>
  <c r="N226" i="12"/>
  <c r="N228" i="12"/>
  <c r="N229" i="12"/>
  <c r="N231" i="12"/>
  <c r="N232" i="12"/>
  <c r="N233" i="12"/>
  <c r="N234" i="12"/>
  <c r="N235" i="12"/>
  <c r="N236" i="12"/>
  <c r="N237" i="12"/>
  <c r="N238" i="12"/>
  <c r="N239" i="12"/>
  <c r="N240" i="12"/>
  <c r="N241" i="12"/>
  <c r="N242" i="12"/>
  <c r="N243" i="12"/>
  <c r="N244" i="12"/>
  <c r="N245" i="12"/>
  <c r="N246" i="12"/>
  <c r="N247" i="12"/>
  <c r="N248" i="12"/>
  <c r="N249" i="12"/>
  <c r="N251" i="12"/>
  <c r="N252" i="12"/>
  <c r="N253" i="12"/>
  <c r="N254" i="12"/>
  <c r="N255" i="12"/>
  <c r="N256" i="12"/>
  <c r="N257" i="12"/>
  <c r="N258" i="12"/>
  <c r="N259" i="12"/>
  <c r="N260"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90" i="12"/>
  <c r="N291" i="12"/>
  <c r="N292" i="12"/>
  <c r="N293" i="12"/>
  <c r="N294" i="12"/>
  <c r="N295" i="12"/>
  <c r="N296" i="12"/>
  <c r="N297" i="12"/>
  <c r="N298" i="12"/>
  <c r="N299" i="12"/>
  <c r="N300" i="12"/>
  <c r="N301" i="12"/>
  <c r="N302" i="12"/>
  <c r="N303" i="12"/>
  <c r="N304" i="12"/>
  <c r="N305" i="12"/>
  <c r="N306" i="12"/>
  <c r="N307" i="12"/>
  <c r="N308" i="12"/>
  <c r="N309" i="12"/>
  <c r="N310" i="12"/>
  <c r="N312" i="12"/>
  <c r="N313" i="12"/>
  <c r="N314" i="12"/>
  <c r="N315" i="12"/>
  <c r="N316" i="12"/>
  <c r="N317" i="12"/>
  <c r="N318" i="12"/>
  <c r="N319" i="12"/>
  <c r="N320" i="12"/>
  <c r="N321" i="12"/>
  <c r="N322" i="12"/>
  <c r="N323" i="12"/>
  <c r="N324" i="12"/>
  <c r="N325" i="12"/>
  <c r="N326" i="12"/>
  <c r="N327" i="12"/>
  <c r="N328" i="12"/>
  <c r="N329" i="12"/>
  <c r="N330" i="12"/>
  <c r="N331" i="12"/>
  <c r="N332" i="12"/>
  <c r="N334" i="12"/>
  <c r="N335" i="12"/>
  <c r="N337" i="12"/>
  <c r="N338" i="12"/>
  <c r="N339" i="12"/>
  <c r="K7" i="8" s="1"/>
  <c r="N340" i="12"/>
  <c r="N341" i="12"/>
  <c r="N342" i="12"/>
  <c r="N343" i="12"/>
  <c r="N344" i="12"/>
  <c r="N345" i="12"/>
  <c r="N346" i="12"/>
  <c r="N347" i="12"/>
  <c r="N348" i="12"/>
  <c r="N349" i="12"/>
  <c r="N350" i="12"/>
  <c r="N351" i="12"/>
  <c r="N352" i="12"/>
  <c r="N353" i="12"/>
  <c r="N354" i="12"/>
  <c r="N355" i="12"/>
  <c r="N356" i="12"/>
  <c r="N357" i="12"/>
  <c r="N359" i="12"/>
  <c r="N360" i="12"/>
  <c r="N361" i="12"/>
  <c r="N362" i="12"/>
  <c r="N363" i="12"/>
  <c r="N364" i="12"/>
  <c r="N365" i="12"/>
  <c r="N366" i="12"/>
  <c r="N369" i="12"/>
  <c r="N370" i="12"/>
  <c r="N372" i="12"/>
  <c r="N373" i="12"/>
  <c r="N377" i="12"/>
  <c r="N378" i="12"/>
  <c r="N379" i="12"/>
  <c r="N383" i="12"/>
  <c r="N384" i="12"/>
  <c r="N386" i="12"/>
  <c r="N387" i="12"/>
  <c r="N388" i="12"/>
  <c r="N389" i="12"/>
  <c r="N390" i="12"/>
  <c r="N391" i="12"/>
  <c r="N392" i="12"/>
  <c r="N393" i="12"/>
  <c r="N396" i="12"/>
  <c r="N397" i="12"/>
  <c r="N398" i="12"/>
  <c r="N401" i="12"/>
  <c r="N402" i="12"/>
  <c r="N404" i="12"/>
  <c r="N406" i="12"/>
  <c r="N407" i="12"/>
  <c r="N408" i="12"/>
  <c r="N409" i="12"/>
  <c r="N411" i="12"/>
  <c r="N412" i="12"/>
  <c r="N413" i="12"/>
  <c r="N414" i="12"/>
  <c r="N415" i="12"/>
  <c r="N417" i="12"/>
  <c r="N419" i="12"/>
  <c r="N420" i="12"/>
  <c r="N421" i="12"/>
  <c r="N422" i="12"/>
  <c r="N423" i="12"/>
  <c r="N424" i="12"/>
  <c r="N425" i="12"/>
  <c r="N426" i="12"/>
  <c r="N427" i="12"/>
  <c r="N428" i="12"/>
  <c r="N430" i="12"/>
  <c r="N432" i="12"/>
  <c r="N435" i="12"/>
  <c r="N436" i="12"/>
  <c r="N437" i="12"/>
  <c r="N438" i="12"/>
  <c r="N439" i="12"/>
  <c r="N440" i="12"/>
  <c r="N443" i="12"/>
  <c r="N444" i="12"/>
  <c r="N446" i="12"/>
  <c r="N447" i="12"/>
  <c r="N448" i="12"/>
  <c r="N449" i="12"/>
  <c r="N450" i="12"/>
  <c r="N451" i="12"/>
  <c r="N452" i="12"/>
  <c r="N454" i="12"/>
  <c r="N455" i="12"/>
  <c r="N456" i="12"/>
  <c r="N458" i="12"/>
  <c r="N459" i="12"/>
  <c r="N461" i="12"/>
  <c r="N466" i="12"/>
  <c r="N467" i="12"/>
  <c r="N468" i="12"/>
  <c r="N470" i="12"/>
  <c r="N472" i="12"/>
  <c r="N473" i="12"/>
  <c r="N475" i="12"/>
  <c r="N476" i="12"/>
  <c r="N477" i="12"/>
  <c r="N5" i="12"/>
  <c r="C2" i="12"/>
  <c r="B564" i="13" l="1"/>
  <c r="E559" i="13" l="1"/>
  <c r="E558" i="13" l="1"/>
  <c r="L429" i="12" l="1"/>
  <c r="E3" i="13" l="1"/>
  <c r="L6" i="12" s="1"/>
  <c r="E4" i="13"/>
  <c r="L7" i="12" s="1"/>
  <c r="E5" i="13"/>
  <c r="L8" i="12" s="1"/>
  <c r="E6" i="13"/>
  <c r="L9" i="12" s="1"/>
  <c r="E7" i="13"/>
  <c r="L10" i="12" s="1"/>
  <c r="E8" i="13"/>
  <c r="L11" i="12" s="1"/>
  <c r="E9" i="13"/>
  <c r="L12" i="12" s="1"/>
  <c r="E10" i="13"/>
  <c r="L13" i="12" s="1"/>
  <c r="E11" i="13"/>
  <c r="L14" i="12" s="1"/>
  <c r="E12" i="13"/>
  <c r="L15" i="12" s="1"/>
  <c r="E13" i="13"/>
  <c r="L16" i="12" s="1"/>
  <c r="E14" i="13"/>
  <c r="L17" i="12" s="1"/>
  <c r="E15" i="13"/>
  <c r="L18" i="12" s="1"/>
  <c r="E16" i="13"/>
  <c r="L19" i="12" s="1"/>
  <c r="E17" i="13"/>
  <c r="L20" i="12" s="1"/>
  <c r="E18" i="13"/>
  <c r="L21" i="12" s="1"/>
  <c r="E19" i="13"/>
  <c r="L22" i="12" s="1"/>
  <c r="E20" i="13"/>
  <c r="L23" i="12" s="1"/>
  <c r="E21" i="13"/>
  <c r="L24" i="12" s="1"/>
  <c r="E22" i="13"/>
  <c r="L25" i="12" s="1"/>
  <c r="E23" i="13"/>
  <c r="L26" i="12" s="1"/>
  <c r="E24" i="13"/>
  <c r="E25" i="13"/>
  <c r="L420" i="12" s="1"/>
  <c r="E26" i="13"/>
  <c r="E27" i="13"/>
  <c r="L27" i="12" s="1"/>
  <c r="E28" i="13"/>
  <c r="E29" i="13"/>
  <c r="L28" i="12" s="1"/>
  <c r="E30" i="13"/>
  <c r="L29" i="12" s="1"/>
  <c r="E31" i="13"/>
  <c r="L30" i="12" s="1"/>
  <c r="E32" i="13"/>
  <c r="L31" i="12" s="1"/>
  <c r="E33" i="13"/>
  <c r="L32" i="12" s="1"/>
  <c r="E34" i="13"/>
  <c r="L33" i="12" s="1"/>
  <c r="E35" i="13"/>
  <c r="E36" i="13"/>
  <c r="E37" i="13"/>
  <c r="L34" i="12" s="1"/>
  <c r="E38" i="13"/>
  <c r="L35" i="12" s="1"/>
  <c r="E39" i="13"/>
  <c r="E40" i="13"/>
  <c r="L36" i="12" s="1"/>
  <c r="E41" i="13"/>
  <c r="L37" i="12" s="1"/>
  <c r="E42" i="13"/>
  <c r="L38" i="12" s="1"/>
  <c r="E43" i="13"/>
  <c r="L39" i="12" s="1"/>
  <c r="E44" i="13"/>
  <c r="L40" i="12" s="1"/>
  <c r="E45" i="13"/>
  <c r="L41" i="12" s="1"/>
  <c r="E46" i="13"/>
  <c r="L42" i="12" s="1"/>
  <c r="E47" i="13"/>
  <c r="E48" i="13"/>
  <c r="E49" i="13"/>
  <c r="E50" i="13"/>
  <c r="L43" i="12" s="1"/>
  <c r="E51" i="13"/>
  <c r="L44" i="12" s="1"/>
  <c r="E52" i="13"/>
  <c r="L45" i="12" s="1"/>
  <c r="E53" i="13"/>
  <c r="L46" i="12" s="1"/>
  <c r="E54" i="13"/>
  <c r="E55" i="13"/>
  <c r="L47" i="12" s="1"/>
  <c r="E56" i="13"/>
  <c r="L48" i="12" s="1"/>
  <c r="E57" i="13"/>
  <c r="E58" i="13"/>
  <c r="E59" i="13"/>
  <c r="E60" i="13"/>
  <c r="E61" i="13"/>
  <c r="E62" i="13"/>
  <c r="L49" i="12" s="1"/>
  <c r="E63" i="13"/>
  <c r="L50" i="12" s="1"/>
  <c r="E64" i="13"/>
  <c r="L51" i="12" s="1"/>
  <c r="E65" i="13"/>
  <c r="E66" i="13"/>
  <c r="L421" i="12" s="1"/>
  <c r="E67" i="13"/>
  <c r="L52" i="12" s="1"/>
  <c r="E68" i="13"/>
  <c r="E69" i="13"/>
  <c r="L422" i="12" s="1"/>
  <c r="E70" i="13"/>
  <c r="L53" i="12" s="1"/>
  <c r="E71" i="13"/>
  <c r="L54" i="12" s="1"/>
  <c r="E72" i="13"/>
  <c r="L55" i="12" s="1"/>
  <c r="E73" i="13"/>
  <c r="L56" i="12" s="1"/>
  <c r="E74" i="13"/>
  <c r="E75" i="13"/>
  <c r="L57" i="12" s="1"/>
  <c r="E76" i="13"/>
  <c r="L58" i="12" s="1"/>
  <c r="E77" i="13"/>
  <c r="L59" i="12" s="1"/>
  <c r="E78" i="13"/>
  <c r="E79" i="13"/>
  <c r="L60" i="12" s="1"/>
  <c r="E80" i="13"/>
  <c r="E81" i="13"/>
  <c r="E82" i="13"/>
  <c r="L61" i="12" s="1"/>
  <c r="E83" i="13"/>
  <c r="E84" i="13"/>
  <c r="L62" i="12" s="1"/>
  <c r="E85" i="13"/>
  <c r="L63" i="12" s="1"/>
  <c r="E86" i="13"/>
  <c r="L64" i="12" s="1"/>
  <c r="E87" i="13"/>
  <c r="L65" i="12" s="1"/>
  <c r="E88" i="13"/>
  <c r="E89" i="13"/>
  <c r="L66" i="12" s="1"/>
  <c r="E90" i="13"/>
  <c r="E91" i="13"/>
  <c r="L67" i="12" s="1"/>
  <c r="E92" i="13"/>
  <c r="L68" i="12" s="1"/>
  <c r="E93" i="13"/>
  <c r="E94" i="13"/>
  <c r="L69" i="12" s="1"/>
  <c r="E95" i="13"/>
  <c r="E96" i="13"/>
  <c r="L70" i="12" s="1"/>
  <c r="E97" i="13"/>
  <c r="E98" i="13"/>
  <c r="L72" i="12" s="1"/>
  <c r="E99" i="13"/>
  <c r="E100" i="13"/>
  <c r="L73" i="12" s="1"/>
  <c r="E101" i="13"/>
  <c r="L424" i="12" s="1"/>
  <c r="E102" i="13"/>
  <c r="E103" i="13"/>
  <c r="L74" i="12" s="1"/>
  <c r="E104" i="13"/>
  <c r="L75" i="12" s="1"/>
  <c r="E105" i="13"/>
  <c r="E106" i="13"/>
  <c r="L76" i="12" s="1"/>
  <c r="E107" i="13"/>
  <c r="L77" i="12" s="1"/>
  <c r="E108" i="13"/>
  <c r="L78" i="12" s="1"/>
  <c r="E109" i="13"/>
  <c r="L79" i="12" s="1"/>
  <c r="E110" i="13"/>
  <c r="L80" i="12" s="1"/>
  <c r="E111" i="13"/>
  <c r="L81" i="12" s="1"/>
  <c r="E112" i="13"/>
  <c r="L82" i="12" s="1"/>
  <c r="E113" i="13"/>
  <c r="L83" i="12" s="1"/>
  <c r="E114" i="13"/>
  <c r="L84" i="12" s="1"/>
  <c r="E115" i="13"/>
  <c r="L85" i="12" s="1"/>
  <c r="E116" i="13"/>
  <c r="L425" i="12" s="1"/>
  <c r="E117" i="13"/>
  <c r="E118" i="13"/>
  <c r="L86" i="12" s="1"/>
  <c r="E119" i="13"/>
  <c r="L87" i="12" s="1"/>
  <c r="E120" i="13"/>
  <c r="L88" i="12" s="1"/>
  <c r="E121" i="13"/>
  <c r="L89" i="12" s="1"/>
  <c r="E122" i="13"/>
  <c r="L90" i="12" s="1"/>
  <c r="E123" i="13"/>
  <c r="L91" i="12" s="1"/>
  <c r="E124" i="13"/>
  <c r="L92" i="12" s="1"/>
  <c r="E125" i="13"/>
  <c r="L93" i="12" s="1"/>
  <c r="E126" i="13"/>
  <c r="L94" i="12" s="1"/>
  <c r="E127" i="13"/>
  <c r="L95" i="12" s="1"/>
  <c r="E128" i="13"/>
  <c r="L96" i="12" s="1"/>
  <c r="E129" i="13"/>
  <c r="L97" i="12" s="1"/>
  <c r="E130" i="13"/>
  <c r="L98" i="12" s="1"/>
  <c r="E131" i="13"/>
  <c r="L99" i="12" s="1"/>
  <c r="E132" i="13"/>
  <c r="L100" i="12" s="1"/>
  <c r="E133" i="13"/>
  <c r="L101" i="12" s="1"/>
  <c r="E134" i="13"/>
  <c r="L102" i="12" s="1"/>
  <c r="E135" i="13"/>
  <c r="L103" i="12" s="1"/>
  <c r="E136" i="13"/>
  <c r="L104" i="12" s="1"/>
  <c r="E137" i="13"/>
  <c r="L105" i="12" s="1"/>
  <c r="E138" i="13"/>
  <c r="L106" i="12" s="1"/>
  <c r="E139" i="13"/>
  <c r="L107" i="12" s="1"/>
  <c r="E140" i="13"/>
  <c r="L108" i="12" s="1"/>
  <c r="E141" i="13"/>
  <c r="L109" i="12" s="1"/>
  <c r="E142" i="13"/>
  <c r="L110" i="12" s="1"/>
  <c r="E143" i="13"/>
  <c r="L111" i="12" s="1"/>
  <c r="E144" i="13"/>
  <c r="L112" i="12" s="1"/>
  <c r="E145" i="13"/>
  <c r="L113" i="12" s="1"/>
  <c r="E146" i="13"/>
  <c r="L114" i="12" s="1"/>
  <c r="E147" i="13"/>
  <c r="L115" i="12" s="1"/>
  <c r="E148" i="13"/>
  <c r="L116" i="12" s="1"/>
  <c r="E149" i="13"/>
  <c r="L117" i="12" s="1"/>
  <c r="E150" i="13"/>
  <c r="L118" i="12" s="1"/>
  <c r="E151" i="13"/>
  <c r="L119" i="12" s="1"/>
  <c r="E152" i="13"/>
  <c r="L120" i="12" s="1"/>
  <c r="E153" i="13"/>
  <c r="L121" i="12" s="1"/>
  <c r="E154" i="13"/>
  <c r="L122" i="12" s="1"/>
  <c r="E155" i="13"/>
  <c r="L123" i="12" s="1"/>
  <c r="E156" i="13"/>
  <c r="L124" i="12" s="1"/>
  <c r="E157" i="13"/>
  <c r="L125" i="12" s="1"/>
  <c r="E158" i="13"/>
  <c r="L126" i="12" s="1"/>
  <c r="E159" i="13"/>
  <c r="L426" i="12" s="1"/>
  <c r="E160" i="13"/>
  <c r="L427" i="12" s="1"/>
  <c r="E161" i="13"/>
  <c r="L428" i="12" s="1"/>
  <c r="E162" i="13"/>
  <c r="E163" i="13"/>
  <c r="L127" i="12" s="1"/>
  <c r="E164" i="13"/>
  <c r="L128" i="12" s="1"/>
  <c r="E165" i="13"/>
  <c r="E166" i="13"/>
  <c r="L430" i="12" s="1"/>
  <c r="E167" i="13"/>
  <c r="L431" i="12" s="1"/>
  <c r="E168" i="13"/>
  <c r="L129" i="12" s="1"/>
  <c r="E169" i="13"/>
  <c r="L130" i="12" s="1"/>
  <c r="E170" i="13"/>
  <c r="L432" i="12" s="1"/>
  <c r="E171" i="13"/>
  <c r="L433" i="12" s="1"/>
  <c r="E172" i="13"/>
  <c r="L131" i="12" s="1"/>
  <c r="E173" i="13"/>
  <c r="L132" i="12" s="1"/>
  <c r="E174" i="13"/>
  <c r="L133" i="12" s="1"/>
  <c r="E175" i="13"/>
  <c r="L134" i="12" s="1"/>
  <c r="E176" i="13"/>
  <c r="L135" i="12" s="1"/>
  <c r="E177" i="13"/>
  <c r="L136" i="12" s="1"/>
  <c r="E178" i="13"/>
  <c r="L137" i="12" s="1"/>
  <c r="E179" i="13"/>
  <c r="L138" i="12" s="1"/>
  <c r="E180" i="13"/>
  <c r="L139" i="12" s="1"/>
  <c r="E181" i="13"/>
  <c r="L140" i="12" s="1"/>
  <c r="E182" i="13"/>
  <c r="L434" i="12" s="1"/>
  <c r="E183" i="13"/>
  <c r="L141" i="12" s="1"/>
  <c r="E184" i="13"/>
  <c r="L435" i="12" s="1"/>
  <c r="E185" i="13"/>
  <c r="L142" i="12" s="1"/>
  <c r="E186" i="13"/>
  <c r="L143" i="12" s="1"/>
  <c r="E187" i="13"/>
  <c r="L144" i="12" s="1"/>
  <c r="E188" i="13"/>
  <c r="L145" i="12" s="1"/>
  <c r="E189" i="13"/>
  <c r="E190" i="13"/>
  <c r="L146" i="12" s="1"/>
  <c r="E191" i="13"/>
  <c r="L147" i="12" s="1"/>
  <c r="E192" i="13"/>
  <c r="E193" i="13"/>
  <c r="L148" i="12" s="1"/>
  <c r="E194" i="13"/>
  <c r="L149" i="12" s="1"/>
  <c r="E195" i="13"/>
  <c r="E196" i="13"/>
  <c r="E197" i="13"/>
  <c r="L150" i="12" s="1"/>
  <c r="E198" i="13"/>
  <c r="L151" i="12" s="1"/>
  <c r="E199" i="13"/>
  <c r="L436" i="12" s="1"/>
  <c r="E200" i="13"/>
  <c r="E201" i="13"/>
  <c r="L152" i="12" s="1"/>
  <c r="E202" i="13"/>
  <c r="L153" i="12" s="1"/>
  <c r="E203" i="13"/>
  <c r="E204" i="13"/>
  <c r="L154" i="12" s="1"/>
  <c r="E205" i="13"/>
  <c r="L155" i="12" s="1"/>
  <c r="E206" i="13"/>
  <c r="E207" i="13"/>
  <c r="L156" i="12" s="1"/>
  <c r="E208" i="13"/>
  <c r="L157" i="12" s="1"/>
  <c r="E209" i="13"/>
  <c r="E210" i="13"/>
  <c r="L158" i="12" s="1"/>
  <c r="E211" i="13"/>
  <c r="E212" i="13"/>
  <c r="E213" i="13"/>
  <c r="E214" i="13"/>
  <c r="L159" i="12" s="1"/>
  <c r="E215" i="13"/>
  <c r="L160" i="12" s="1"/>
  <c r="E216" i="13"/>
  <c r="L161" i="12" s="1"/>
  <c r="E217" i="13"/>
  <c r="L162" i="12" s="1"/>
  <c r="E218" i="13"/>
  <c r="L163" i="12" s="1"/>
  <c r="E219" i="13"/>
  <c r="L164" i="12" s="1"/>
  <c r="E220" i="13"/>
  <c r="L165" i="12" s="1"/>
  <c r="E221" i="13"/>
  <c r="E222" i="13"/>
  <c r="L166" i="12" s="1"/>
  <c r="E223" i="13"/>
  <c r="L167" i="12" s="1"/>
  <c r="E224" i="13"/>
  <c r="E225" i="13"/>
  <c r="L168" i="12" s="1"/>
  <c r="E226" i="13"/>
  <c r="E227" i="13"/>
  <c r="L169" i="12" s="1"/>
  <c r="E228" i="13"/>
  <c r="L170" i="12" s="1"/>
  <c r="E229" i="13"/>
  <c r="L437" i="12" s="1"/>
  <c r="E230" i="13"/>
  <c r="L171" i="12" s="1"/>
  <c r="E231" i="13"/>
  <c r="L172" i="12" s="1"/>
  <c r="E232" i="13"/>
  <c r="E233" i="13"/>
  <c r="E234" i="13"/>
  <c r="E235" i="13"/>
  <c r="L173" i="12" s="1"/>
  <c r="E236" i="13"/>
  <c r="L174" i="12" s="1"/>
  <c r="E237" i="13"/>
  <c r="L175" i="12" s="1"/>
  <c r="E238" i="13"/>
  <c r="L176" i="12" s="1"/>
  <c r="E239" i="13"/>
  <c r="L177" i="12" s="1"/>
  <c r="E240" i="13"/>
  <c r="L178" i="12" s="1"/>
  <c r="E241" i="13"/>
  <c r="L438" i="12" s="1"/>
  <c r="E242" i="13"/>
  <c r="L179" i="12" s="1"/>
  <c r="E243" i="13"/>
  <c r="L180" i="12" s="1"/>
  <c r="E244" i="13"/>
  <c r="L181" i="12" s="1"/>
  <c r="E245" i="13"/>
  <c r="L182" i="12" s="1"/>
  <c r="E246" i="13"/>
  <c r="L183" i="12" s="1"/>
  <c r="E247" i="13"/>
  <c r="L184" i="12" s="1"/>
  <c r="E248" i="13"/>
  <c r="L185" i="12" s="1"/>
  <c r="E249" i="13"/>
  <c r="L186" i="12" s="1"/>
  <c r="E250" i="13"/>
  <c r="L187" i="12" s="1"/>
  <c r="E251" i="13"/>
  <c r="L439" i="12" s="1"/>
  <c r="E252" i="13"/>
  <c r="L440" i="12" s="1"/>
  <c r="E253" i="13"/>
  <c r="L188" i="12" s="1"/>
  <c r="E254" i="13"/>
  <c r="L189" i="12" s="1"/>
  <c r="E255" i="13"/>
  <c r="L190" i="12" s="1"/>
  <c r="E256" i="13"/>
  <c r="L191" i="12" s="1"/>
  <c r="E257" i="13"/>
  <c r="L192" i="12" s="1"/>
  <c r="E258" i="13"/>
  <c r="L193" i="12" s="1"/>
  <c r="E259" i="13"/>
  <c r="L194" i="12" s="1"/>
  <c r="E260" i="13"/>
  <c r="L195" i="12" s="1"/>
  <c r="E261" i="13"/>
  <c r="L196" i="12" s="1"/>
  <c r="E262" i="13"/>
  <c r="L197" i="12" s="1"/>
  <c r="E263" i="13"/>
  <c r="L198" i="12" s="1"/>
  <c r="E264" i="13"/>
  <c r="L199" i="12" s="1"/>
  <c r="E265" i="13"/>
  <c r="L200" i="12" s="1"/>
  <c r="E266" i="13"/>
  <c r="L201" i="12" s="1"/>
  <c r="E267" i="13"/>
  <c r="L202" i="12" s="1"/>
  <c r="E268" i="13"/>
  <c r="L203" i="12" s="1"/>
  <c r="E269" i="13"/>
  <c r="L204" i="12" s="1"/>
  <c r="E270" i="13"/>
  <c r="L205" i="12" s="1"/>
  <c r="E271" i="13"/>
  <c r="L206" i="12" s="1"/>
  <c r="E272" i="13"/>
  <c r="L207" i="12" s="1"/>
  <c r="E273" i="13"/>
  <c r="L208" i="12" s="1"/>
  <c r="E274" i="13"/>
  <c r="L209" i="12" s="1"/>
  <c r="E275" i="13"/>
  <c r="L210" i="12" s="1"/>
  <c r="E276" i="13"/>
  <c r="L211" i="12" s="1"/>
  <c r="E277" i="13"/>
  <c r="L212" i="12" s="1"/>
  <c r="E278" i="13"/>
  <c r="L213" i="12" s="1"/>
  <c r="E279" i="13"/>
  <c r="L214" i="12" s="1"/>
  <c r="E280" i="13"/>
  <c r="L215" i="12" s="1"/>
  <c r="E281" i="13"/>
  <c r="L216" i="12" s="1"/>
  <c r="E282" i="13"/>
  <c r="L217" i="12" s="1"/>
  <c r="E283" i="13"/>
  <c r="L218" i="12" s="1"/>
  <c r="E284" i="13"/>
  <c r="L219" i="12" s="1"/>
  <c r="E285" i="13"/>
  <c r="L220" i="12" s="1"/>
  <c r="E286" i="13"/>
  <c r="L221" i="12" s="1"/>
  <c r="E287" i="13"/>
  <c r="L222" i="12" s="1"/>
  <c r="E288" i="13"/>
  <c r="L223" i="12" s="1"/>
  <c r="E289" i="13"/>
  <c r="L224" i="12" s="1"/>
  <c r="E290" i="13"/>
  <c r="L225" i="12" s="1"/>
  <c r="E291" i="13"/>
  <c r="L226" i="12" s="1"/>
  <c r="E292" i="13"/>
  <c r="L227" i="12" s="1"/>
  <c r="E293" i="13"/>
  <c r="L228" i="12" s="1"/>
  <c r="E294" i="13"/>
  <c r="L229" i="12" s="1"/>
  <c r="E295" i="13"/>
  <c r="L441" i="12" s="1"/>
  <c r="E296" i="13"/>
  <c r="L442" i="12" s="1"/>
  <c r="E297" i="13"/>
  <c r="L477" i="12" s="1"/>
  <c r="E298" i="13"/>
  <c r="L443" i="12" s="1"/>
  <c r="E299" i="13"/>
  <c r="L230" i="12" s="1"/>
  <c r="E300" i="13"/>
  <c r="L231" i="12" s="1"/>
  <c r="E301" i="13"/>
  <c r="L232" i="12" s="1"/>
  <c r="E302" i="13"/>
  <c r="L233" i="12" s="1"/>
  <c r="E303" i="13"/>
  <c r="L234" i="12" s="1"/>
  <c r="E304" i="13"/>
  <c r="L235" i="12" s="1"/>
  <c r="E305" i="13"/>
  <c r="E306" i="13"/>
  <c r="L236" i="12" s="1"/>
  <c r="E307" i="13"/>
  <c r="L237" i="12" s="1"/>
  <c r="E308" i="13"/>
  <c r="L238" i="12" s="1"/>
  <c r="E309" i="13"/>
  <c r="L239" i="12" s="1"/>
  <c r="E310" i="13"/>
  <c r="L240" i="12" s="1"/>
  <c r="E311" i="13"/>
  <c r="L241" i="12" s="1"/>
  <c r="E312" i="13"/>
  <c r="L242" i="12" s="1"/>
  <c r="E313" i="13"/>
  <c r="E314" i="13"/>
  <c r="L243" i="12" s="1"/>
  <c r="E315" i="13"/>
  <c r="E316" i="13"/>
  <c r="L244" i="12" s="1"/>
  <c r="E317" i="13"/>
  <c r="E318" i="13"/>
  <c r="L245" i="12" s="1"/>
  <c r="E319" i="13"/>
  <c r="L246" i="12" s="1"/>
  <c r="E320" i="13"/>
  <c r="E321" i="13"/>
  <c r="L444" i="12" s="1"/>
  <c r="E322" i="13"/>
  <c r="L247" i="12" s="1"/>
  <c r="E323" i="13"/>
  <c r="L248" i="12" s="1"/>
  <c r="E324" i="13"/>
  <c r="L249" i="12" s="1"/>
  <c r="E325" i="13"/>
  <c r="L250" i="12" s="1"/>
  <c r="E326" i="13"/>
  <c r="L251" i="12" s="1"/>
  <c r="E327" i="13"/>
  <c r="L252" i="12" s="1"/>
  <c r="E328" i="13"/>
  <c r="L253" i="12" s="1"/>
  <c r="E329" i="13"/>
  <c r="L254" i="12" s="1"/>
  <c r="E330" i="13"/>
  <c r="E331" i="13"/>
  <c r="L255" i="12" s="1"/>
  <c r="E332" i="13"/>
  <c r="E333" i="13"/>
  <c r="L256" i="12" s="1"/>
  <c r="E334" i="13"/>
  <c r="L257" i="12" s="1"/>
  <c r="E335" i="13"/>
  <c r="E336" i="13"/>
  <c r="L258" i="12" s="1"/>
  <c r="E337" i="13"/>
  <c r="L259" i="12" s="1"/>
  <c r="E338" i="13"/>
  <c r="E339" i="13"/>
  <c r="E340" i="13"/>
  <c r="L260" i="12" s="1"/>
  <c r="E341" i="13"/>
  <c r="L261" i="12" s="1"/>
  <c r="E342" i="13"/>
  <c r="L262" i="12" s="1"/>
  <c r="E343" i="13"/>
  <c r="E344" i="13"/>
  <c r="L263" i="12" s="1"/>
  <c r="E345" i="13"/>
  <c r="E346" i="13"/>
  <c r="L264" i="12" s="1"/>
  <c r="E347" i="13"/>
  <c r="L265" i="12" s="1"/>
  <c r="E348" i="13"/>
  <c r="E349" i="13"/>
  <c r="L266" i="12" s="1"/>
  <c r="E350" i="13"/>
  <c r="E351" i="13"/>
  <c r="L267" i="12" s="1"/>
  <c r="E352" i="13"/>
  <c r="L268" i="12" s="1"/>
  <c r="E353" i="13"/>
  <c r="E354" i="13"/>
  <c r="L269" i="12" s="1"/>
  <c r="E355" i="13"/>
  <c r="L270" i="12" s="1"/>
  <c r="E356" i="13"/>
  <c r="L271" i="12" s="1"/>
  <c r="E357" i="13"/>
  <c r="L272" i="12" s="1"/>
  <c r="E358" i="13"/>
  <c r="L273" i="12" s="1"/>
  <c r="E359" i="13"/>
  <c r="L274" i="12" s="1"/>
  <c r="E360" i="13"/>
  <c r="L275" i="12" s="1"/>
  <c r="E361" i="13"/>
  <c r="E362" i="13"/>
  <c r="L276" i="12" s="1"/>
  <c r="E363" i="13"/>
  <c r="L277" i="12" s="1"/>
  <c r="E364" i="13"/>
  <c r="L278" i="12" s="1"/>
  <c r="E365" i="13"/>
  <c r="L279" i="12" s="1"/>
  <c r="E366" i="13"/>
  <c r="L280" i="12" s="1"/>
  <c r="E367" i="13"/>
  <c r="L281" i="12" s="1"/>
  <c r="E368" i="13"/>
  <c r="L282" i="12" s="1"/>
  <c r="E369" i="13"/>
  <c r="E370" i="13"/>
  <c r="L445" i="12" s="1"/>
  <c r="E371" i="13"/>
  <c r="L283" i="12" s="1"/>
  <c r="E372" i="13"/>
  <c r="L284" i="12" s="1"/>
  <c r="E373" i="13"/>
  <c r="L285" i="12" s="1"/>
  <c r="E374" i="13"/>
  <c r="L286" i="12" s="1"/>
  <c r="E375" i="13"/>
  <c r="L287" i="12" s="1"/>
  <c r="E376" i="13"/>
  <c r="L288" i="12" s="1"/>
  <c r="E377" i="13"/>
  <c r="L289" i="12" s="1"/>
  <c r="E378" i="13"/>
  <c r="E379" i="13"/>
  <c r="L290" i="12" s="1"/>
  <c r="E380" i="13"/>
  <c r="L291" i="12" s="1"/>
  <c r="E381" i="13"/>
  <c r="L292" i="12" s="1"/>
  <c r="E382" i="13"/>
  <c r="L293" i="12" s="1"/>
  <c r="E383" i="13"/>
  <c r="L294" i="12" s="1"/>
  <c r="E384" i="13"/>
  <c r="L295" i="12" s="1"/>
  <c r="E385" i="13"/>
  <c r="L296" i="12" s="1"/>
  <c r="E386" i="13"/>
  <c r="L297" i="12" s="1"/>
  <c r="E387" i="13"/>
  <c r="L298" i="12" s="1"/>
  <c r="E388" i="13"/>
  <c r="E389" i="13"/>
  <c r="E390" i="13"/>
  <c r="L299" i="12" s="1"/>
  <c r="E391" i="13"/>
  <c r="L300" i="12" s="1"/>
  <c r="E392" i="13"/>
  <c r="L301" i="12" s="1"/>
  <c r="E393" i="13"/>
  <c r="L302" i="12" s="1"/>
  <c r="E394" i="13"/>
  <c r="E395" i="13"/>
  <c r="L303" i="12" s="1"/>
  <c r="E396" i="13"/>
  <c r="L304" i="12" s="1"/>
  <c r="E397" i="13"/>
  <c r="L305" i="12" s="1"/>
  <c r="E398" i="13"/>
  <c r="L306" i="12" s="1"/>
  <c r="E399" i="13"/>
  <c r="L307" i="12" s="1"/>
  <c r="E400" i="13"/>
  <c r="L308" i="12" s="1"/>
  <c r="E401" i="13"/>
  <c r="L309" i="12" s="1"/>
  <c r="E402" i="13"/>
  <c r="L310" i="12" s="1"/>
  <c r="E403" i="13"/>
  <c r="L311" i="12" s="1"/>
  <c r="E404" i="13"/>
  <c r="L312" i="12" s="1"/>
  <c r="E405" i="13"/>
  <c r="L313" i="12" s="1"/>
  <c r="E406" i="13"/>
  <c r="E407" i="13"/>
  <c r="L314" i="12" s="1"/>
  <c r="E408" i="13"/>
  <c r="L315" i="12" s="1"/>
  <c r="E409" i="13"/>
  <c r="L316" i="12" s="1"/>
  <c r="E410" i="13"/>
  <c r="E411" i="13"/>
  <c r="L317" i="12" s="1"/>
  <c r="E412" i="13"/>
  <c r="L318" i="12" s="1"/>
  <c r="E413" i="13"/>
  <c r="L319" i="12" s="1"/>
  <c r="E414" i="13"/>
  <c r="E415" i="13"/>
  <c r="L320" i="12" s="1"/>
  <c r="E416" i="13"/>
  <c r="E417" i="13"/>
  <c r="L321" i="12" s="1"/>
  <c r="E418" i="13"/>
  <c r="E419" i="13"/>
  <c r="L322" i="12" s="1"/>
  <c r="E420" i="13"/>
  <c r="E421" i="13"/>
  <c r="L323" i="12" s="1"/>
  <c r="E422" i="13"/>
  <c r="L324" i="12" s="1"/>
  <c r="E423" i="13"/>
  <c r="L325" i="12" s="1"/>
  <c r="E424" i="13"/>
  <c r="E425" i="13"/>
  <c r="L326" i="12" s="1"/>
  <c r="E426" i="13"/>
  <c r="L327" i="12" s="1"/>
  <c r="E427" i="13"/>
  <c r="L328" i="12" s="1"/>
  <c r="E428" i="13"/>
  <c r="E429" i="13"/>
  <c r="E430" i="13"/>
  <c r="L330" i="12" s="1"/>
  <c r="E431" i="13"/>
  <c r="L331" i="12" s="1"/>
  <c r="E432" i="13"/>
  <c r="L332" i="12" s="1"/>
  <c r="E433" i="13"/>
  <c r="L333" i="12" s="1"/>
  <c r="E434" i="13"/>
  <c r="L334" i="12" s="1"/>
  <c r="E435" i="13"/>
  <c r="L335" i="12" s="1"/>
  <c r="E436" i="13"/>
  <c r="L336" i="12" s="1"/>
  <c r="E437" i="13"/>
  <c r="L337" i="12" s="1"/>
  <c r="E438" i="13"/>
  <c r="L338" i="12" s="1"/>
  <c r="E439" i="13"/>
  <c r="E440" i="13"/>
  <c r="L340" i="12" s="1"/>
  <c r="E441" i="13"/>
  <c r="L341" i="12" s="1"/>
  <c r="E442" i="13"/>
  <c r="L342" i="12" s="1"/>
  <c r="E443" i="13"/>
  <c r="L343" i="12" s="1"/>
  <c r="E444" i="13"/>
  <c r="L344" i="12" s="1"/>
  <c r="E445" i="13"/>
  <c r="L345" i="12" s="1"/>
  <c r="E446" i="13"/>
  <c r="L346" i="12" s="1"/>
  <c r="E447" i="13"/>
  <c r="L347" i="12" s="1"/>
  <c r="E448" i="13"/>
  <c r="L348" i="12" s="1"/>
  <c r="E449" i="13"/>
  <c r="L349" i="12" s="1"/>
  <c r="E450" i="13"/>
  <c r="L350" i="12" s="1"/>
  <c r="E451" i="13"/>
  <c r="L351" i="12" s="1"/>
  <c r="E452" i="13"/>
  <c r="L352" i="12" s="1"/>
  <c r="E453" i="13"/>
  <c r="L353" i="12" s="1"/>
  <c r="E454" i="13"/>
  <c r="L354" i="12" s="1"/>
  <c r="E455" i="13"/>
  <c r="L355" i="12" s="1"/>
  <c r="E456" i="13"/>
  <c r="L447" i="12" s="1"/>
  <c r="E457" i="13"/>
  <c r="L448" i="12" s="1"/>
  <c r="E458" i="13"/>
  <c r="L449" i="12" s="1"/>
  <c r="E459" i="13"/>
  <c r="L356" i="12" s="1"/>
  <c r="E460" i="13"/>
  <c r="L357" i="12" s="1"/>
  <c r="E461" i="13"/>
  <c r="L358" i="12" s="1"/>
  <c r="E462" i="13"/>
  <c r="L450" i="12" s="1"/>
  <c r="E463" i="13"/>
  <c r="L359" i="12" s="1"/>
  <c r="E464" i="13"/>
  <c r="L360" i="12" s="1"/>
  <c r="E465" i="13"/>
  <c r="L361" i="12" s="1"/>
  <c r="E466" i="13"/>
  <c r="L362" i="12" s="1"/>
  <c r="E467" i="13"/>
  <c r="L363" i="12" s="1"/>
  <c r="E468" i="13"/>
  <c r="L451" i="12" s="1"/>
  <c r="E469" i="13"/>
  <c r="L364" i="12" s="1"/>
  <c r="E470" i="13"/>
  <c r="L452" i="12" s="1"/>
  <c r="E471" i="13"/>
  <c r="L365" i="12" s="1"/>
  <c r="E472" i="13"/>
  <c r="L366" i="12" s="1"/>
  <c r="E473" i="13"/>
  <c r="E474" i="13"/>
  <c r="L367" i="12" s="1"/>
  <c r="E475" i="13"/>
  <c r="L368" i="12" s="1"/>
  <c r="E476" i="13"/>
  <c r="L369" i="12" s="1"/>
  <c r="E477" i="13"/>
  <c r="L453" i="12" s="1"/>
  <c r="E478" i="13"/>
  <c r="L454" i="12" s="1"/>
  <c r="E479" i="13"/>
  <c r="L370" i="12" s="1"/>
  <c r="E480" i="13"/>
  <c r="L371" i="12" s="1"/>
  <c r="E481" i="13"/>
  <c r="E482" i="13"/>
  <c r="E483" i="13"/>
  <c r="L372" i="12" s="1"/>
  <c r="E484" i="13"/>
  <c r="L373" i="12" s="1"/>
  <c r="E485" i="13"/>
  <c r="L374" i="12" s="1"/>
  <c r="E486" i="13"/>
  <c r="L375" i="12" s="1"/>
  <c r="E487" i="13"/>
  <c r="L376" i="12" s="1"/>
  <c r="E488" i="13"/>
  <c r="L377" i="12" s="1"/>
  <c r="E489" i="13"/>
  <c r="L378" i="12" s="1"/>
  <c r="E490" i="13"/>
  <c r="E491" i="13"/>
  <c r="L455" i="12" s="1"/>
  <c r="E492" i="13"/>
  <c r="L379" i="12" s="1"/>
  <c r="E493" i="13"/>
  <c r="L380" i="12" s="1"/>
  <c r="E494" i="13"/>
  <c r="L381" i="12" s="1"/>
  <c r="E495" i="13"/>
  <c r="E496" i="13"/>
  <c r="E497" i="13"/>
  <c r="E498" i="13"/>
  <c r="L382" i="12" s="1"/>
  <c r="E499" i="13"/>
  <c r="L456" i="12" s="1"/>
  <c r="E500" i="13"/>
  <c r="L383" i="12" s="1"/>
  <c r="E501" i="13"/>
  <c r="L384" i="12" s="1"/>
  <c r="E502" i="13"/>
  <c r="L385" i="12" s="1"/>
  <c r="E503" i="13"/>
  <c r="L457" i="12" s="1"/>
  <c r="E504" i="13"/>
  <c r="E505" i="13"/>
  <c r="L386" i="12" s="1"/>
  <c r="E506" i="13"/>
  <c r="L458" i="12" s="1"/>
  <c r="E507" i="13"/>
  <c r="L387" i="12" s="1"/>
  <c r="E508" i="13"/>
  <c r="L459" i="12" s="1"/>
  <c r="E509" i="13"/>
  <c r="L460" i="12" s="1"/>
  <c r="E510" i="13"/>
  <c r="L388" i="12" s="1"/>
  <c r="E511" i="13"/>
  <c r="L389" i="12" s="1"/>
  <c r="E512" i="13"/>
  <c r="L461" i="12" s="1"/>
  <c r="E513" i="13"/>
  <c r="L390" i="12" s="1"/>
  <c r="E514" i="13"/>
  <c r="L391" i="12" s="1"/>
  <c r="E515" i="13"/>
  <c r="L392" i="12" s="1"/>
  <c r="E516" i="13"/>
  <c r="L393" i="12" s="1"/>
  <c r="E517" i="13"/>
  <c r="L394" i="12" s="1"/>
  <c r="E518" i="13"/>
  <c r="L462" i="12" s="1"/>
  <c r="E519" i="13"/>
  <c r="L395" i="12" s="1"/>
  <c r="E520" i="13"/>
  <c r="L396" i="12" s="1"/>
  <c r="E521" i="13"/>
  <c r="L397" i="12" s="1"/>
  <c r="E522" i="13"/>
  <c r="L398" i="12" s="1"/>
  <c r="E523" i="13"/>
  <c r="L399" i="12" s="1"/>
  <c r="E524" i="13"/>
  <c r="L400" i="12" s="1"/>
  <c r="E525" i="13"/>
  <c r="L401" i="12" s="1"/>
  <c r="E526" i="13"/>
  <c r="L402" i="12" s="1"/>
  <c r="E527" i="13"/>
  <c r="L403" i="12" s="1"/>
  <c r="E528" i="13"/>
  <c r="L404" i="12" s="1"/>
  <c r="E529" i="13"/>
  <c r="L405" i="12" s="1"/>
  <c r="E530" i="13"/>
  <c r="L406" i="12" s="1"/>
  <c r="E531" i="13"/>
  <c r="L407" i="12" s="1"/>
  <c r="E532" i="13"/>
  <c r="L408" i="12" s="1"/>
  <c r="E533" i="13"/>
  <c r="L409" i="12" s="1"/>
  <c r="E534" i="13"/>
  <c r="L410" i="12" s="1"/>
  <c r="E535" i="13"/>
  <c r="L411" i="12" s="1"/>
  <c r="E536" i="13"/>
  <c r="L463" i="12" s="1"/>
  <c r="E537" i="13"/>
  <c r="L412" i="12" s="1"/>
  <c r="E538" i="13"/>
  <c r="L413" i="12" s="1"/>
  <c r="E539" i="13"/>
  <c r="L464" i="12" s="1"/>
  <c r="E540" i="13"/>
  <c r="L414" i="12" s="1"/>
  <c r="E541" i="13"/>
  <c r="L415" i="12" s="1"/>
  <c r="E542" i="13"/>
  <c r="L416" i="12" s="1"/>
  <c r="E543" i="13"/>
  <c r="L465" i="12" s="1"/>
  <c r="E544" i="13"/>
  <c r="L417" i="12" s="1"/>
  <c r="E545" i="13"/>
  <c r="L418" i="12" s="1"/>
  <c r="E546" i="13"/>
  <c r="L466" i="12" s="1"/>
  <c r="E547" i="13"/>
  <c r="L467" i="12" s="1"/>
  <c r="E548" i="13"/>
  <c r="L419" i="12" s="1"/>
  <c r="E549" i="13"/>
  <c r="L468" i="12" s="1"/>
  <c r="E550" i="13"/>
  <c r="L469" i="12" s="1"/>
  <c r="E551" i="13"/>
  <c r="L470" i="12" s="1"/>
  <c r="E552" i="13"/>
  <c r="L471" i="12" s="1"/>
  <c r="E553" i="13"/>
  <c r="L472" i="12" s="1"/>
  <c r="E554" i="13"/>
  <c r="L473" i="12" s="1"/>
  <c r="E555" i="13"/>
  <c r="L474" i="12" s="1"/>
  <c r="E556" i="13"/>
  <c r="L475" i="12" s="1"/>
  <c r="E557" i="13"/>
  <c r="L476" i="12" s="1"/>
  <c r="E2" i="13"/>
  <c r="L5" i="12" s="1"/>
  <c r="L329" i="12" l="1"/>
  <c r="L423" i="12"/>
  <c r="L71" i="12"/>
  <c r="L446" i="12"/>
  <c r="L339" i="12"/>
  <c r="B2" i="12"/>
  <c r="D2" i="12"/>
  <c r="E2" i="12"/>
  <c r="F2" i="12"/>
  <c r="G2" i="12"/>
  <c r="H2" i="12"/>
  <c r="I2" i="12"/>
  <c r="J2" i="12"/>
  <c r="L2" i="12"/>
  <c r="M2" i="12"/>
  <c r="N2" i="12"/>
  <c r="O2" i="12"/>
  <c r="A2" i="12"/>
  <c r="C1" i="4" l="1"/>
  <c r="C2" i="4" s="1"/>
  <c r="C3" i="4" s="1"/>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B2" i="4"/>
  <c r="B3" i="4" s="1"/>
  <c r="B4" i="4" s="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alcChain>
</file>

<file path=xl/sharedStrings.xml><?xml version="1.0" encoding="utf-8"?>
<sst xmlns="http://schemas.openxmlformats.org/spreadsheetml/2006/main" count="16991" uniqueCount="4927">
  <si>
    <t>May</t>
  </si>
  <si>
    <t>Jan</t>
  </si>
  <si>
    <t>Feb</t>
  </si>
  <si>
    <t>Mar</t>
  </si>
  <si>
    <t>Apr</t>
  </si>
  <si>
    <t>Jun</t>
  </si>
  <si>
    <t>Jul</t>
  </si>
  <si>
    <t>Aug</t>
  </si>
  <si>
    <t>Sep</t>
  </si>
  <si>
    <t>Oct</t>
  </si>
  <si>
    <t>Nov</t>
  </si>
  <si>
    <t>Dec</t>
  </si>
  <si>
    <t>File Name</t>
  </si>
  <si>
    <t>Safteh.txt</t>
  </si>
  <si>
    <t>D:\Stuff\Business\Dollar\Safteh.txt</t>
  </si>
  <si>
    <t>#1.png</t>
  </si>
  <si>
    <t>D:\Stuff\Business\Dollar\Dollar2Rial\Paybarg\#1.png</t>
  </si>
  <si>
    <t>1.png</t>
  </si>
  <si>
    <t>D:\Stuff\Business\MSDN\1\1.png</t>
  </si>
  <si>
    <t>1.txt</t>
  </si>
  <si>
    <t>D:\Stuff\Business\MSDN\1\1.txt</t>
  </si>
  <si>
    <t>2.png</t>
  </si>
  <si>
    <t>D:\Stuff\Business\MSDN\1\2.png</t>
  </si>
  <si>
    <t>2.txt</t>
  </si>
  <si>
    <t>D:\Stuff\Business\MSDN\1\2.txt</t>
  </si>
  <si>
    <t>3.txt</t>
  </si>
  <si>
    <t>D:\Stuff\Business\MSDN\1\3.txt</t>
  </si>
  <si>
    <t>D:\Stuff\Business\MSDN\2\1.png</t>
  </si>
  <si>
    <t>D:\Stuff\Business\MSDN\2\2.png</t>
  </si>
  <si>
    <t>New Microsoft Office Excel 2007 Workbook.xlsx</t>
  </si>
  <si>
    <t>D:\Stuff\Business\MSDN\2\New Microsoft Office Excel 2007 Workbook.xlsx</t>
  </si>
  <si>
    <t>D:\Stuff\Business\MSDN\3\1.png</t>
  </si>
  <si>
    <t>D:\Stuff\Business\MSDN\3\2.png</t>
  </si>
  <si>
    <t>User Form VBA.png</t>
  </si>
  <si>
    <t>D:\Stuff\Business\MSDN\4\User Form VBA.png</t>
  </si>
  <si>
    <t>XML Excel VBA.png</t>
  </si>
  <si>
    <t>D:\Stuff\Business\MSDN\4\XML Excel VBA.png</t>
  </si>
  <si>
    <t>website-data-retriever.xlsm</t>
  </si>
  <si>
    <t>D:\Stuff\Business\Projects\VBA\CityGuy\website-data-retriever.xlsm</t>
  </si>
  <si>
    <t>DEBS.BAC</t>
  </si>
  <si>
    <t>D:\Stuff\Business\Projects\VBA\James\Employer Files\Project 1\Main\DEBS.BAC</t>
  </si>
  <si>
    <t>TProfit.zip</t>
  </si>
  <si>
    <t>D:\Stuff\Business\Projects\VBA\James\Employer Files\Project 1\Main\TProfit.zip</t>
  </si>
  <si>
    <t>Clarification.docx</t>
  </si>
  <si>
    <t>10.png</t>
  </si>
  <si>
    <t>11.png</t>
  </si>
  <si>
    <t>12.png</t>
  </si>
  <si>
    <t>13.png</t>
  </si>
  <si>
    <t>14.png</t>
  </si>
  <si>
    <t>15.png</t>
  </si>
  <si>
    <t>16.png</t>
  </si>
  <si>
    <t>3.png</t>
  </si>
  <si>
    <t>4.png</t>
  </si>
  <si>
    <t>5.png</t>
  </si>
  <si>
    <t>6.png</t>
  </si>
  <si>
    <t>7.png</t>
  </si>
  <si>
    <t>8.png</t>
  </si>
  <si>
    <t>17.png</t>
  </si>
  <si>
    <t>18.png</t>
  </si>
  <si>
    <t>19.png</t>
  </si>
  <si>
    <t>20.png</t>
  </si>
  <si>
    <t>21.png</t>
  </si>
  <si>
    <t>22.png</t>
  </si>
  <si>
    <t>23.png</t>
  </si>
  <si>
    <t>9.png</t>
  </si>
  <si>
    <t>ebooksclub.org__Access_2010_For_Dummies.pdf</t>
  </si>
  <si>
    <t>D:\Stuff\Business\Projects\VBA\Jean\ebooksclub.org__Access_2010_For_Dummies.pdf</t>
  </si>
  <si>
    <t>Test File.xlsm</t>
  </si>
  <si>
    <t>D:\Stuff\Business\Projects\VBA\Jean\Employer Files\Test File.xlsm</t>
  </si>
  <si>
    <t>Test File 1.xlsm</t>
  </si>
  <si>
    <t>D:\Stuff\Business\Projects\VBA\Jean\Employer Files\File 2\Test File 1.xlsm</t>
  </si>
  <si>
    <t>Test File 1(1).xlsm</t>
  </si>
  <si>
    <t>D:\Stuff\Business\Projects\VBA\Jean\Employer Files\File 4\Test File 1(1).xlsm</t>
  </si>
  <si>
    <t>6CBD2271.tmp</t>
  </si>
  <si>
    <t>D:\Stuff\Business\Projects\VBA\Jean\My Files\File 3\6CBD2271.tmp</t>
  </si>
  <si>
    <t>D:\Stuff\Business\Projects\VBA\Jean\My Files\File 3\Test File 1.xlsm</t>
  </si>
  <si>
    <t>Clarification.png</t>
  </si>
  <si>
    <t>D:\Stuff\Business\Projects\VBA\Jean\My Files\File 3\Pics\Clarification.png</t>
  </si>
  <si>
    <t>D:\Stuff\Business\Projects\VBA\Jean\My Files\File 4\6CBD2271.tmp</t>
  </si>
  <si>
    <t>D:\Stuff\Business\Projects\VBA\Jean\My Files\File 4\Test File 1.xlsm</t>
  </si>
  <si>
    <t>D:\Stuff\Business\Projects\VBA\Jean\My Files\File 4\Pics\Clarification.png</t>
  </si>
  <si>
    <t>File_8.xlsm</t>
  </si>
  <si>
    <t>D:\Stuff\Business\Projects\VBA\Jean\My Files\File 9\File_8.xlsm</t>
  </si>
  <si>
    <t>~$lete Data.docx</t>
  </si>
  <si>
    <t>D:\Stuff\Business\Projects\VBA\Jean\My Files\File 9\~$lete Data.docx</t>
  </si>
  <si>
    <t>05B7C200</t>
  </si>
  <si>
    <t>D:\Stuff\Business\Projects\VBA\Jean\My Files\File5\05B7C200</t>
  </si>
  <si>
    <t>D:\Stuff\Business\Projects\VBA\Jean\My Files\File5\6CBD2271.tmp</t>
  </si>
  <si>
    <t>96ACC200</t>
  </si>
  <si>
    <t>D:\Stuff\Business\Projects\VBA\Jean\My Files\File5\96ACC200</t>
  </si>
  <si>
    <t>D:\Stuff\Business\Projects\VBA\Jean\My Files\File5\Test File 1.xlsm</t>
  </si>
  <si>
    <t>D:\Stuff\Business\Projects\VBA\Jean\My Files\File5\Pics\Clarification.png</t>
  </si>
  <si>
    <t>D:\Stuff\Business\Projects\VBA\Jean\My Files\File6\05B7C200</t>
  </si>
  <si>
    <t>25916A5C.tmp</t>
  </si>
  <si>
    <t>D:\Stuff\Business\Projects\VBA\Jean\My Files\File6\25916A5C.tmp</t>
  </si>
  <si>
    <t>D:\Stuff\Business\Projects\VBA\Jean\My Files\File6\6CBD2271.tmp</t>
  </si>
  <si>
    <t>D:\Stuff\Business\Projects\VBA\Jean\My Files\File6\96ACC200</t>
  </si>
  <si>
    <t>ChangePassword.frm</t>
  </si>
  <si>
    <t>D:\Stuff\Business\Projects\VBA\Jean\My Files\File6\ChangePassword.frm</t>
  </si>
  <si>
    <t>ChangePassword.frx</t>
  </si>
  <si>
    <t>D:\Stuff\Business\Projects\VBA\Jean\My Files\File6\ChangePassword.frx</t>
  </si>
  <si>
    <t>Delete Data.docx</t>
  </si>
  <si>
    <t>D:\Stuff\Business\Projects\VBA\Jean\My Files\File6\Delete Data.docx</t>
  </si>
  <si>
    <t>Delete Data.pdf</t>
  </si>
  <si>
    <t>D:\Stuff\Business\Projects\VBA\Jean\My Files\File6\Delete Data.pdf</t>
  </si>
  <si>
    <t>Test File 2.xlsm</t>
  </si>
  <si>
    <t>D:\Stuff\Business\Projects\VBA\Jean\My Files\File6\Test File 2.xlsm</t>
  </si>
  <si>
    <t>UnlockSheets.frm</t>
  </si>
  <si>
    <t>D:\Stuff\Business\Projects\VBA\Jean\My Files\File6\UnlockSheets.frm</t>
  </si>
  <si>
    <t>UnlockSheets.frx</t>
  </si>
  <si>
    <t>D:\Stuff\Business\Projects\VBA\Jean\My Files\File6\UnlockSheets.frx</t>
  </si>
  <si>
    <t>D:\Stuff\Business\Projects\VBA\Jean\My Files\File6\Pics\Clarification.png</t>
  </si>
  <si>
    <t>D:\Stuff\Business\Projects\VBA\Jean\My Files\File6\Pics\Clarifications\1.png</t>
  </si>
  <si>
    <t>D:\Stuff\Business\Projects\VBA\Jean\My Files\File6\Pics\Clarifications\2.png</t>
  </si>
  <si>
    <t>D:\Stuff\Business\Projects\VBA\Jean\My Files\File6\Pics\Clarifications\3.png</t>
  </si>
  <si>
    <t>D:\Stuff\Business\Projects\VBA\Jean\My Files\File6\Pics\Clarifications\4.png</t>
  </si>
  <si>
    <t>D:\Stuff\Business\Projects\VBA\Jean\My Files\File6\Pics\Clarifications\5.png</t>
  </si>
  <si>
    <t>D:\Stuff\Business\Projects\VBA\Jean\My Files\File7\05B7C200</t>
  </si>
  <si>
    <t>238F2645.tmp</t>
  </si>
  <si>
    <t>D:\Stuff\Business\Projects\VBA\Jean\My Files\File7\238F2645.tmp</t>
  </si>
  <si>
    <t>D:\Stuff\Business\Projects\VBA\Jean\My Files\File7\25916A5C.tmp</t>
  </si>
  <si>
    <t>523A7FB1.tmp</t>
  </si>
  <si>
    <t>D:\Stuff\Business\Projects\VBA\Jean\My Files\File7\523A7FB1.tmp</t>
  </si>
  <si>
    <t>D:\Stuff\Business\Projects\VBA\Jean\My Files\File7\6CBD2271.tmp</t>
  </si>
  <si>
    <t>D:\Stuff\Business\Projects\VBA\Jean\My Files\File7\96ACC200</t>
  </si>
  <si>
    <t>9CB8202A.tmp</t>
  </si>
  <si>
    <t>D:\Stuff\Business\Projects\VBA\Jean\My Files\File7\9CB8202A.tmp</t>
  </si>
  <si>
    <t>D:\Stuff\Business\Projects\VBA\Jean\My Files\File7\ChangePassword.frm</t>
  </si>
  <si>
    <t>D:\Stuff\Business\Projects\VBA\Jean\My Files\File7\ChangePassword.frx</t>
  </si>
  <si>
    <t>D:\Stuff\Business\Projects\VBA\Jean\My Files\File7\Delete Data.docx</t>
  </si>
  <si>
    <t>D:\Stuff\Business\Projects\VBA\Jean\My Files\File7\Delete Data.pdf</t>
  </si>
  <si>
    <t>FD48D8DF.tmp</t>
  </si>
  <si>
    <t>D:\Stuff\Business\Projects\VBA\Jean\My Files\File7\FD48D8DF.tmp</t>
  </si>
  <si>
    <t>File_7.xlsm</t>
  </si>
  <si>
    <t>D:\Stuff\Business\Projects\VBA\Jean\My Files\File7\File_7.xlsm</t>
  </si>
  <si>
    <t>Reset.frm</t>
  </si>
  <si>
    <t>D:\Stuff\Business\Projects\VBA\Jean\My Files\File7\Reset.frm</t>
  </si>
  <si>
    <t>Reset.frx</t>
  </si>
  <si>
    <t>D:\Stuff\Business\Projects\VBA\Jean\My Files\File7\Reset.frx</t>
  </si>
  <si>
    <t>D:\Stuff\Business\Projects\VBA\Jean\My Files\File7\UnlockSheets.frm</t>
  </si>
  <si>
    <t>D:\Stuff\Business\Projects\VBA\Jean\My Files\File7\UnlockSheets.frx</t>
  </si>
  <si>
    <t>D:\Stuff\Business\Projects\VBA\Jean\My Files\File7\~$lete Data.docx</t>
  </si>
  <si>
    <t>D:\Stuff\Business\Projects\VBA\Jean\My Files\File7\Pics\Clarification.png</t>
  </si>
  <si>
    <t>D:\Stuff\Business\Projects\VBA\Jean\My Files\File7\Pics\Clarifications\1.png</t>
  </si>
  <si>
    <t>D:\Stuff\Business\Projects\VBA\Jean\My Files\File7\Pics\Clarifications\2.png</t>
  </si>
  <si>
    <t>D:\Stuff\Business\Projects\VBA\Jean\My Files\File7\Pics\Clarifications\3.png</t>
  </si>
  <si>
    <t>D:\Stuff\Business\Projects\VBA\Jean\My Files\File7\Pics\Clarifications\4.png</t>
  </si>
  <si>
    <t>D:\Stuff\Business\Projects\VBA\Jean\My Files\File7\Pics\Clarifications\5.png</t>
  </si>
  <si>
    <t>Admin.frm</t>
  </si>
  <si>
    <t>D:\Stuff\Business\Projects\VBA\Jean\My Files\File8\Admin.frm</t>
  </si>
  <si>
    <t>Admin.frx</t>
  </si>
  <si>
    <t>D:\Stuff\Business\Projects\VBA\Jean\My Files\File8\Admin.frx</t>
  </si>
  <si>
    <t>Admin.log</t>
  </si>
  <si>
    <t>D:\Stuff\Business\Projects\VBA\Jean\My Files\File8\Admin.log</t>
  </si>
  <si>
    <t>D:\Stuff\Business\Projects\VBA\Jean\My Files\File8\File_8.xlsm</t>
  </si>
  <si>
    <t>D:\Stuff\Business\Projects\VBA\Jean\My Files\File8\UnlockSheets.frm</t>
  </si>
  <si>
    <t>D:\Stuff\Business\Projects\VBA\Jean\My Files\File8\UnlockSheets.frx</t>
  </si>
  <si>
    <t>UnlockSheets.log</t>
  </si>
  <si>
    <t>D:\Stuff\Business\Projects\VBA\Jean\My Files\File8\UnlockSheets.log</t>
  </si>
  <si>
    <t>D:\Stuff\Business\Projects\VBA\Jean\My Files\File8\~$lete Data.docx</t>
  </si>
  <si>
    <t>D:\Stuff\Business\Projects\VBA\Jean\My Files\Files 1\Clarification.docx</t>
  </si>
  <si>
    <t>D:\Stuff\Business\Projects\VBA\Jean\My Files\Files 1\Clarification.png</t>
  </si>
  <si>
    <t>E5C2908F.tmp</t>
  </si>
  <si>
    <t>D:\Stuff\Business\Projects\VBA\Jean\My Files\Files 1\E5C2908F.tmp</t>
  </si>
  <si>
    <t>File_1.xlsm</t>
  </si>
  <si>
    <t>D:\Stuff\Business\Projects\VBA\Jean\My Files\Files 1\File_1.xlsm</t>
  </si>
  <si>
    <t>File_1.zip</t>
  </si>
  <si>
    <t>D:\Stuff\Business\Projects\VBA\Jean\My Files\Files 1\File_1.zip</t>
  </si>
  <si>
    <t>Changes.png</t>
  </si>
  <si>
    <t>D:\Stuff\Business\Projects\VBA\Jean\My Files\Files2\Changes.png</t>
  </si>
  <si>
    <t>File_2.xlsm</t>
  </si>
  <si>
    <t>D:\Stuff\Business\Projects\VBA\Jean\My Files\Files2\File_2.xlsm</t>
  </si>
  <si>
    <t>Project 1.xlsm</t>
  </si>
  <si>
    <t>D:\Stuff\Business\Projects\VBA\Jean\My Files\Project 1\File 1.1\Project 1.xlsm</t>
  </si>
  <si>
    <t>Project 1.zip</t>
  </si>
  <si>
    <t>D:\Stuff\Business\Projects\VBA\Jean\My Files\Project 1\File 1.1\Project 1.zip</t>
  </si>
  <si>
    <t>1.xlsx</t>
  </si>
  <si>
    <t>D:\Stuff\Business\Stack Over Flow\1\1.xlsx</t>
  </si>
  <si>
    <t>D:\Stuff\Business\Stack Over Flow\1\Pics\2.png</t>
  </si>
  <si>
    <t>D:\Stuff\Business\Stack Over Flow\1\Pics\3.png</t>
  </si>
  <si>
    <t>Sheet 1.png</t>
  </si>
  <si>
    <t>D:\Stuff\Business\Stack Over Flow\1\Pics\Sheet 1.png</t>
  </si>
  <si>
    <t>Cell A1.png</t>
  </si>
  <si>
    <t>D:\Stuff\Business\Stack Over Flow\2\Cell A1.png</t>
  </si>
  <si>
    <t>Excel, Formulas and Functions.png</t>
  </si>
  <si>
    <t>D:\Stuff\Business\Stack Over Flow\2\Excel, Formulas and Functions.png</t>
  </si>
  <si>
    <t>File.xlsx</t>
  </si>
  <si>
    <t>D:\Stuff\Business\Stack Over Flow\2\File.xlsx</t>
  </si>
  <si>
    <t>Result.png</t>
  </si>
  <si>
    <t>D:\Stuff\Business\Stack Over Flow\2\Result.png</t>
  </si>
  <si>
    <t>Sheet 2.png</t>
  </si>
  <si>
    <t>D:\Stuff\Business\Stack Over Flow\2\Sheet 2.png</t>
  </si>
  <si>
    <t>D:\Stuff\Business\Stack Over Flow\3\1.png</t>
  </si>
  <si>
    <t>D:\Stuff\Business\Stack Over Flow\3\2.png</t>
  </si>
  <si>
    <t>D:\Stuff\Business\Stack Over Flow\3\3.png</t>
  </si>
  <si>
    <t>D:\Stuff\Business\Stack Over Flow\3\4.png</t>
  </si>
  <si>
    <t>D:\Stuff\Business\Stack Over Flow\3\5.png</t>
  </si>
  <si>
    <t>D:\Stuff\Business\Stack Over Flow\4\1.png</t>
  </si>
  <si>
    <t>D:\Stuff\Business\Stack Over Flow\4\2.png</t>
  </si>
  <si>
    <t>1.xlsm</t>
  </si>
  <si>
    <t>D:\Stuff\Business\Stack Over Flow\5\1.xlsm</t>
  </si>
  <si>
    <t>D:\Stuff\Business\Stack Over Flow\5\10.png</t>
  </si>
  <si>
    <t>D:\Stuff\Business\Stack Over Flow\5\11.png</t>
  </si>
  <si>
    <t>D:\Stuff\Business\Stack Over Flow\5\12.png</t>
  </si>
  <si>
    <t>D:\Stuff\Business\Stack Over Flow\5\13.png</t>
  </si>
  <si>
    <t>D:\Stuff\Business\Stack Over Flow\5\14.png</t>
  </si>
  <si>
    <t>D:\Stuff\Business\Stack Over Flow\5\15.png</t>
  </si>
  <si>
    <t>D:\Stuff\Business\Stack Over Flow\5\16.png</t>
  </si>
  <si>
    <t>D:\Stuff\Business\Stack Over Flow\5\17.png</t>
  </si>
  <si>
    <t>D:\Stuff\Business\Stack Over Flow\5\18.png</t>
  </si>
  <si>
    <t>D:\Stuff\Business\Stack Over Flow\5\19.png</t>
  </si>
  <si>
    <t>D:\Stuff\Business\Stack Over Flow\5\20.png</t>
  </si>
  <si>
    <t>D:\Stuff\Business\Stack Over Flow\5\21.png</t>
  </si>
  <si>
    <t>D:\Stuff\Business\Stack Over Flow\5\22.png</t>
  </si>
  <si>
    <t>D:\Stuff\Business\Stack Over Flow\5\23.png</t>
  </si>
  <si>
    <t>24.png</t>
  </si>
  <si>
    <t>D:\Stuff\Business\Stack Over Flow\5\24.png</t>
  </si>
  <si>
    <t>25.png</t>
  </si>
  <si>
    <t>D:\Stuff\Business\Stack Over Flow\5\25.png</t>
  </si>
  <si>
    <t>26.png</t>
  </si>
  <si>
    <t>D:\Stuff\Business\Stack Over Flow\5\26.png</t>
  </si>
  <si>
    <t>27.png</t>
  </si>
  <si>
    <t>D:\Stuff\Business\Stack Over Flow\5\27.png</t>
  </si>
  <si>
    <t>28.png</t>
  </si>
  <si>
    <t>D:\Stuff\Business\Stack Over Flow\5\28.png</t>
  </si>
  <si>
    <t>29.png</t>
  </si>
  <si>
    <t>D:\Stuff\Business\Stack Over Flow\5\29.png</t>
  </si>
  <si>
    <t>30.png</t>
  </si>
  <si>
    <t>D:\Stuff\Business\Stack Over Flow\5\30.png</t>
  </si>
  <si>
    <t>D:\Stuff\Business\Stack Over Flow\5\5.png</t>
  </si>
  <si>
    <t>D:\Stuff\Business\Stack Over Flow\5\6.png</t>
  </si>
  <si>
    <t>D:\Stuff\Business\Stack Over Flow\5\7.png</t>
  </si>
  <si>
    <t>D:\Stuff\Business\Stack Over Flow\5\8.png</t>
  </si>
  <si>
    <t>D:\Stuff\Business\Stack Over Flow\5\9.png</t>
  </si>
  <si>
    <t>2014 Media Kit.pptx</t>
  </si>
  <si>
    <t>D:\Stuff\Business\Stack Over Flow\Adds\2014 Media Kit.pptx</t>
  </si>
  <si>
    <t>addsonsite.zip</t>
  </si>
  <si>
    <t>D:\Stuff\Business\Stack Over Flow\Adds\addsonsite.zip</t>
  </si>
  <si>
    <t>rate_card_01012014.pptx</t>
  </si>
  <si>
    <t>D:\Stuff\Business\Stack Over Flow\Adds\rate_card_01012014.pptx</t>
  </si>
  <si>
    <t>example.xlsm</t>
  </si>
  <si>
    <t>D:\Stuff\Business\Stack Over Flow\Projects\example.xlsm</t>
  </si>
  <si>
    <t>report.xlsm</t>
  </si>
  <si>
    <t>D:\Stuff\Business\Stack Over Flow\Projects\VBA\Anekcahpa\report.xlsm</t>
  </si>
  <si>
    <t>revba.zip</t>
  </si>
  <si>
    <t>D:\Stuff\Business\Stack Over Flow\Projects\VBA\Anekcahpa\revba.zip</t>
  </si>
  <si>
    <t>Temp.zip</t>
  </si>
  <si>
    <t>D:\Stuff\Business\Stack Over Flow\Projects\VBA\Anekcahpa\Temp.zip</t>
  </si>
  <si>
    <t>a.xlsx</t>
  </si>
  <si>
    <t>D:\Stuff\Business\Stack Over Flow\Projects\VBA\Anekcahpa\Temp\a.xlsx</t>
  </si>
  <si>
    <t>b.xlsx</t>
  </si>
  <si>
    <t>D:\Stuff\Business\Stack Over Flow\Projects\VBA\Anekcahpa\Temp\b.xlsx</t>
  </si>
  <si>
    <t>example - error when copying chart.zip</t>
  </si>
  <si>
    <t>D:\Stuff\Business\Stack Over Flow\Projects\VBA\David Torok\example - error when copying chart.zip</t>
  </si>
  <si>
    <t>DestinationWB.xlsm</t>
  </si>
  <si>
    <t>D:\Stuff\Business\Stack Over Flow\Projects\VBA\David Torok\example - error when copying chart\DestinationWB.xlsm</t>
  </si>
  <si>
    <t>DestinationWB.zip</t>
  </si>
  <si>
    <t>D:\Stuff\Business\Stack Over Flow\Projects\VBA\David Torok\example - error when copying chart\DestinationWB.zip</t>
  </si>
  <si>
    <t>Source WB.xlsx</t>
  </si>
  <si>
    <t>D:\Stuff\Business\Stack Over Flow\Projects\VBA\David Torok\example - error when copying chart\Source WB.xlsx</t>
  </si>
  <si>
    <t>D:\Stuff\Business\Stack Over Flow\Projects\VBA\David Torok\example - error when copying chart\New\DestinationWB.xlsm</t>
  </si>
  <si>
    <t>D:\Stuff\Business\Stack Over Flow\Projects\VBA\David Torok\example - error when copying chart\New\Source WB.xlsx</t>
  </si>
  <si>
    <t>Assignment_2_Belanger.zip</t>
  </si>
  <si>
    <t>D:\Stuff\Business\Stack Over Flow\Projects\VBA\Kyle.Belanger\Assignment_2_Belanger.zip</t>
  </si>
  <si>
    <t>Assignment_2_Belanger.sln</t>
  </si>
  <si>
    <t>D:\Stuff\Business\Stack Over Flow\Projects\VBA\Kyle.Belanger\Assignment_2_Belanger\Assignment_2_Belanger.sln</t>
  </si>
  <si>
    <t>Assignment_2_Belanger.v11.suo</t>
  </si>
  <si>
    <t>D:\Stuff\Business\Stack Over Flow\Projects\VBA\Kyle.Belanger\Assignment_2_Belanger\Assignment_2_Belanger.v11.suo</t>
  </si>
  <si>
    <t>App.config</t>
  </si>
  <si>
    <t>D:\Stuff\Business\Stack Over Flow\Projects\VBA\Kyle.Belanger\Assignment_2_Belanger\Assignment_2_Belanger\App.config</t>
  </si>
  <si>
    <t>Assignment_2_Belanger.vbproj</t>
  </si>
  <si>
    <t>D:\Stuff\Business\Stack Over Flow\Projects\VBA\Kyle.Belanger\Assignment_2_Belanger\Assignment_2_Belanger\Assignment_2_Belanger.vbproj</t>
  </si>
  <si>
    <t>Form1.Designer.vb</t>
  </si>
  <si>
    <t>D:\Stuff\Business\Stack Over Flow\Projects\VBA\Kyle.Belanger\Assignment_2_Belanger\Assignment_2_Belanger\Form1.Designer.vb</t>
  </si>
  <si>
    <t>Form1.resx</t>
  </si>
  <si>
    <t>D:\Stuff\Business\Stack Over Flow\Projects\VBA\Kyle.Belanger\Assignment_2_Belanger\Assignment_2_Belanger\Form1.resx</t>
  </si>
  <si>
    <t>Form1.vb</t>
  </si>
  <si>
    <t>D:\Stuff\Business\Stack Over Flow\Projects\VBA\Kyle.Belanger\Assignment_2_Belanger\Assignment_2_Belanger\Form1.vb</t>
  </si>
  <si>
    <t>Assignment_2_Belanger.exe</t>
  </si>
  <si>
    <t>D:\Stuff\Business\Stack Over Flow\Projects\VBA\Kyle.Belanger\Assignment_2_Belanger\Assignment_2_Belanger\bin\Debug\Assignment_2_Belanger.exe</t>
  </si>
  <si>
    <t>Assignment_2_Belanger.exe.config</t>
  </si>
  <si>
    <t>D:\Stuff\Business\Stack Over Flow\Projects\VBA\Kyle.Belanger\Assignment_2_Belanger\Assignment_2_Belanger\bin\Debug\Assignment_2_Belanger.exe.config</t>
  </si>
  <si>
    <t>Assignment_2_Belanger.pdb</t>
  </si>
  <si>
    <t>D:\Stuff\Business\Stack Over Flow\Projects\VBA\Kyle.Belanger\Assignment_2_Belanger\Assignment_2_Belanger\bin\Debug\Assignment_2_Belanger.pdb</t>
  </si>
  <si>
    <t>Assignment_2_Belanger.vshost.exe</t>
  </si>
  <si>
    <t>D:\Stuff\Business\Stack Over Flow\Projects\VBA\Kyle.Belanger\Assignment_2_Belanger\Assignment_2_Belanger\bin\Debug\Assignment_2_Belanger.vshost.exe</t>
  </si>
  <si>
    <t>Assignment_2_Belanger.vshost.exe.config</t>
  </si>
  <si>
    <t>D:\Stuff\Business\Stack Over Flow\Projects\VBA\Kyle.Belanger\Assignment_2_Belanger\Assignment_2_Belanger\bin\Debug\Assignment_2_Belanger.vshost.exe.config</t>
  </si>
  <si>
    <t>Assignment_2_Belanger.vshost.exe.manifest</t>
  </si>
  <si>
    <t>D:\Stuff\Business\Stack Over Flow\Projects\VBA\Kyle.Belanger\Assignment_2_Belanger\Assignment_2_Belanger\bin\Debug\Assignment_2_Belanger.vshost.exe.manifest</t>
  </si>
  <si>
    <t>Assignment_2_Belanger.xml</t>
  </si>
  <si>
    <t>D:\Stuff\Business\Stack Over Flow\Projects\VBA\Kyle.Belanger\Assignment_2_Belanger\Assignment_2_Belanger\bin\Debug\Assignment_2_Belanger.xml</t>
  </si>
  <si>
    <t>contacts.txt</t>
  </si>
  <si>
    <t>D:\Stuff\Business\Stack Over Flow\Projects\VBA\Kyle.Belanger\Assignment_2_Belanger\Assignment_2_Belanger\bin\Debug\contacts.txt</t>
  </si>
  <si>
    <t>Application.Designer.vb</t>
  </si>
  <si>
    <t>D:\Stuff\Business\Stack Over Flow\Projects\VBA\Kyle.Belanger\Assignment_2_Belanger\Assignment_2_Belanger\My Project\Application.Designer.vb</t>
  </si>
  <si>
    <t>Application.myapp</t>
  </si>
  <si>
    <t>D:\Stuff\Business\Stack Over Flow\Projects\VBA\Kyle.Belanger\Assignment_2_Belanger\Assignment_2_Belanger\My Project\Application.myapp</t>
  </si>
  <si>
    <t>AssemblyInfo.vb</t>
  </si>
  <si>
    <t>D:\Stuff\Business\Stack Over Flow\Projects\VBA\Kyle.Belanger\Assignment_2_Belanger\Assignment_2_Belanger\My Project\AssemblyInfo.vb</t>
  </si>
  <si>
    <t>Resources.Designer.vb</t>
  </si>
  <si>
    <t>D:\Stuff\Business\Stack Over Flow\Projects\VBA\Kyle.Belanger\Assignment_2_Belanger\Assignment_2_Belanger\My Project\Resources.Designer.vb</t>
  </si>
  <si>
    <t>Resources.resx</t>
  </si>
  <si>
    <t>D:\Stuff\Business\Stack Over Flow\Projects\VBA\Kyle.Belanger\Assignment_2_Belanger\Assignment_2_Belanger\My Project\Resources.resx</t>
  </si>
  <si>
    <t>Settings.Designer.vb</t>
  </si>
  <si>
    <t>D:\Stuff\Business\Stack Over Flow\Projects\VBA\Kyle.Belanger\Assignment_2_Belanger\Assignment_2_Belanger\My Project\Settings.Designer.vb</t>
  </si>
  <si>
    <t>Settings.settings</t>
  </si>
  <si>
    <t>D:\Stuff\Business\Stack Over Flow\Projects\VBA\Kyle.Belanger\Assignment_2_Belanger\Assignment_2_Belanger\My Project\Settings.settings</t>
  </si>
  <si>
    <t>D:\Stuff\Business\Stack Over Flow\Projects\VBA\Kyle.Belanger\Assignment_2_Belanger\Assignment_2_Belanger\obj\Debug\Assignment_2_Belanger.exe</t>
  </si>
  <si>
    <t>Assignment_2_Belanger.Form1.resources</t>
  </si>
  <si>
    <t>D:\Stuff\Business\Stack Over Flow\Projects\VBA\Kyle.Belanger\Assignment_2_Belanger\Assignment_2_Belanger\obj\Debug\Assignment_2_Belanger.Form1.resources</t>
  </si>
  <si>
    <t>D:\Stuff\Business\Stack Over Flow\Projects\VBA\Kyle.Belanger\Assignment_2_Belanger\Assignment_2_Belanger\obj\Debug\Assignment_2_Belanger.pdb</t>
  </si>
  <si>
    <t>Assignment_2_Belanger.Resources.resources</t>
  </si>
  <si>
    <t>D:\Stuff\Business\Stack Over Flow\Projects\VBA\Kyle.Belanger\Assignment_2_Belanger\Assignment_2_Belanger\obj\Debug\Assignment_2_Belanger.Resources.resources</t>
  </si>
  <si>
    <t>Assignment_2_Belanger.vbproj.FileListAbsolute.txt</t>
  </si>
  <si>
    <t>D:\Stuff\Business\Stack Over Flow\Projects\VBA\Kyle.Belanger\Assignment_2_Belanger\Assignment_2_Belanger\obj\Debug\Assignment_2_Belanger.vbproj.FileListAbsolute.txt</t>
  </si>
  <si>
    <t>Assignment_2_Belanger.vbproj.GenerateResource.Cache</t>
  </si>
  <si>
    <t>D:\Stuff\Business\Stack Over Flow\Projects\VBA\Kyle.Belanger\Assignment_2_Belanger\Assignment_2_Belanger\obj\Debug\Assignment_2_Belanger.vbproj.GenerateResource.Cache</t>
  </si>
  <si>
    <t>D:\Stuff\Business\Stack Over Flow\Projects\VBA\Kyle.Belanger\Assignment_2_Belanger\Assignment_2_Belanger\obj\Debug\Assignment_2_Belanger.xml</t>
  </si>
  <si>
    <t>DesignTimeResolveAssemblyReferences.cache</t>
  </si>
  <si>
    <t>D:\Stuff\Business\Stack Over Flow\Projects\VBA\Kyle.Belanger\Assignment_2_Belanger\Assignment_2_Belanger\obj\Debug\DesignTimeResolveAssemblyReferences.cache</t>
  </si>
  <si>
    <t>DesignTimeResolveAssemblyReferencesInput.cache</t>
  </si>
  <si>
    <t>D:\Stuff\Business\Stack Over Flow\Projects\VBA\Kyle.Belanger\Assignment_2_Belanger\Assignment_2_Belanger\obj\Debug\DesignTimeResolveAssemblyReferencesInput.cache</t>
  </si>
  <si>
    <t>My Project.Resources.Designer.vb.dll</t>
  </si>
  <si>
    <t>D:\Stuff\Business\Stack Over Flow\Projects\VBA\Kyle.Belanger\Assignment_2_Belanger\Assignment_2_Belanger\obj\Debug\TempPE\My Project.Resources.Designer.vb.dll</t>
  </si>
  <si>
    <t>Quellenverfügbarkeitstool.xlsm</t>
  </si>
  <si>
    <t>D:\Stuff\Business\Stack Over Flow\Projects\VBA\Marco Sigir\Quellenverfügbarkeitstool.xlsm</t>
  </si>
  <si>
    <t>D:\Stuff\Business\Stack Over Flow\Projects\VBA\Misc\1\1.png</t>
  </si>
  <si>
    <t>D:\Stuff\Business\Stack Over Flow\Projects\VBA\Misc\1\2.png</t>
  </si>
  <si>
    <t>D:\Stuff\Business\Stack Over Flow\Projects\VBA\Misc\1\3.png</t>
  </si>
  <si>
    <t>Action Plan.xlsm</t>
  </si>
  <si>
    <t>D:\Stuff\Business\Stack Over Flow\Projects\VBA\Peter Carr\Action Plan.xlsm</t>
  </si>
  <si>
    <t>Temp.xlsx</t>
  </si>
  <si>
    <t>D:\Stuff\Business\Stack Over Flow\Projects\VBA\Peter Carr\Temp.xlsx</t>
  </si>
  <si>
    <t>separate_the_City_and_Pincode.xlsx</t>
  </si>
  <si>
    <t>D:\Stuff\Business\Stack Over Flow\Projects\VBA\Ram Mohan\separate_the_City_and_Pincode.xlsx</t>
  </si>
  <si>
    <t>separate_the_City_and_Pincode_.xlsx</t>
  </si>
  <si>
    <t>D:\Stuff\Business\Stack Over Flow\Projects\VBA\Ram Mohan\separate_the_City_and_Pincode_.xlsx</t>
  </si>
  <si>
    <t>My Example.xlsm</t>
  </si>
  <si>
    <t>D:\Stuff\Business\Stack Over Flow\Projects\VBA\Rueben Castelino\My Example.xlsm</t>
  </si>
  <si>
    <t>My Example.xlsx</t>
  </si>
  <si>
    <t>D:\Stuff\Business\Stack Over Flow\Projects\VBA\Rueben Castelino\My Example.xlsx</t>
  </si>
  <si>
    <t>Survey Template.xlsx</t>
  </si>
  <si>
    <t>D:\Stuff\Business\Stack Over Flow\Projects\VBA\Rueben Castelino\Survey Template.xlsx</t>
  </si>
  <si>
    <t>D:\Stuff\Business\Stack Over Flow\Projects\VBA\Sastokes\example.xlsm</t>
  </si>
  <si>
    <t>TestPPT.xlsx</t>
  </si>
  <si>
    <t>D:\Stuff\Business\Stack Over Flow\Projects\VBA\Sastokes\TestPPT.xlsx</t>
  </si>
  <si>
    <t>D:\Stuff\Business\Stack Over Flow\Projects\VBA\Sastokes\New\example.xlsm</t>
  </si>
  <si>
    <t>TestPPT.xlsm</t>
  </si>
  <si>
    <t>D:\Stuff\Business\Stack Over Flow\Projects\VBA\Sastokes\New\TestPPT.xlsm</t>
  </si>
  <si>
    <t>DataLog.zip</t>
  </si>
  <si>
    <t>D:\Stuff\Business\Stack Over Flow\Projects\VBA\Silver Czeslaw\DataLog.zip</t>
  </si>
  <si>
    <t>02-14-2014_03h14m23s_5SGXYAB_F1517.mfh_unit1.csv</t>
  </si>
  <si>
    <t>D:\Stuff\Business\Stack Over Flow\Projects\VBA\Silver Czeslaw\DataLog\02-14-2014_03h14m23s_5SGXYAB_F1517.mfh_unit1.csv</t>
  </si>
  <si>
    <t>02-14-2014_20h12m20s_5SGXYAB_F1517.mfh_unit1.csv</t>
  </si>
  <si>
    <t>D:\Stuff\Business\Stack Over Flow\Projects\VBA\Silver Czeslaw\DataLog\02-14-2014_20h12m20s_5SGXYAB_F1517.mfh_unit1.csv</t>
  </si>
  <si>
    <t>Consolidate.xlsx</t>
  </si>
  <si>
    <t>D:\Stuff\Business\Stack Over Flow\Projects\VBA\Silver Czeslaw\DataLog\Consolidate.xlsx</t>
  </si>
  <si>
    <t>D:\Stuff\Business\Stack Over Flow\Projects\VBA\Zackary\Project 1.xlsm</t>
  </si>
  <si>
    <t>10.doc</t>
  </si>
  <si>
    <t>D:\Stuff\Business\Temp\10.doc</t>
  </si>
  <si>
    <t>D:\Stuff\Business\Temp\1.xlsm</t>
  </si>
  <si>
    <t>D:\Stuff\Business\Temp\14.png</t>
  </si>
  <si>
    <t>D:\Stuff\Business\Temp\17.png</t>
  </si>
  <si>
    <t>D:\Stuff\Business\Temp\21.png</t>
  </si>
  <si>
    <t>D:\Stuff\Business\Temp\25.png</t>
  </si>
  <si>
    <t>afdadf.txt</t>
  </si>
  <si>
    <t>D:\Stuff\Business\Temp\afdadf.txt</t>
  </si>
  <si>
    <r>
      <t xml:space="preserve">RDBMailOutlook Template </t>
    </r>
    <r>
      <rPr>
        <sz val="14"/>
        <rFont val="Calibri"/>
        <family val="2"/>
      </rPr>
      <t>(Version 2.1</t>
    </r>
    <r>
      <rPr>
        <b/>
        <sz val="14"/>
        <rFont val="Calibri"/>
        <family val="2"/>
      </rPr>
      <t>, Excel/Outlook 2007/2010</t>
    </r>
    <r>
      <rPr>
        <sz val="14"/>
        <rFont val="Calibri"/>
        <family val="2"/>
      </rPr>
      <t>)</t>
    </r>
  </si>
  <si>
    <t>http://www.rondebruin.nl/sendmail.htm</t>
  </si>
  <si>
    <t>Do you see cells with a Red interior color in the Table ?</t>
  </si>
  <si>
    <t>Preview the emails before sending :</t>
  </si>
  <si>
    <t>That means wrong data and it will not create a mail from that row</t>
  </si>
  <si>
    <t>Password of the Worksheets :</t>
  </si>
  <si>
    <t>YourWorksheetPassword</t>
  </si>
  <si>
    <t>Send</t>
  </si>
  <si>
    <t>Sheets</t>
  </si>
  <si>
    <t>Values</t>
  </si>
  <si>
    <t>Objects</t>
  </si>
  <si>
    <t>To</t>
  </si>
  <si>
    <t>Cc</t>
  </si>
  <si>
    <t>Bcc</t>
  </si>
  <si>
    <t>Subject</t>
  </si>
  <si>
    <t>Body text</t>
  </si>
  <si>
    <t>Importance</t>
  </si>
  <si>
    <t>No</t>
  </si>
  <si>
    <t>FilePath inclduing File Name</t>
  </si>
  <si>
    <t>Add File name here of Eligi lists</t>
  </si>
  <si>
    <t>Filepath</t>
  </si>
  <si>
    <t>Filepath Manually Added</t>
  </si>
  <si>
    <t>Excluding File Name</t>
  </si>
  <si>
    <t>Region</t>
  </si>
  <si>
    <t>OurBranchID</t>
  </si>
  <si>
    <t>CRM_NAME</t>
  </si>
  <si>
    <t>DistGroup</t>
  </si>
  <si>
    <t>CRM_Email</t>
  </si>
  <si>
    <t>AM_GL_Email</t>
  </si>
  <si>
    <t>AM_IL_Email</t>
  </si>
  <si>
    <t>RBM_IL_Email</t>
  </si>
  <si>
    <t>MIS_Team</t>
  </si>
  <si>
    <t>HelpDesks</t>
  </si>
  <si>
    <t>Body</t>
  </si>
  <si>
    <t>IsReportSent</t>
  </si>
  <si>
    <t>001</t>
  </si>
  <si>
    <t>1102</t>
  </si>
  <si>
    <t>sachinkumar.kb@ujjivan.com</t>
  </si>
  <si>
    <t>maruthi.h@ujjivan.com</t>
  </si>
  <si>
    <t>pradeep.b@ujjivan.com</t>
  </si>
  <si>
    <t>1103</t>
  </si>
  <si>
    <t>anand.prasad@ujjivan.com</t>
  </si>
  <si>
    <t>1105</t>
  </si>
  <si>
    <t>siddappa.s@ujjivan.com</t>
  </si>
  <si>
    <t>1106</t>
  </si>
  <si>
    <t>shymala.ramesh@ujjivan.com</t>
  </si>
  <si>
    <t>pratap.reddy@ujjivan.com</t>
  </si>
  <si>
    <t>1107</t>
  </si>
  <si>
    <t>sathish.m@ujjivan.com</t>
  </si>
  <si>
    <t>1108</t>
  </si>
  <si>
    <t>dileep.kumar@ujjivan.com</t>
  </si>
  <si>
    <t>1109</t>
  </si>
  <si>
    <t>meena.manavalan@ujjivan.com</t>
  </si>
  <si>
    <t>1110</t>
  </si>
  <si>
    <t>1111</t>
  </si>
  <si>
    <t>1112</t>
  </si>
  <si>
    <t>1113</t>
  </si>
  <si>
    <t>1114</t>
  </si>
  <si>
    <t>muthaiah.d@ujjivan.com</t>
  </si>
  <si>
    <t>ravichandra.mm@ujjivan.com</t>
  </si>
  <si>
    <t>1115</t>
  </si>
  <si>
    <t>Ramesh.r@ujjivan.com</t>
  </si>
  <si>
    <t>1116</t>
  </si>
  <si>
    <t>UJJ00452-Mohan Kumar S</t>
  </si>
  <si>
    <t>mohan.kumar@ujjivan.com</t>
  </si>
  <si>
    <t>1117</t>
  </si>
  <si>
    <t>kumara.shivanna@ujjivan.com</t>
  </si>
  <si>
    <t>1118</t>
  </si>
  <si>
    <t>1119</t>
  </si>
  <si>
    <t>UJJ00057-Elizabeth Rani B</t>
  </si>
  <si>
    <t>elizabeth.rani@ujjivan.com</t>
  </si>
  <si>
    <t>1120</t>
  </si>
  <si>
    <t>1121</t>
  </si>
  <si>
    <t>1122</t>
  </si>
  <si>
    <t>1123</t>
  </si>
  <si>
    <t>moinuddin.m@ujjivan.com</t>
  </si>
  <si>
    <t>1124</t>
  </si>
  <si>
    <t>UJJ11157-Sivakumar S V</t>
  </si>
  <si>
    <t>sivakumar.sv@Ujjivan.com</t>
  </si>
  <si>
    <t>thiyagu.basavaraj@ujjivan.com</t>
  </si>
  <si>
    <t>1130</t>
  </si>
  <si>
    <t>1131</t>
  </si>
  <si>
    <t>sreenivasa.bb@ujjivan.com</t>
  </si>
  <si>
    <t>1132</t>
  </si>
  <si>
    <t>1133</t>
  </si>
  <si>
    <t>prakash.k@ujjivan.com</t>
  </si>
  <si>
    <t>1134</t>
  </si>
  <si>
    <t>UJJ10465-Sampath Kumar S</t>
  </si>
  <si>
    <t>sampath.kumar@ujjivan.com</t>
  </si>
  <si>
    <t>1135</t>
  </si>
  <si>
    <t>1138</t>
  </si>
  <si>
    <t>narasimha.mudugere@ujjivan.com</t>
  </si>
  <si>
    <t>1139</t>
  </si>
  <si>
    <t>vinoda.v@ujjivan.com</t>
  </si>
  <si>
    <t>1141</t>
  </si>
  <si>
    <t>1142</t>
  </si>
  <si>
    <t>UJJ11862-Puttaiah H K</t>
  </si>
  <si>
    <t>puttaiah.karigowda@ujjivan.com</t>
  </si>
  <si>
    <t>srinivas.govinda@ujjivan.com</t>
  </si>
  <si>
    <t>1143</t>
  </si>
  <si>
    <t>1144</t>
  </si>
  <si>
    <t>1145</t>
  </si>
  <si>
    <t>UJJ09204-Shivaprasad G M</t>
  </si>
  <si>
    <t>shivaprasad.gm@ujjivan.com</t>
  </si>
  <si>
    <t>1146</t>
  </si>
  <si>
    <t>sudhakar.babu@ujjivan.com</t>
  </si>
  <si>
    <t>1147</t>
  </si>
  <si>
    <t>UJJ02022-Narasimhaiah Y G</t>
  </si>
  <si>
    <t>narasimhaiah.yg@ujjivan.com</t>
  </si>
  <si>
    <t>1150</t>
  </si>
  <si>
    <t>1151</t>
  </si>
  <si>
    <t>1153</t>
  </si>
  <si>
    <t>puttaswamy.ranganaika@ujjivan.com</t>
  </si>
  <si>
    <t>1155</t>
  </si>
  <si>
    <t>1156</t>
  </si>
  <si>
    <t>UJJ01156-Vasanth Kumar E</t>
  </si>
  <si>
    <t>vasanthkumar.e@ujjivan.com</t>
  </si>
  <si>
    <t>1160</t>
  </si>
  <si>
    <t>1161</t>
  </si>
  <si>
    <t>khajavali.m@ujjivan.com</t>
  </si>
  <si>
    <t>1162</t>
  </si>
  <si>
    <t>john.wesley@ujjivan.com</t>
  </si>
  <si>
    <t>1165</t>
  </si>
  <si>
    <t>1168</t>
  </si>
  <si>
    <t>1169</t>
  </si>
  <si>
    <t>nagaraja.paneer@ujjivan.com</t>
  </si>
  <si>
    <t>1170</t>
  </si>
  <si>
    <t>1171</t>
  </si>
  <si>
    <t>srinivasan.ponnuswamy@ujjivan.com</t>
  </si>
  <si>
    <t>sridharan.manoharan@ujjivan.com</t>
  </si>
  <si>
    <t>sajith.sadanandan@ujjivan.com</t>
  </si>
  <si>
    <t>1172</t>
  </si>
  <si>
    <t>1173</t>
  </si>
  <si>
    <t>hanumanthaiah.hanumaiah@ujjivan.com</t>
  </si>
  <si>
    <t>1174</t>
  </si>
  <si>
    <t>UJJ11486-Abdulrehaman H Mulla</t>
  </si>
  <si>
    <t>abdulrehaman.mulla@ujjivan.com</t>
  </si>
  <si>
    <t>1176</t>
  </si>
  <si>
    <t>1179</t>
  </si>
  <si>
    <t>1181</t>
  </si>
  <si>
    <t>xavier.i@ujjivan.com</t>
  </si>
  <si>
    <t>1182</t>
  </si>
  <si>
    <t>1183</t>
  </si>
  <si>
    <t>1184</t>
  </si>
  <si>
    <t>1186</t>
  </si>
  <si>
    <t>UJJ03564-Ranjith Kumar K</t>
  </si>
  <si>
    <t>ranjith.kumar@ujjivan.com</t>
  </si>
  <si>
    <t>1188</t>
  </si>
  <si>
    <t>1189</t>
  </si>
  <si>
    <t>1191</t>
  </si>
  <si>
    <t>prabakaran.chidambaram@ujjivan.com</t>
  </si>
  <si>
    <t>1193</t>
  </si>
  <si>
    <t>UJJ07747-Aneesh T K</t>
  </si>
  <si>
    <t>aneesh.narayana@ujjivan.com</t>
  </si>
  <si>
    <t>rajeshkumar.v@ujjivan.com</t>
  </si>
  <si>
    <t>1194</t>
  </si>
  <si>
    <t>1195</t>
  </si>
  <si>
    <t>1197</t>
  </si>
  <si>
    <t>1602</t>
  </si>
  <si>
    <t>1603</t>
  </si>
  <si>
    <t>1605</t>
  </si>
  <si>
    <t>1607</t>
  </si>
  <si>
    <t>1608</t>
  </si>
  <si>
    <t>vadivelan.n@Ujjivan.com</t>
  </si>
  <si>
    <t>1609</t>
  </si>
  <si>
    <t>1610</t>
  </si>
  <si>
    <t>1611</t>
  </si>
  <si>
    <t>vino.jesaiah@ujjivan.com</t>
  </si>
  <si>
    <t>1613</t>
  </si>
  <si>
    <t>1615</t>
  </si>
  <si>
    <t>1618</t>
  </si>
  <si>
    <t>1619</t>
  </si>
  <si>
    <t>UJJ05185-Rupesh Mohan Mokatkar</t>
  </si>
  <si>
    <t>rupesh.mokatkar@ujjivan.com</t>
  </si>
  <si>
    <t>1622</t>
  </si>
  <si>
    <t>UJJ07433-Jineesh N U</t>
  </si>
  <si>
    <t>jineesh.unnikrishnan@ujjivan.com</t>
  </si>
  <si>
    <t>1624</t>
  </si>
  <si>
    <t>1625</t>
  </si>
  <si>
    <t>UJJ01154-Chaluvaraj B V</t>
  </si>
  <si>
    <t>chaluvaraju.bv@ujjivan.com</t>
  </si>
  <si>
    <t>1626</t>
  </si>
  <si>
    <t>1627</t>
  </si>
  <si>
    <t>1628</t>
  </si>
  <si>
    <t>kosumani.e@ujjivan.com</t>
  </si>
  <si>
    <t>1629</t>
  </si>
  <si>
    <t>chandrashekar.k@ujjivan.com</t>
  </si>
  <si>
    <t>1630</t>
  </si>
  <si>
    <t>ravi.alavasalli@ujjivan.com</t>
  </si>
  <si>
    <t>1631</t>
  </si>
  <si>
    <t>1632</t>
  </si>
  <si>
    <t>UJJ09205-Puttaiah H D</t>
  </si>
  <si>
    <t>puttaiah.hd@ujjivan.com</t>
  </si>
  <si>
    <t>1633</t>
  </si>
  <si>
    <t>theertha.kumar@ujjivan.com</t>
  </si>
  <si>
    <t>1634</t>
  </si>
  <si>
    <t>1635</t>
  </si>
  <si>
    <t>chandrashekar.chikkaiah@ujjivan.com</t>
  </si>
  <si>
    <t>1636</t>
  </si>
  <si>
    <t>UJJ07746-Praveen Kumar S</t>
  </si>
  <si>
    <t>praveen.sasidharan@ujjivan.com</t>
  </si>
  <si>
    <t>1637</t>
  </si>
  <si>
    <t>1638</t>
  </si>
  <si>
    <t>1639</t>
  </si>
  <si>
    <t>1640</t>
  </si>
  <si>
    <t>shantharaju.g@Ujjivan.com</t>
  </si>
  <si>
    <t>1641</t>
  </si>
  <si>
    <t>sreejith.j@ujjivan.com</t>
  </si>
  <si>
    <t>1642</t>
  </si>
  <si>
    <t>bhakiyaraj.k@ujjivan.com</t>
  </si>
  <si>
    <t>1643</t>
  </si>
  <si>
    <t>1644</t>
  </si>
  <si>
    <t>1645</t>
  </si>
  <si>
    <t>1646</t>
  </si>
  <si>
    <t>UJJ02083-Raghunandan H S</t>
  </si>
  <si>
    <t>raghunandan.hs@ujjivan.com</t>
  </si>
  <si>
    <t>1647</t>
  </si>
  <si>
    <t>1648</t>
  </si>
  <si>
    <t>UJJ10120-Kali Rajan M</t>
  </si>
  <si>
    <t>kalirajan.m@ujjivan.com</t>
  </si>
  <si>
    <t>1649</t>
  </si>
  <si>
    <t>UJJ13007-Palani Kumar G</t>
  </si>
  <si>
    <t>palani.kumar@ujjivan.com</t>
  </si>
  <si>
    <t>1650</t>
  </si>
  <si>
    <t>1651</t>
  </si>
  <si>
    <t>1652</t>
  </si>
  <si>
    <t>1653</t>
  </si>
  <si>
    <t>1654</t>
  </si>
  <si>
    <t>ramakrishnan.thangamalai@ujjivan.com</t>
  </si>
  <si>
    <t>1655</t>
  </si>
  <si>
    <t>1656</t>
  </si>
  <si>
    <t>003</t>
  </si>
  <si>
    <t>3302</t>
  </si>
  <si>
    <t>UJJ11377@ujjivan.com</t>
  </si>
  <si>
    <t>vibhas.chandra@ujjivan.com</t>
  </si>
  <si>
    <t>3303</t>
  </si>
  <si>
    <t>3304</t>
  </si>
  <si>
    <t>3305</t>
  </si>
  <si>
    <t>ujjal.dhar@ujjivan.com</t>
  </si>
  <si>
    <t>3306</t>
  </si>
  <si>
    <t>manab.gayen@ujjivan.com</t>
  </si>
  <si>
    <t>3307</t>
  </si>
  <si>
    <t>santanu.dey@ujjivan.com</t>
  </si>
  <si>
    <t>3309</t>
  </si>
  <si>
    <t>3310</t>
  </si>
  <si>
    <t>3311</t>
  </si>
  <si>
    <t>sudip.das@ujjivan.com</t>
  </si>
  <si>
    <t>3312</t>
  </si>
  <si>
    <t>3313</t>
  </si>
  <si>
    <t>3314</t>
  </si>
  <si>
    <t>3315</t>
  </si>
  <si>
    <t>rabindranath.sarkar@ujjivan.com</t>
  </si>
  <si>
    <t>3317</t>
  </si>
  <si>
    <t>3319</t>
  </si>
  <si>
    <t>3321</t>
  </si>
  <si>
    <t>3322</t>
  </si>
  <si>
    <t>3325</t>
  </si>
  <si>
    <t>3326</t>
  </si>
  <si>
    <t>susanta.sur@ujjivan.com</t>
  </si>
  <si>
    <t>3327</t>
  </si>
  <si>
    <t>bimal.agarwalla@ujjivan.com</t>
  </si>
  <si>
    <t>3328</t>
  </si>
  <si>
    <t>3329</t>
  </si>
  <si>
    <t>3330</t>
  </si>
  <si>
    <t>bapi.das@ujjivan.com</t>
  </si>
  <si>
    <t>3331</t>
  </si>
  <si>
    <t>prabir.chowdhury@ujjivan.com</t>
  </si>
  <si>
    <t>3332</t>
  </si>
  <si>
    <t>3334</t>
  </si>
  <si>
    <t>sanjoy.mondal@ujjivan.com</t>
  </si>
  <si>
    <t>3336</t>
  </si>
  <si>
    <t>nagina.kumar@ujjivan.com</t>
  </si>
  <si>
    <t>kishor.kaushal@ujjivan.com</t>
  </si>
  <si>
    <t>3337</t>
  </si>
  <si>
    <t>3339</t>
  </si>
  <si>
    <t>ashish.das@ujjivan.com</t>
  </si>
  <si>
    <t>3340</t>
  </si>
  <si>
    <t>3343</t>
  </si>
  <si>
    <t>3344</t>
  </si>
  <si>
    <t>laxmikanta.panda@ujjivan.com</t>
  </si>
  <si>
    <t>3345</t>
  </si>
  <si>
    <t>3347</t>
  </si>
  <si>
    <t>anirban.biswas@ujjivan.com</t>
  </si>
  <si>
    <t>3349</t>
  </si>
  <si>
    <t>3350</t>
  </si>
  <si>
    <t>ashish.mandal@ujjivan.com</t>
  </si>
  <si>
    <t>3352</t>
  </si>
  <si>
    <t>3353</t>
  </si>
  <si>
    <t>3354</t>
  </si>
  <si>
    <t>kumar.rao@ujjivan.com</t>
  </si>
  <si>
    <t>3356</t>
  </si>
  <si>
    <t>saroj.mohapatra@ujjivan.com</t>
  </si>
  <si>
    <t>3357</t>
  </si>
  <si>
    <t>ashokkumar.gupta@ujjivan.com</t>
  </si>
  <si>
    <t>3358</t>
  </si>
  <si>
    <t>3359</t>
  </si>
  <si>
    <t>subhankar.chakraborty@ujjivan.com</t>
  </si>
  <si>
    <t>arup.kashyapi@ujjivan.com</t>
  </si>
  <si>
    <t>3360</t>
  </si>
  <si>
    <t>ramprasad.mondal@ujjivan.com</t>
  </si>
  <si>
    <t>3361</t>
  </si>
  <si>
    <t>cal-durgapur-branch@ujjivan.com</t>
  </si>
  <si>
    <t>3362</t>
  </si>
  <si>
    <t>3364</t>
  </si>
  <si>
    <t>chandidas.madhukar@ujjivan.com</t>
  </si>
  <si>
    <t>3365</t>
  </si>
  <si>
    <t>3366</t>
  </si>
  <si>
    <t>3367</t>
  </si>
  <si>
    <t>3368</t>
  </si>
  <si>
    <t>3369</t>
  </si>
  <si>
    <t>debajyoti.ghosh@ujjivan.com</t>
  </si>
  <si>
    <t>3370</t>
  </si>
  <si>
    <t>3373</t>
  </si>
  <si>
    <t>3374</t>
  </si>
  <si>
    <t>3375</t>
  </si>
  <si>
    <t>3376</t>
  </si>
  <si>
    <t>arindam.mandal@ujjivan.com</t>
  </si>
  <si>
    <t>3377</t>
  </si>
  <si>
    <t>3378</t>
  </si>
  <si>
    <t>umakanta.mohanty@ujjivan.com</t>
  </si>
  <si>
    <t>3379</t>
  </si>
  <si>
    <t>3381</t>
  </si>
  <si>
    <t>3382</t>
  </si>
  <si>
    <t>brajadulal.baug@ujjivan.com</t>
  </si>
  <si>
    <t>3383</t>
  </si>
  <si>
    <t>3384</t>
  </si>
  <si>
    <t>3385</t>
  </si>
  <si>
    <t>cal-kharagpur-branch@ujjivan.com</t>
  </si>
  <si>
    <t>3386</t>
  </si>
  <si>
    <t>arupkumar.samajdar@ujjivan.com</t>
  </si>
  <si>
    <t>3387</t>
  </si>
  <si>
    <t>rajdeep.bhaduri@ujjivan.com</t>
  </si>
  <si>
    <t>3388</t>
  </si>
  <si>
    <t>3389</t>
  </si>
  <si>
    <t>3501</t>
  </si>
  <si>
    <t>cal-contai-branch@ujjivan.com</t>
  </si>
  <si>
    <t>3502</t>
  </si>
  <si>
    <t>3503</t>
  </si>
  <si>
    <t>sudhir.sahu@ujjivan.com</t>
  </si>
  <si>
    <t>3504</t>
  </si>
  <si>
    <t>3507</t>
  </si>
  <si>
    <t>3508</t>
  </si>
  <si>
    <t>3509</t>
  </si>
  <si>
    <t>suvankar.chaudhury@ujjivan.com</t>
  </si>
  <si>
    <t>3510</t>
  </si>
  <si>
    <t>3511</t>
  </si>
  <si>
    <t>3513</t>
  </si>
  <si>
    <t>indrajit.baishya@ujjivan.com</t>
  </si>
  <si>
    <t>3514</t>
  </si>
  <si>
    <t>3515</t>
  </si>
  <si>
    <t>3516</t>
  </si>
  <si>
    <t>kaushik.bhadury@ujjivan.com</t>
  </si>
  <si>
    <t>3517</t>
  </si>
  <si>
    <t>3519</t>
  </si>
  <si>
    <t>3521</t>
  </si>
  <si>
    <t>3523</t>
  </si>
  <si>
    <t>3524</t>
  </si>
  <si>
    <t>ravi.shankar@ujjivan.com</t>
  </si>
  <si>
    <t>shashi.choubey@ujjivan.com</t>
  </si>
  <si>
    <t>3525</t>
  </si>
  <si>
    <t>3527</t>
  </si>
  <si>
    <t>jitendra.kumar@ujjivan.com</t>
  </si>
  <si>
    <t>3529</t>
  </si>
  <si>
    <t>3531</t>
  </si>
  <si>
    <t>bikash.sarma@ujjivan.com</t>
  </si>
  <si>
    <t>3533</t>
  </si>
  <si>
    <t>champak.talukdar@ujjivan.com</t>
  </si>
  <si>
    <t>3534</t>
  </si>
  <si>
    <t>3535</t>
  </si>
  <si>
    <t>3537</t>
  </si>
  <si>
    <t>3538</t>
  </si>
  <si>
    <t>3539</t>
  </si>
  <si>
    <t>3541</t>
  </si>
  <si>
    <t>biplab.roy@ujjivan.com</t>
  </si>
  <si>
    <t>3542</t>
  </si>
  <si>
    <t>bhr-sultanganj-branch@ujjivan.com</t>
  </si>
  <si>
    <t>3544</t>
  </si>
  <si>
    <t>3545</t>
  </si>
  <si>
    <t>3546</t>
  </si>
  <si>
    <t>3547</t>
  </si>
  <si>
    <t>3548</t>
  </si>
  <si>
    <t>3549</t>
  </si>
  <si>
    <t>ganesh.dutta@ujjivan.com</t>
  </si>
  <si>
    <t>3550</t>
  </si>
  <si>
    <t>3551</t>
  </si>
  <si>
    <t>joyanta.kundu@ujjivan.com</t>
  </si>
  <si>
    <t>3552</t>
  </si>
  <si>
    <t>3553</t>
  </si>
  <si>
    <t>3554</t>
  </si>
  <si>
    <t>3555</t>
  </si>
  <si>
    <t>debasis.das@ujjivan.com</t>
  </si>
  <si>
    <t>3556</t>
  </si>
  <si>
    <t>3557</t>
  </si>
  <si>
    <t>3558</t>
  </si>
  <si>
    <t>3559</t>
  </si>
  <si>
    <t>3560</t>
  </si>
  <si>
    <t>3561</t>
  </si>
  <si>
    <t>ne-sualkuchi-branch@ujjivan.com</t>
  </si>
  <si>
    <t>3562</t>
  </si>
  <si>
    <t>004</t>
  </si>
  <si>
    <t>tushar.upase@ujjivan.com</t>
  </si>
  <si>
    <t>swapnil.wankhede@ujjivan.com</t>
  </si>
  <si>
    <t>4403</t>
  </si>
  <si>
    <t>dinesh.fulambarkar@ujjivan.com</t>
  </si>
  <si>
    <t>4404</t>
  </si>
  <si>
    <t>4405</t>
  </si>
  <si>
    <t>4407</t>
  </si>
  <si>
    <t>4408</t>
  </si>
  <si>
    <t>UJJ06352-Pradnyawant Shrirang Patode</t>
  </si>
  <si>
    <t>pradnyawant.patode@ujjivan.com</t>
  </si>
  <si>
    <t>4409</t>
  </si>
  <si>
    <t>kausalya.sirgire@ujjivan.com</t>
  </si>
  <si>
    <t>4410</t>
  </si>
  <si>
    <t>4411</t>
  </si>
  <si>
    <t>bhushan.belwale@ujjivan.com</t>
  </si>
  <si>
    <t>gaurav.oberoi@ujjivan.com</t>
  </si>
  <si>
    <t>4413</t>
  </si>
  <si>
    <t>4415</t>
  </si>
  <si>
    <t>deepak.markad@ujjivan.com</t>
  </si>
  <si>
    <t>4416</t>
  </si>
  <si>
    <t>dipmala.jadhav@ujjivan.com</t>
  </si>
  <si>
    <t>4418</t>
  </si>
  <si>
    <t>4419</t>
  </si>
  <si>
    <t>4420</t>
  </si>
  <si>
    <t>tanveer.khan@ujjivan.com</t>
  </si>
  <si>
    <t>4423</t>
  </si>
  <si>
    <t>4424</t>
  </si>
  <si>
    <t>harshada.patil@ujjivan.com</t>
  </si>
  <si>
    <t>4427</t>
  </si>
  <si>
    <t>4428</t>
  </si>
  <si>
    <t>rajesh.khedkar@ujjivan.com</t>
  </si>
  <si>
    <t>4429</t>
  </si>
  <si>
    <t>4430</t>
  </si>
  <si>
    <t>4431</t>
  </si>
  <si>
    <t>4432</t>
  </si>
  <si>
    <t>4433</t>
  </si>
  <si>
    <t>4436</t>
  </si>
  <si>
    <t>4437</t>
  </si>
  <si>
    <t>vinod.sonawane@ujjivan.com</t>
  </si>
  <si>
    <t>4438</t>
  </si>
  <si>
    <t>4440</t>
  </si>
  <si>
    <t>4442</t>
  </si>
  <si>
    <t>4443</t>
  </si>
  <si>
    <t>4444</t>
  </si>
  <si>
    <t>anish.malik@ujjivan.com</t>
  </si>
  <si>
    <t>4447</t>
  </si>
  <si>
    <t>4449</t>
  </si>
  <si>
    <t>4452</t>
  </si>
  <si>
    <t>4453</t>
  </si>
  <si>
    <t>4455</t>
  </si>
  <si>
    <t>4456</t>
  </si>
  <si>
    <t>4457</t>
  </si>
  <si>
    <t>4458</t>
  </si>
  <si>
    <t>4459</t>
  </si>
  <si>
    <t>4461</t>
  </si>
  <si>
    <t>4462</t>
  </si>
  <si>
    <t>mukesh.kumar@ujjivan.com</t>
  </si>
  <si>
    <t>4463</t>
  </si>
  <si>
    <t>alpesh.prajapati@ujjivan.com</t>
  </si>
  <si>
    <t>4464</t>
  </si>
  <si>
    <t>4465</t>
  </si>
  <si>
    <t>satish.ankola@ujjivan.com</t>
  </si>
  <si>
    <t>4466</t>
  </si>
  <si>
    <t>4467</t>
  </si>
  <si>
    <t>4468</t>
  </si>
  <si>
    <t>4469</t>
  </si>
  <si>
    <t>4470</t>
  </si>
  <si>
    <t>4471</t>
  </si>
  <si>
    <t>chintamani.adurkar@ujjivan.com</t>
  </si>
  <si>
    <t>4472</t>
  </si>
  <si>
    <t>4473</t>
  </si>
  <si>
    <t>4474</t>
  </si>
  <si>
    <t>dipaksingh.rajput@ujjivan.com</t>
  </si>
  <si>
    <t>4475</t>
  </si>
  <si>
    <t>4479</t>
  </si>
  <si>
    <t>4480</t>
  </si>
  <si>
    <t>4482</t>
  </si>
  <si>
    <t>chirag.mehta@ujjivan.com</t>
  </si>
  <si>
    <t>4483</t>
  </si>
  <si>
    <t>4484</t>
  </si>
  <si>
    <t>UJJ00732-Shivanand Deshanur N</t>
  </si>
  <si>
    <t>1128</t>
  </si>
  <si>
    <t>1152</t>
  </si>
  <si>
    <t>UJJ14538-Govind R Malagimani</t>
  </si>
  <si>
    <t>govind.malagimani@ujjivan.com</t>
  </si>
  <si>
    <t>1606</t>
  </si>
  <si>
    <t>1612</t>
  </si>
  <si>
    <t>1623</t>
  </si>
  <si>
    <t>karthik.chandrasekaran@ujjivan.com</t>
  </si>
  <si>
    <t>1657</t>
  </si>
  <si>
    <t>1658</t>
  </si>
  <si>
    <t>raja.kumar@ujjivan.com</t>
  </si>
  <si>
    <t>1659</t>
  </si>
  <si>
    <t>UJJ11911-Yogananda H J</t>
  </si>
  <si>
    <t>yogananda.jayaram@ujjivan.com</t>
  </si>
  <si>
    <t>1660</t>
  </si>
  <si>
    <t>002</t>
  </si>
  <si>
    <t>2203</t>
  </si>
  <si>
    <t>UJJ04853-Sharvan Kumar Gupta</t>
  </si>
  <si>
    <t>del-hastsal-branch@ujjivan.com</t>
  </si>
  <si>
    <t>dharmendra.kumar@ujjivan.com</t>
  </si>
  <si>
    <t>kumar.vishal@ujjivan.com</t>
  </si>
  <si>
    <t>gaurav.agarawal@ujjivan.com</t>
  </si>
  <si>
    <t>2204</t>
  </si>
  <si>
    <t>2208</t>
  </si>
  <si>
    <t>2209</t>
  </si>
  <si>
    <t>2218</t>
  </si>
  <si>
    <t>2242</t>
  </si>
  <si>
    <t>2254</t>
  </si>
  <si>
    <t>UJJ12535-Nitin Kumar Sharma</t>
  </si>
  <si>
    <t>nitinkumar.sharma@ujjivan.com</t>
  </si>
  <si>
    <t>2263</t>
  </si>
  <si>
    <t>amit.vij@ujjivan.com</t>
  </si>
  <si>
    <t>2264</t>
  </si>
  <si>
    <t>rakesh.kumar@ujjivan.com</t>
  </si>
  <si>
    <t>2273</t>
  </si>
  <si>
    <t>2313</t>
  </si>
  <si>
    <t>2324</t>
  </si>
  <si>
    <t>2328</t>
  </si>
  <si>
    <t>2285</t>
  </si>
  <si>
    <t>vijay.choudhary@ujjivan.com</t>
  </si>
  <si>
    <t>2286</t>
  </si>
  <si>
    <t>2287</t>
  </si>
  <si>
    <t>2296</t>
  </si>
  <si>
    <t>2297</t>
  </si>
  <si>
    <t>2298</t>
  </si>
  <si>
    <t>2299</t>
  </si>
  <si>
    <t>UJJ01826-Purna Nand Kumar Thakur</t>
  </si>
  <si>
    <t>purnanand.thakur@ujjivan.com</t>
  </si>
  <si>
    <t>2315</t>
  </si>
  <si>
    <t>2316</t>
  </si>
  <si>
    <t>2317</t>
  </si>
  <si>
    <t>saurabha.shrivastava@ujjivan.com</t>
  </si>
  <si>
    <t>2321</t>
  </si>
  <si>
    <t>2322</t>
  </si>
  <si>
    <t>dinesh.malviya@ujjivan.com</t>
  </si>
  <si>
    <t>2238</t>
  </si>
  <si>
    <t>rahul.sukhija@ujjivan.com</t>
  </si>
  <si>
    <t>2239</t>
  </si>
  <si>
    <t>prakharkumar.pandey@ujjivan.com</t>
  </si>
  <si>
    <t>2243</t>
  </si>
  <si>
    <t>UJJ10958-Lal Chand Verma</t>
  </si>
  <si>
    <t>lalchand.verma@ujjivan.com</t>
  </si>
  <si>
    <t>mahesh.gupta@ujjivan.com</t>
  </si>
  <si>
    <t>2255</t>
  </si>
  <si>
    <t>2256</t>
  </si>
  <si>
    <t>2257</t>
  </si>
  <si>
    <t>2258</t>
  </si>
  <si>
    <t>2259</t>
  </si>
  <si>
    <t>2265</t>
  </si>
  <si>
    <t>shiv.thanvi@ujjivan.com</t>
  </si>
  <si>
    <t>2266</t>
  </si>
  <si>
    <t>2268</t>
  </si>
  <si>
    <t>2334</t>
  </si>
  <si>
    <t>2274</t>
  </si>
  <si>
    <t>2275</t>
  </si>
  <si>
    <t>2276</t>
  </si>
  <si>
    <t>2277</t>
  </si>
  <si>
    <t>2278</t>
  </si>
  <si>
    <t>2280</t>
  </si>
  <si>
    <t>2281</t>
  </si>
  <si>
    <t>2291</t>
  </si>
  <si>
    <t>UJJ08815-Pradeep Kumar Sharma</t>
  </si>
  <si>
    <t>pradeep.sharma@ujjivan.com</t>
  </si>
  <si>
    <t>2293</t>
  </si>
  <si>
    <t>2294</t>
  </si>
  <si>
    <t>anirudh.kumar@ujjivan.com</t>
  </si>
  <si>
    <t>2295</t>
  </si>
  <si>
    <t>2301</t>
  </si>
  <si>
    <t>2302</t>
  </si>
  <si>
    <t>2303</t>
  </si>
  <si>
    <t>2304</t>
  </si>
  <si>
    <t>2307</t>
  </si>
  <si>
    <t>2308</t>
  </si>
  <si>
    <t>2318</t>
  </si>
  <si>
    <t>2320</t>
  </si>
  <si>
    <t>2323</t>
  </si>
  <si>
    <t>2325</t>
  </si>
  <si>
    <t>2329</t>
  </si>
  <si>
    <t>vikram.singh@ujjivan.com</t>
  </si>
  <si>
    <t>2330</t>
  </si>
  <si>
    <t>abneesh.pachauri@ujjivan.com</t>
  </si>
  <si>
    <t>2331</t>
  </si>
  <si>
    <t>2332</t>
  </si>
  <si>
    <t>harkesh.shivan@ujjivan.com</t>
  </si>
  <si>
    <t>2212</t>
  </si>
  <si>
    <t>kapil.saini@ujjivan.com</t>
  </si>
  <si>
    <t>rohit.parashar@ujjivan.com</t>
  </si>
  <si>
    <t>chetan.kakkar@ujjivan.com</t>
  </si>
  <si>
    <t>2214</t>
  </si>
  <si>
    <t>2215</t>
  </si>
  <si>
    <t>2221</t>
  </si>
  <si>
    <t>2222</t>
  </si>
  <si>
    <t>2224</t>
  </si>
  <si>
    <t>2226</t>
  </si>
  <si>
    <t>2227</t>
  </si>
  <si>
    <t>gordhan.choudhary@ujjivan.com</t>
  </si>
  <si>
    <t>2232</t>
  </si>
  <si>
    <t>2235</t>
  </si>
  <si>
    <t>2282</t>
  </si>
  <si>
    <t>kumar.vinod@ujjivan.com</t>
  </si>
  <si>
    <t>2288</t>
  </si>
  <si>
    <t>UJJ02278-Madhu Ram Jat</t>
  </si>
  <si>
    <t>madhuram.jat@ujjivan.com</t>
  </si>
  <si>
    <t>2300</t>
  </si>
  <si>
    <t>swatantra.nama@ujjivan.com</t>
  </si>
  <si>
    <t>2306</t>
  </si>
  <si>
    <t>2333</t>
  </si>
  <si>
    <t>2213</t>
  </si>
  <si>
    <t>sarveshpratap.singh@ujjivan.com</t>
  </si>
  <si>
    <t>varun.yadav@ujjivan.com</t>
  </si>
  <si>
    <t>2216</t>
  </si>
  <si>
    <t>vinod.verma@ujjivan.com</t>
  </si>
  <si>
    <t>2219</t>
  </si>
  <si>
    <t>2220</t>
  </si>
  <si>
    <t>2228</t>
  </si>
  <si>
    <t>2229</t>
  </si>
  <si>
    <t>himanshu.kala@ujjivan.com</t>
  </si>
  <si>
    <t>2231</t>
  </si>
  <si>
    <t>2234</t>
  </si>
  <si>
    <t>2245</t>
  </si>
  <si>
    <t>2246</t>
  </si>
  <si>
    <t>2248</t>
  </si>
  <si>
    <t>2249</t>
  </si>
  <si>
    <t>2251</t>
  </si>
  <si>
    <t>UJJ08899-Ravi Pratap Singh</t>
  </si>
  <si>
    <t>ravi.singh@ujjivan.com</t>
  </si>
  <si>
    <t>2260</t>
  </si>
  <si>
    <t>shashank.goel@ujjivan.com</t>
  </si>
  <si>
    <t>2262</t>
  </si>
  <si>
    <t>2269</t>
  </si>
  <si>
    <t>2283</t>
  </si>
  <si>
    <t>2284</t>
  </si>
  <si>
    <t>2292</t>
  </si>
  <si>
    <t>2305</t>
  </si>
  <si>
    <t>2309</t>
  </si>
  <si>
    <t>singh.sandeep@ujjivan.com</t>
  </si>
  <si>
    <t>2311</t>
  </si>
  <si>
    <t>2312</t>
  </si>
  <si>
    <t>2314</t>
  </si>
  <si>
    <t>2319</t>
  </si>
  <si>
    <t>2327</t>
  </si>
  <si>
    <t>3520</t>
  </si>
  <si>
    <t>3512</t>
  </si>
  <si>
    <t>3563</t>
  </si>
  <si>
    <t>sumiron.boruah@ujjivan.com</t>
  </si>
  <si>
    <t>surajkumar.gupta@ujjivan.com</t>
  </si>
  <si>
    <t>3564</t>
  </si>
  <si>
    <t>3565</t>
  </si>
  <si>
    <t>3566</t>
  </si>
  <si>
    <t>kumar.manoj@ujjivan.com</t>
  </si>
  <si>
    <t>3568</t>
  </si>
  <si>
    <t>mohan.routh@ujjivan.com</t>
  </si>
  <si>
    <t>3567</t>
  </si>
  <si>
    <t>himanshu.mittal@ujjivan.com</t>
  </si>
  <si>
    <t>4490</t>
  </si>
  <si>
    <t>nirmalsharan.barot@ujjivan.com</t>
  </si>
  <si>
    <t>BranchID</t>
  </si>
  <si>
    <t>Path</t>
  </si>
  <si>
    <t>1102-KORAMANGALA Branch Repeat GL Prospect Clients List</t>
  </si>
  <si>
    <t>\\10.10.1.1\common\AMMANNA_PUNE\DATA SHARED\Distribution\EL reports\RepeatGLProspects\Current Month</t>
  </si>
  <si>
    <t>1103-Yeshwanthpur Branch Repeat GL Prospect Clients List</t>
  </si>
  <si>
    <t>1105-MAGADI ROAD Branch Repeat GL Prospect Clients List</t>
  </si>
  <si>
    <t>1106-KAVALBYSANDRA Branch Repeat GL Prospect Clients List</t>
  </si>
  <si>
    <t>1107-HAL Branch Repeat GL Prospect Clients List</t>
  </si>
  <si>
    <t>1108-Chamrajpet Branch Repeat GL Prospect Clients List</t>
  </si>
  <si>
    <t>1109-LINGARAJAPURAM Branch Repeat GL Prospect Clients List</t>
  </si>
  <si>
    <t>1110-WHITEFIELD Branch Repeat GL Prospect Clients List</t>
  </si>
  <si>
    <t>1111-JAKKASANDRA Branch Repeat GL Prospect Clients List</t>
  </si>
  <si>
    <t>1112-CHANDRALAYOUT Branch Repeat GL Prospect Clients List</t>
  </si>
  <si>
    <t>1113-K R PURAM Branch Repeat GL Prospect Clients List</t>
  </si>
  <si>
    <t>1114-Ramanagar Branch Repeat GL Prospect Clients List</t>
  </si>
  <si>
    <t>1115-PEENYA Branch Repeat GL Prospect Clients List</t>
  </si>
  <si>
    <t>1116-ANEKAL Branch Repeat GL Prospect Clients List</t>
  </si>
  <si>
    <t>1117-MADDUR Branch Repeat GL Prospect Clients List</t>
  </si>
  <si>
    <t>1118-B R Pura Branch Repeat GL Prospect Clients List</t>
  </si>
  <si>
    <t>1119-Yelahanka Branch Repeat GL Prospect Clients List</t>
  </si>
  <si>
    <t>1120-CHANNAPATNA Branch Repeat GL Prospect Clients List</t>
  </si>
  <si>
    <t>1121-Chikkaballapur Branch Repeat GL Prospect Clients List</t>
  </si>
  <si>
    <t>1122-Uttarhalli Branch Repeat GL Prospect Clients List</t>
  </si>
  <si>
    <t>1123-Dharwad Branch Repeat GL Prospect Clients List</t>
  </si>
  <si>
    <t>1124-HOSUR Branch Repeat GL Prospect Clients List</t>
  </si>
  <si>
    <t>1128-BELGAUM Branch Repeat GL Prospect Clients List</t>
  </si>
  <si>
    <t>1130-KRISHNAGIRI Branch Repeat GL Prospect Clients List</t>
  </si>
  <si>
    <t>1131-HAVERI Branch Repeat GL Prospect Clients List</t>
  </si>
  <si>
    <t>1132-Davangere South Branch Repeat GL Prospect Clients List</t>
  </si>
  <si>
    <t>1133-TUMKUR Branch Repeat GL Prospect Clients List</t>
  </si>
  <si>
    <t>1134-CHITRADURGA Branch Repeat GL Prospect Clients List</t>
  </si>
  <si>
    <t>1135-Tirupathur Branch Repeat GL Prospect Clients List</t>
  </si>
  <si>
    <t>1138-GAURIBIDANUR Branch Repeat GL Prospect Clients List</t>
  </si>
  <si>
    <t>1139-SHIMOGA Branch Repeat GL Prospect Clients List</t>
  </si>
  <si>
    <t>1141-HARIHARA Branch Repeat GL Prospect Clients List</t>
  </si>
  <si>
    <t>1142-MYSORE BRINDAVAN Branch Repeat GL Prospect Clients List</t>
  </si>
  <si>
    <t>1143-Bhadaravathi Branch Repeat GL Prospect Clients List</t>
  </si>
  <si>
    <t>1144-TIPTUR Branch Repeat GL Prospect Clients List</t>
  </si>
  <si>
    <t>3558-Dalsingsarai Branch Repeat GL Prospect Clients List</t>
  </si>
  <si>
    <t>1145-GADAG Branch Repeat GL Prospect Clients List</t>
  </si>
  <si>
    <t>1146-DHARMAPURI Branch Repeat GL Prospect Clients List</t>
  </si>
  <si>
    <t>1147-Chintamani Branch Repeat GL Prospect Clients List</t>
  </si>
  <si>
    <t>1150-Devaiah Park Branch Repeat GL Prospect Clients List</t>
  </si>
  <si>
    <t>1151-Challakere Branch Repeat GL Prospect Clients List</t>
  </si>
  <si>
    <t>1152-Vaniambadi Branch Repeat GL Prospect Clients List</t>
  </si>
  <si>
    <t>1153-NANJANGUD Branch Repeat GL Prospect Clients List</t>
  </si>
  <si>
    <t>1155-PALACODE Branch Repeat GL Prospect Clients List</t>
  </si>
  <si>
    <t>1156-SIRA Branch Repeat GL Prospect Clients List</t>
  </si>
  <si>
    <t>1160-Dommasandra Branch Repeat GL Prospect Clients List</t>
  </si>
  <si>
    <t>1161-BAILHONGAL Branch Repeat GL Prospect Clients List</t>
  </si>
  <si>
    <t>1162-GOKAK Branch Repeat GL Prospect Clients List</t>
  </si>
  <si>
    <t>1165-ATHANI Branch Repeat GL Prospect Clients List</t>
  </si>
  <si>
    <t>1168-Chikkabanavara Branch Repeat GL Prospect Clients List</t>
  </si>
  <si>
    <t>1169-ERODE KAVERI Branch Repeat GL Prospect Clients List</t>
  </si>
  <si>
    <t>1170-Thiruvannamalai Branch Repeat GL Prospect Clients List</t>
  </si>
  <si>
    <t>1171-Rs Puram Coimbatore Branch Repeat GL Prospect Clients List</t>
  </si>
  <si>
    <t>1172-SALEM SURAMANGALAM Branch Repeat GL Prospect Clients List</t>
  </si>
  <si>
    <t>1173-KENGERI Branch Repeat GL Prospect Clients List</t>
  </si>
  <si>
    <t>1174-JAMKHANDI Branch Repeat GL Prospect Clients List</t>
  </si>
  <si>
    <t>1176-ARCOT Branch Repeat GL Prospect Clients List</t>
  </si>
  <si>
    <t>1179-Gobichetipalayam Branch Repeat GL Prospect Clients List</t>
  </si>
  <si>
    <t>1181-Kumarapalayam Branch Repeat GL Prospect Clients List</t>
  </si>
  <si>
    <t>4472-Bardoli Branch Repeat GL Prospect Clients List</t>
  </si>
  <si>
    <t>1182-TIRUCHENGODU Branch Repeat GL Prospect Clients List</t>
  </si>
  <si>
    <t>1183-Paramathvelur Branch Repeat GL Prospect Clients List</t>
  </si>
  <si>
    <t>1184-CO-SUNDARAPURAM Branch Repeat GL Prospect Clients List</t>
  </si>
  <si>
    <t>1186-SINGANALLUR Branch Repeat GL Prospect Clients List</t>
  </si>
  <si>
    <t>1188-METTUPALAYAM Branch Repeat GL Prospect Clients List</t>
  </si>
  <si>
    <t>1189-Udumalipet Branch Repeat GL Prospect Clients List</t>
  </si>
  <si>
    <t>1191-DHARAPURAM Branch Repeat GL Prospect Clients List</t>
  </si>
  <si>
    <t>1193-Vypin Branch Repeat GL Prospect Clients List</t>
  </si>
  <si>
    <t>1194-Pallurathi Branch Repeat GL Prospect Clients List</t>
  </si>
  <si>
    <t>1195-Bodi Branch Repeat GL Prospect Clients List</t>
  </si>
  <si>
    <t>1197-Pondi Moolakulam Branch Repeat GL Prospect Clients List</t>
  </si>
  <si>
    <t>1602-PERIYAKULAM Branch Repeat GL Prospect Clients List</t>
  </si>
  <si>
    <t>1603-Paravoor Branch Repeat GL Prospect Clients List</t>
  </si>
  <si>
    <t>1605-UDAYAMPEROOR Branch Repeat GL Prospect Clients List</t>
  </si>
  <si>
    <t>1606-CHERTHALA Branch Repeat GL Prospect Clients List</t>
  </si>
  <si>
    <t>1607-DINDIGUL Branch Repeat GL Prospect Clients List</t>
  </si>
  <si>
    <t>1608-PANRUTI Branch Repeat GL Prospect Clients List</t>
  </si>
  <si>
    <t>1609-Virudhachalam Branch Repeat GL Prospect Clients List</t>
  </si>
  <si>
    <t>1610-CUDDALORE Branch Repeat GL Prospect Clients List</t>
  </si>
  <si>
    <t>1611-Gudalur Branch Repeat GL Prospect Clients List</t>
  </si>
  <si>
    <t>1612-COONOOR Branch Repeat GL Prospect Clients List</t>
  </si>
  <si>
    <t>1613-OOTY Branch Repeat GL Prospect Clients List</t>
  </si>
  <si>
    <t>1615-ALLEPEY Branch Repeat GL Prospect Clients List</t>
  </si>
  <si>
    <t>1618-Anaimalai Branch Repeat GL Prospect Clients List</t>
  </si>
  <si>
    <t>4473-Valsad Branch Repeat GL Prospect Clients List</t>
  </si>
  <si>
    <t>1619-VASCO Branch Repeat GL Prospect Clients List</t>
  </si>
  <si>
    <t>1622-Guruvayour Branch Repeat GL Prospect Clients List</t>
  </si>
  <si>
    <t>1623-HARIPAD Branch Repeat GL Prospect Clients List</t>
  </si>
  <si>
    <t>1624-TRIPRAYAR Branch Repeat GL Prospect Clients List</t>
  </si>
  <si>
    <t>1625-SRIRANGAPATNA Branch Repeat GL Prospect Clients List</t>
  </si>
  <si>
    <t>1626-MYSORE AGRAHARA Branch Repeat GL Prospect Clients List</t>
  </si>
  <si>
    <t>1627-THIRUVAIYARU Branch Repeat GL Prospect Clients List</t>
  </si>
  <si>
    <t>1628-KUMBAKONAM Branch Repeat GL Prospect Clients List</t>
  </si>
  <si>
    <t>1629-Gundalupet Branch Repeat GL Prospect Clients List</t>
  </si>
  <si>
    <t>1630-T NARASIPURA Branch Repeat GL Prospect Clients List</t>
  </si>
  <si>
    <t>1631-TRICHY Branch Repeat GL Prospect Clients List</t>
  </si>
  <si>
    <t>1632-CHAMARAJNAGAR Branch Repeat GL Prospect Clients List</t>
  </si>
  <si>
    <t>1633-HOSKOTE Branch Repeat GL Prospect Clients List</t>
  </si>
  <si>
    <t>1634-MANNARGUDI Branch Repeat GL Prospect Clients List</t>
  </si>
  <si>
    <t>1635-BANNERGHATTA Branch Repeat GL Prospect Clients List</t>
  </si>
  <si>
    <t>1636-KARUNAGAPPALLY Branch Repeat GL Prospect Clients List</t>
  </si>
  <si>
    <t>1637-Chikkodi Branch Repeat GL Prospect Clients List</t>
  </si>
  <si>
    <t>1638-VADALUR Branch Repeat GL Prospect Clients List</t>
  </si>
  <si>
    <t>1639-Thiruvarur Branch Repeat GL Prospect Clients List</t>
  </si>
  <si>
    <t>1640-KOLLEGALA Branch Repeat GL Prospect Clients List</t>
  </si>
  <si>
    <t>1641-Kottarakara Branch Repeat GL Prospect Clients List</t>
  </si>
  <si>
    <t>1642-MAYILADUTHURAI Branch Repeat GL Prospect Clients List</t>
  </si>
  <si>
    <t>1643-H D KOTE Branch Repeat GL Prospect Clients List</t>
  </si>
  <si>
    <t>1644-KR  NAGAR Branch Repeat GL Prospect Clients List</t>
  </si>
  <si>
    <t>1645-Rajapalayam Branch Repeat GL Prospect Clients List</t>
  </si>
  <si>
    <t>1646-K R Pete Branch Repeat GL Prospect Clients List</t>
  </si>
  <si>
    <t>1647-Kanchipuram Branch Repeat GL Prospect Clients List</t>
  </si>
  <si>
    <t>1648-Sivakasi Branch Repeat GL Prospect Clients List</t>
  </si>
  <si>
    <t>1649-Ambasamudram Branch Repeat GL Prospect Clients List</t>
  </si>
  <si>
    <t>1650-Rasipuram Branch Repeat GL Prospect Clients List</t>
  </si>
  <si>
    <t>1651-Nelamangala Branch Repeat GL Prospect Clients List</t>
  </si>
  <si>
    <t>1652-Tenkasi Branch Repeat GL Prospect Clients List</t>
  </si>
  <si>
    <t>1653-Cumbum Branch Repeat GL Prospect Clients List</t>
  </si>
  <si>
    <t>1654-Sankarankovil Branch Repeat GL Prospect Clients List</t>
  </si>
  <si>
    <t>1655-Aruppukottai Branch Repeat GL Prospect Clients List</t>
  </si>
  <si>
    <t>1656-Vathalagundu Branch Repeat GL Prospect Clients List</t>
  </si>
  <si>
    <t>1657-Thirunelveli Branch Repeat GL Prospect Clients List</t>
  </si>
  <si>
    <t>1658-Nagarcoil Branch Repeat GL Prospect Clients List</t>
  </si>
  <si>
    <t>1659-Pandavapura Branch Repeat GL Prospect Clients List</t>
  </si>
  <si>
    <t>1660-Madurai Branch Repeat GL Prospect Clients List</t>
  </si>
  <si>
    <t>2203-Yamuna Vihar Branch Repeat GL Prospect Clients List</t>
  </si>
  <si>
    <t>2204-Madangir Branch Repeat GL Prospect Clients List</t>
  </si>
  <si>
    <t>2208-Nangloi Branch Repeat GL Prospect Clients List</t>
  </si>
  <si>
    <t>2209-Trilokpuri Branch Repeat GL Prospect Clients List</t>
  </si>
  <si>
    <t>2218-Faridabad Branch Repeat GL Prospect Clients List</t>
  </si>
  <si>
    <t>2242-Palwal Branch Repeat GL Prospect Clients List</t>
  </si>
  <si>
    <t>2254-Usmanpur Branch Repeat GL Prospect Clients List</t>
  </si>
  <si>
    <t>2263-Narela Branch Repeat GL Prospect Clients List</t>
  </si>
  <si>
    <t>2264-Sonipat Branch Repeat GL Prospect Clients List</t>
  </si>
  <si>
    <t>2273-Panipat Branch Repeat GL Prospect Clients List</t>
  </si>
  <si>
    <t>4474-Jalgaon North Branch Repeat GL Prospect Clients List</t>
  </si>
  <si>
    <t>2313-Samalkha Branch Repeat GL Prospect Clients List</t>
  </si>
  <si>
    <t>2324-Hodal Branch Repeat GL Prospect Clients List</t>
  </si>
  <si>
    <t>2328-Badarpur Branch Repeat GL Prospect Clients List</t>
  </si>
  <si>
    <t>2285-Indore 1 Branch Repeat GL Prospect Clients List</t>
  </si>
  <si>
    <t>2286-Indore 2 Branch Repeat GL Prospect Clients List</t>
  </si>
  <si>
    <t>2287-Pithampur Branch Repeat GL Prospect Clients List</t>
  </si>
  <si>
    <t>2296-Khargone Branch Repeat GL Prospect Clients List</t>
  </si>
  <si>
    <t>2297-Khandwa Branch Repeat GL Prospect Clients List</t>
  </si>
  <si>
    <t>2298-Sanawad Branch Repeat GL Prospect Clients List</t>
  </si>
  <si>
    <t>2299-Nagda Branch Repeat GL Prospect Clients List</t>
  </si>
  <si>
    <t>2315-Dhar Branch Repeat GL Prospect Clients List</t>
  </si>
  <si>
    <t>2316-Burhanpur Branch Repeat GL Prospect Clients List</t>
  </si>
  <si>
    <t>2317-Badnagar Branch Repeat GL Prospect Clients List</t>
  </si>
  <si>
    <t>2321-Barwani Branch Repeat GL Prospect Clients List</t>
  </si>
  <si>
    <t>2322-Dhamnod Branch Repeat GL Prospect Clients List</t>
  </si>
  <si>
    <t>2238-Dhanas Branch Repeat GL Prospect Clients List</t>
  </si>
  <si>
    <t>2239-Ambala Branch Repeat GL Prospect Clients List</t>
  </si>
  <si>
    <t>2243-Rewari Branch Repeat GL Prospect Clients List</t>
  </si>
  <si>
    <t>2255-Abohar Panjab Branch Repeat GL Prospect Clients List</t>
  </si>
  <si>
    <t>2256-Hissar Branch Repeat GL Prospect Clients List</t>
  </si>
  <si>
    <t>2257-Jind Branch Repeat GL Prospect Clients List</t>
  </si>
  <si>
    <t>2258-Bhiwani Branch Repeat GL Prospect Clients List</t>
  </si>
  <si>
    <t>2259-Rohtak Branch Repeat GL Prospect Clients List</t>
  </si>
  <si>
    <t>2265-Sriganganagar Rajasthan Branch Repeat GL Prospect Clients List</t>
  </si>
  <si>
    <t>2266-Hanumangarh ( Raj ) Branch Repeat GL Prospect Clients List</t>
  </si>
  <si>
    <t>2268-Bhatinda Branch Repeat GL Prospect Clients List</t>
  </si>
  <si>
    <t>2334-Goniana Branch Repeat GL Prospect Clients List</t>
  </si>
  <si>
    <t>2274-Karnal Branch Repeat GL Prospect Clients List</t>
  </si>
  <si>
    <t>2275-LudhianaShimlapuri Branch Repeat GL Prospect Clients List</t>
  </si>
  <si>
    <t>2276-LudhianaShivraj Nagar Branch Repeat GL Prospect Clients List</t>
  </si>
  <si>
    <t>2277-Jalandhar Branch Repeat GL Prospect Clients List</t>
  </si>
  <si>
    <t>2278-Ropar Branch Repeat GL Prospect Clients List</t>
  </si>
  <si>
    <t>2280-Amritsar Branch Repeat GL Prospect Clients List</t>
  </si>
  <si>
    <t>2281-Patiala Branch Repeat GL Prospect Clients List</t>
  </si>
  <si>
    <t>2291-Yamuna Nagar Branch Repeat GL Prospect Clients List</t>
  </si>
  <si>
    <t>2293-Una Branch Repeat GL Prospect Clients List</t>
  </si>
  <si>
    <t>2294-Narayangarh Branch Repeat GL Prospect Clients List</t>
  </si>
  <si>
    <t>2295-Jhajjar Branch Repeat GL Prospect Clients List</t>
  </si>
  <si>
    <t>2301-Narwana Branch Repeat GL Prospect Clients List</t>
  </si>
  <si>
    <t>2302-Barnala Branch Repeat GL Prospect Clients List</t>
  </si>
  <si>
    <t>2303-Mansa Branch Repeat GL Prospect Clients List</t>
  </si>
  <si>
    <t>2304-Gidderbaha Branch Repeat GL Prospect Clients List</t>
  </si>
  <si>
    <t>2307-Gohana Branch Repeat GL Prospect Clients List</t>
  </si>
  <si>
    <t>2308-Brara Branch Repeat GL Prospect Clients List</t>
  </si>
  <si>
    <t>2318-Charkhi Dadri Branch Repeat GL Prospect Clients List</t>
  </si>
  <si>
    <t>2320-Fatehabad Branch Repeat GL Prospect Clients List</t>
  </si>
  <si>
    <t>2323-Safidon Branch Repeat GL Prospect Clients List</t>
  </si>
  <si>
    <t>2325-Kapurthala Branch Repeat GL Prospect Clients List</t>
  </si>
  <si>
    <t>2329-Ellenabad Branch Repeat GL Prospect Clients List</t>
  </si>
  <si>
    <t>2330-Muktsar Branch Repeat GL Prospect Clients List</t>
  </si>
  <si>
    <t>2331-Samrala Branch Repeat GL Prospect Clients List</t>
  </si>
  <si>
    <t>2332-Narnaul Branch Repeat GL Prospect Clients List</t>
  </si>
  <si>
    <t>2212-Alwar Branch Repeat GL Prospect Clients List</t>
  </si>
  <si>
    <t>2214-Bharatpur Branch Repeat GL Prospect Clients List</t>
  </si>
  <si>
    <t>2215-Dousa Branch Repeat GL Prospect Clients List</t>
  </si>
  <si>
    <t>2221-Ajmer Branch Repeat GL Prospect Clients List</t>
  </si>
  <si>
    <t>2222-Tonk Branch Repeat GL Prospect Clients List</t>
  </si>
  <si>
    <t>2224-Kota Branch Repeat GL Prospect Clients List</t>
  </si>
  <si>
    <t>2226-Jaipur Branch Repeat GL Prospect Clients List</t>
  </si>
  <si>
    <t>2227-Kishangarh Branch Repeat GL Prospect Clients List</t>
  </si>
  <si>
    <t>2232-PaotaJodhpur Branch Repeat GL Prospect Clients List</t>
  </si>
  <si>
    <t>2235-Pali Branch Repeat GL Prospect Clients List</t>
  </si>
  <si>
    <t>2282-JothwaraJaipur Branch Repeat GL Prospect Clients List</t>
  </si>
  <si>
    <t>2288-Bhilwara Branch Repeat GL Prospect Clients List</t>
  </si>
  <si>
    <t>2300-Khairthal Branch Repeat GL Prospect Clients List</t>
  </si>
  <si>
    <t>2306-Kotputli Branch Repeat GL Prospect Clients List</t>
  </si>
  <si>
    <t>2333-Falna Branch Repeat GL Prospect Clients List</t>
  </si>
  <si>
    <t>2213-Bulandshahar Branch Repeat GL Prospect Clients List</t>
  </si>
  <si>
    <t>2216-Aligarh Branch Repeat GL Prospect Clients List</t>
  </si>
  <si>
    <t>2219-Khurja Branch Repeat GL Prospect Clients List</t>
  </si>
  <si>
    <t>2220-Meerut Branch Repeat GL Prospect Clients List</t>
  </si>
  <si>
    <t>2228-Roorkee Branch Repeat GL Prospect Clients List</t>
  </si>
  <si>
    <t>2229-Haridwar Branch Repeat GL Prospect Clients List</t>
  </si>
  <si>
    <t>2231-Dehradoon Branch Repeat GL Prospect Clients List</t>
  </si>
  <si>
    <t>2234-Sahranpur Branch Repeat GL Prospect Clients List</t>
  </si>
  <si>
    <t>2245-Subhash Park Branch Repeat GL Prospect Clients List</t>
  </si>
  <si>
    <t>2246-RAM BAG Branch Repeat GL Prospect Clients List</t>
  </si>
  <si>
    <t>2248-Firozabad Branch Repeat GL Prospect Clients List</t>
  </si>
  <si>
    <t>2249-Modi Nagar Branch Repeat GL Prospect Clients List</t>
  </si>
  <si>
    <t>2251-Hapur Branch Repeat GL Prospect Clients List</t>
  </si>
  <si>
    <t>2260-Kankankhera( Meerut ) Branch Repeat GL Prospect Clients List</t>
  </si>
  <si>
    <t>2262-Sikandrabad Branch Repeat GL Prospect Clients List</t>
  </si>
  <si>
    <t>2269-Aligarh II Branch Repeat GL Prospect Clients List</t>
  </si>
  <si>
    <t>2283-Rishikesh Branch Repeat GL Prospect Clients List</t>
  </si>
  <si>
    <t>2284-Vikas Nagar Branch Repeat GL Prospect Clients List</t>
  </si>
  <si>
    <t>2292-MeerutII Branch Repeat GL Prospect Clients List</t>
  </si>
  <si>
    <t>2305-Agra Rajpur Branch Repeat GL Prospect Clients List</t>
  </si>
  <si>
    <t>2309-Siyana Branch Repeat GL Prospect Clients List</t>
  </si>
  <si>
    <t>2311-Mathura Branch Repeat GL Prospect Clients List</t>
  </si>
  <si>
    <t>2312-Hathras Branch Repeat GL Prospect Clients List</t>
  </si>
  <si>
    <t>2314-Saharanpur 2 Branch Repeat GL Prospect Clients List</t>
  </si>
  <si>
    <t>2319-Moradabad Branch Repeat GL Prospect Clients List</t>
  </si>
  <si>
    <t>2327-Gwalior Branch Repeat GL Prospect Clients List</t>
  </si>
  <si>
    <t>3354-Adityapur Branch Repeat GL Prospect Clients List</t>
  </si>
  <si>
    <t>3550-Agartala Central Branch Repeat GL Prospect Clients List</t>
  </si>
  <si>
    <t>3551-Agartala North Branch Repeat GL Prospect Clients List</t>
  </si>
  <si>
    <t>3549-Agartala South Branch Repeat GL Prospect Clients List</t>
  </si>
  <si>
    <t>3504-Ainthapalli Branch Repeat GL Prospect Clients List</t>
  </si>
  <si>
    <t>3517-Alipurduar Branch Repeat GL Prospect Clients List</t>
  </si>
  <si>
    <t>3360-Arambagh Branch Repeat GL Prospect Clients List</t>
  </si>
  <si>
    <t>3370-Asansol Branch Repeat GL Prospect Clients List</t>
  </si>
  <si>
    <t>3538-Azara Branch Repeat GL Prospect Clients List</t>
  </si>
  <si>
    <t>3340-Bagnan Branch Repeat GL Prospect Clients List</t>
  </si>
  <si>
    <t>3386-Baharampur Branch Repeat GL Prospect Clients List</t>
  </si>
  <si>
    <t>3562-Baihata Chairali Branch Repeat GL Prospect Clients List</t>
  </si>
  <si>
    <t>3319-Bally Branch Repeat GL Prospect Clients List</t>
  </si>
  <si>
    <t>3507-Balurghat Branch Repeat GL Prospect Clients List</t>
  </si>
  <si>
    <t>3533-Bamuni Maidan Branch Repeat GL Prospect Clients List</t>
  </si>
  <si>
    <t>3325-Bandel Branch Repeat GL Prospect Clients List</t>
  </si>
  <si>
    <t>3344-Baramunda Branch Repeat GL Prospect Clients List</t>
  </si>
  <si>
    <t>3314-Barasat Branch Repeat GL Prospect Clients List</t>
  </si>
  <si>
    <t>3547-Barauni Branch Repeat GL Prospect Clients List</t>
  </si>
  <si>
    <t>3520-Bargarh Branch Repeat GL Prospect Clients List</t>
  </si>
  <si>
    <t>3327-Baridih Branch Repeat GL Prospect Clients List</t>
  </si>
  <si>
    <t>4475-Bhusaval Branch Repeat GL Prospect Clients List</t>
  </si>
  <si>
    <t>3334-Batanagar Branch Repeat GL Prospect Clients List</t>
  </si>
  <si>
    <t>3548-Begusarai Branch Repeat GL Prospect Clients List</t>
  </si>
  <si>
    <t>3527-Bhagalpur Central Branch Repeat GL Prospect Clients List</t>
  </si>
  <si>
    <t>3305-Bidhan Nagar Branch Repeat GL Prospect Clients List</t>
  </si>
  <si>
    <t>3552-Bishalgarh Branch Repeat GL Prospect Clients List</t>
  </si>
  <si>
    <t>3368-Bolpur Branch Repeat GL Prospect Clients List</t>
  </si>
  <si>
    <t>3361-Budbud Branch Repeat GL Prospect Clients List</t>
  </si>
  <si>
    <t>3321-Chakdaha Branch Repeat GL Prospect Clients List</t>
  </si>
  <si>
    <t>3322-Chandannagar Branch Repeat GL Prospect Clients List</t>
  </si>
  <si>
    <t>3339-Chandrashekharpur Branch Repeat GL Prospect Clients List</t>
  </si>
  <si>
    <t>3362-Chas Branch Repeat GL Prospect Clients List</t>
  </si>
  <si>
    <t>3555-Choudwar Branch Repeat GL Prospect Clients List</t>
  </si>
  <si>
    <t>3501-Contai Branch Repeat GL Prospect Clients List</t>
  </si>
  <si>
    <t>3516-Coochbehar Branch Repeat GL Prospect Clients List</t>
  </si>
  <si>
    <t>3307-Dakshineswar Branch Repeat GL Prospect Clients List</t>
  </si>
  <si>
    <t>3352-Danapur Branch Repeat GL Prospect Clients List</t>
  </si>
  <si>
    <t>3544-Darbhanga Branch Repeat GL Prospect Clients List</t>
  </si>
  <si>
    <t>3503-Deoghar Branch Repeat GL Prospect Clients List</t>
  </si>
  <si>
    <t>3336-Dhanbad Branch Repeat GL Prospect Clients List</t>
  </si>
  <si>
    <t>3376-Dhaniakhali Branch Repeat GL Prospect Clients List</t>
  </si>
  <si>
    <t>3541-Dhupguri Branch Repeat GL Prospect Clients List</t>
  </si>
  <si>
    <t>3512-Dispur Branch Repeat GL Prospect Clients List</t>
  </si>
  <si>
    <t>3330-Domjur Branch Repeat GL Prospect Clients List</t>
  </si>
  <si>
    <t>3311-Dumdum Branch Repeat GL Prospect Clients List</t>
  </si>
  <si>
    <t>3369-Durgapur Branch Repeat GL Prospect Clients List</t>
  </si>
  <si>
    <t>3373-Fatuah Branch Repeat GL Prospect Clients List</t>
  </si>
  <si>
    <t>3375-Fulwari Shariff Branch Repeat GL Prospect Clients List</t>
  </si>
  <si>
    <t>3374-Gandhi Maidan Branch Repeat GL Prospect Clients List</t>
  </si>
  <si>
    <t>3302-Garcha Branch Repeat GL Prospect Clients List</t>
  </si>
  <si>
    <t>3306-Garia Branch Repeat GL Prospect Clients List</t>
  </si>
  <si>
    <t>3535-Gaya Branch Repeat GL Prospect Clients List</t>
  </si>
  <si>
    <t>3357-Ghatsila Branch Repeat GL Prospect Clients List</t>
  </si>
  <si>
    <t>3563-Golaghat Branch Repeat GL Prospect Clients List</t>
  </si>
  <si>
    <t>3350-Govindpur Branch Repeat GL Prospect Clients List</t>
  </si>
  <si>
    <t>3317-Habra Branch Repeat GL Prospect Clients List</t>
  </si>
  <si>
    <t>3358-Hajipur Branch Repeat GL Prospect Clients List</t>
  </si>
  <si>
    <t>3332-Halisahar Branch Repeat GL Prospect Clients List</t>
  </si>
  <si>
    <t>3365-Hazaribagh Sadar Branch Repeat GL Prospect Clients List</t>
  </si>
  <si>
    <t>3508-Jalpaiguri Branch Repeat GL Prospect Clients List</t>
  </si>
  <si>
    <t>3537-Jehanabad Branch Repeat GL Prospect Clients List</t>
  </si>
  <si>
    <t>3364-Jharia Branch Repeat GL Prospect Clients List</t>
  </si>
  <si>
    <t>3521-Jharsuguda Branch Repeat GL Prospect Clients List</t>
  </si>
  <si>
    <t>3564-Jorhat 1 Branch Repeat GL Prospect Clients List</t>
  </si>
  <si>
    <t>3565-Jorhat 2 Branch Repeat GL Prospect Clients List</t>
  </si>
  <si>
    <t>3525-Kahelgaon Branch Repeat GL Prospect Clients List</t>
  </si>
  <si>
    <t>3513-Kalapahar Branch Repeat GL Prospect Clients List</t>
  </si>
  <si>
    <t>3509-Kaliaganj Branch Repeat GL Prospect Clients List</t>
  </si>
  <si>
    <t>3304-Kalighat Branch Repeat GL Prospect Clients List</t>
  </si>
  <si>
    <t>3359-Kalna Gate Branch Repeat GL Prospect Clients List</t>
  </si>
  <si>
    <t>3309-Kasba Branch Repeat GL Prospect Clients List</t>
  </si>
  <si>
    <t>3337-Katras Branch Repeat GL Prospect Clients List</t>
  </si>
  <si>
    <t>3531-Khanapara Branch Repeat GL Prospect Clients List</t>
  </si>
  <si>
    <t>3384-Kharagpur Branch Repeat GL Prospect Clients List</t>
  </si>
  <si>
    <t>3379-Koelnagar Branch Repeat GL Prospect Clients List</t>
  </si>
  <si>
    <t>3349-Kokar Branch Repeat GL Prospect Clients List</t>
  </si>
  <si>
    <t>3383-Kulti Branch Repeat GL Prospect Clients List</t>
  </si>
  <si>
    <t>3387-Malda Branch Repeat GL Prospect Clients List</t>
  </si>
  <si>
    <t>3514-Maligaon Branch Repeat GL Prospect Clients List</t>
  </si>
  <si>
    <t>3542-Maner Branch Repeat GL Prospect Clients List</t>
  </si>
  <si>
    <t>3328-Mango Branch Repeat GL Prospect Clients List</t>
  </si>
  <si>
    <t>3515-Mawlai Branch Repeat GL Prospect Clients List</t>
  </si>
  <si>
    <t>3388-Mddm Branch Repeat GL Prospect Clients List</t>
  </si>
  <si>
    <t>3554-Melaghar Branch Repeat GL Prospect Clients List</t>
  </si>
  <si>
    <t>3385-Midnapur Branch Repeat GL Prospect Clients List</t>
  </si>
  <si>
    <t>3556-Motihari Branch Repeat GL Prospect Clients List</t>
  </si>
  <si>
    <t>3560-Nagaon Branch Repeat GL Prospect Clients List</t>
  </si>
  <si>
    <t>3561-Nalbari Branch Repeat GL Prospect Clients List</t>
  </si>
  <si>
    <t>3566-Naogaon 2 Branch Repeat GL Prospect Clients List</t>
  </si>
  <si>
    <t>3347-Panskura Branch Repeat GL Prospect Clients List</t>
  </si>
  <si>
    <t>3312-Parkcircus Branch Repeat GL Prospect Clients List</t>
  </si>
  <si>
    <t>3329-Parsudih Branch Repeat GL Prospect Clients List</t>
  </si>
  <si>
    <t>3568-Pathsala Branch Repeat GL Prospect Clients List</t>
  </si>
  <si>
    <t>3353-Patna City Branch Repeat GL Prospect Clients List</t>
  </si>
  <si>
    <t>3523-Phulanakhara Branch Repeat GL Prospect Clients List</t>
  </si>
  <si>
    <t>3519-Police Bazar Branch Repeat GL Prospect Clients List</t>
  </si>
  <si>
    <t>3356-Puri Branch Repeat GL Prospect Clients List</t>
  </si>
  <si>
    <t>3366-Purulia Branch Repeat GL Prospect Clients List</t>
  </si>
  <si>
    <t>3529-R.N. Shah Chowk Branch Repeat GL Prospect Clients List</t>
  </si>
  <si>
    <t>3510-Raiganj Branch Repeat GL Prospect Clients List</t>
  </si>
  <si>
    <t>3377-Rajgangpur Branch Repeat GL Prospect Clients List</t>
  </si>
  <si>
    <t>3367-Rasulpur Branch Repeat GL Prospect Clients List</t>
  </si>
  <si>
    <t>3345-Ratu Road Branch Repeat GL Prospect Clients List</t>
  </si>
  <si>
    <t>3378-Rourkela Branch Repeat GL Prospect Clients List</t>
  </si>
  <si>
    <t>3545-Saharsha Branch Repeat GL Prospect Clients List</t>
  </si>
  <si>
    <t>3382-Sainthiya Branch Repeat GL Prospect Clients List</t>
  </si>
  <si>
    <t>3343-Samantarapur Branch Repeat GL Prospect Clients List</t>
  </si>
  <si>
    <t>3557-Samastipur Branch Repeat GL Prospect Clients List</t>
  </si>
  <si>
    <t>3553-Udaipur Branch Repeat GL Prospect Clients List</t>
  </si>
  <si>
    <t>3326-Sankrail Branch Repeat GL Prospect Clients List</t>
  </si>
  <si>
    <t>3313-Shibpur Branch Repeat GL Prospect Clients List</t>
  </si>
  <si>
    <t>3511-Siliguri Branch Repeat GL Prospect Clients List</t>
  </si>
  <si>
    <t>3315-Sodepur Branch Repeat GL Prospect Clients List</t>
  </si>
  <si>
    <t>3539-Sualkuchi Branch Repeat GL Prospect Clients List</t>
  </si>
  <si>
    <t>3331-Subhasgram Branch Repeat GL Prospect Clients List</t>
  </si>
  <si>
    <t>3524-Sultanganj Branch Repeat GL Prospect Clients List</t>
  </si>
  <si>
    <t>3546-Supaul Branch Repeat GL Prospect Clients List</t>
  </si>
  <si>
    <t>3534-Sutahata Branch Repeat GL Prospect Clients List</t>
  </si>
  <si>
    <t>3502-Tamluk Branch Repeat GL Prospect Clients List</t>
  </si>
  <si>
    <t>3559-Tezpur Branch Repeat GL Prospect Clients List</t>
  </si>
  <si>
    <t>3310-Thakurpukur Branch Repeat GL Prospect Clients List</t>
  </si>
  <si>
    <t>3381-Tilaiya Branch Repeat GL Prospect Clients List</t>
  </si>
  <si>
    <t>3567-Titabor Branch Repeat GL Prospect Clients List</t>
  </si>
  <si>
    <t>3303-Tollygunge Branch Repeat GL Prospect Clients List</t>
  </si>
  <si>
    <t>3389-Zero Mile Branch Repeat GL Prospect Clients List</t>
  </si>
  <si>
    <t>4403-Pune-South Branch Repeat GL Prospect Clients List</t>
  </si>
  <si>
    <t>4404-Pune-East Branch Repeat GL Prospect Clients List</t>
  </si>
  <si>
    <t>4405-Aundh Branch Repeat GL Prospect Clients List</t>
  </si>
  <si>
    <t>4407-Pimpri Branch Repeat GL Prospect Clients List</t>
  </si>
  <si>
    <t>4408-Pune-West Branch Repeat GL Prospect Clients List</t>
  </si>
  <si>
    <t>4409-Nashik Road Branch Repeat GL Prospect Clients List</t>
  </si>
  <si>
    <t>4410-Cidco Branch Repeat GL Prospect Clients List</t>
  </si>
  <si>
    <t>4411-Navi Mumbai Branch Repeat GL Prospect Clients List</t>
  </si>
  <si>
    <t>4413-Chembur Branch Repeat GL Prospect Clients List</t>
  </si>
  <si>
    <t>4415-Katraj Branch Repeat GL Prospect Clients List</t>
  </si>
  <si>
    <t>4416-Kalyan Branch Repeat GL Prospect Clients List</t>
  </si>
  <si>
    <t>4418-Ghatkopar Branch Repeat GL Prospect Clients List</t>
  </si>
  <si>
    <t>4419-Ambernath Branch Repeat GL Prospect Clients List</t>
  </si>
  <si>
    <t>4420-Kalwa Branch Repeat GL Prospect Clients List</t>
  </si>
  <si>
    <t>4423-Nashik City Branch Repeat GL Prospect Clients List</t>
  </si>
  <si>
    <t>4424-Panchwati Branch Repeat GL Prospect Clients List</t>
  </si>
  <si>
    <t>4427-Chandivali Branch Repeat GL Prospect Clients List</t>
  </si>
  <si>
    <t>4428-Udhana Branch Repeat GL Prospect Clients List</t>
  </si>
  <si>
    <t>4429-Katargam Branch Repeat GL Prospect Clients List</t>
  </si>
  <si>
    <t>4430-Limbayat Branch Repeat GL Prospect Clients List</t>
  </si>
  <si>
    <t>4431-Varachha Branch Repeat GL Prospect Clients List</t>
  </si>
  <si>
    <t>4471-Market Yard Branch Repeat GL Prospect Clients List</t>
  </si>
  <si>
    <t>4432-Chandannagar Branch Repeat GL Prospect Clients List</t>
  </si>
  <si>
    <t>4433-Goregaon Branch Repeat GL Prospect Clients List</t>
  </si>
  <si>
    <t>4436-Wadala Branch Repeat GL Prospect Clients List</t>
  </si>
  <si>
    <t>4437-Dharavi Branch Repeat GL Prospect Clients List</t>
  </si>
  <si>
    <t>4438-Santacruz Branch Repeat GL Prospect Clients List</t>
  </si>
  <si>
    <t>4440-Surat Central Branch Repeat GL Prospect Clients List</t>
  </si>
  <si>
    <t>4442-Baroda-North Branch Repeat GL Prospect Clients List</t>
  </si>
  <si>
    <t>4443-Baroda-South Branch Repeat GL Prospect Clients List</t>
  </si>
  <si>
    <t>4444-Baroda-East Branch Repeat GL Prospect Clients List</t>
  </si>
  <si>
    <t>4447-Baroda-Central Branch Repeat GL Prospect Clients List</t>
  </si>
  <si>
    <t>4449-Bharuch Branch Repeat GL Prospect Clients List</t>
  </si>
  <si>
    <t>4452-Satara Branch Repeat GL Prospect Clients List</t>
  </si>
  <si>
    <t>4453-Karad Branch Repeat GL Prospect Clients List</t>
  </si>
  <si>
    <t>4455-Aurangabad CBS Branch Repeat GL Prospect Clients List</t>
  </si>
  <si>
    <t>4456-Bhivandi Branch Repeat GL Prospect Clients List</t>
  </si>
  <si>
    <t>4457-Vapi Branch Repeat GL Prospect Clients List</t>
  </si>
  <si>
    <t>4458-South Solapur Branch Repeat GL Prospect Clients List</t>
  </si>
  <si>
    <t>4459-North Solapur Branch Repeat GL Prospect Clients List</t>
  </si>
  <si>
    <t>4461-Miraj Branch Repeat GL Prospect Clients List</t>
  </si>
  <si>
    <t>4462-Panvel-Kalamboli Branch Repeat GL Prospect Clients List</t>
  </si>
  <si>
    <t>4463-Nadiad Branch Repeat GL Prospect Clients List</t>
  </si>
  <si>
    <t>4464-Shahupuri Branch Repeat GL Prospect Clients List</t>
  </si>
  <si>
    <t>4465-Sabarmati Branch Repeat GL Prospect Clients List</t>
  </si>
  <si>
    <t>4466-Isanpur Branch Repeat GL Prospect Clients List</t>
  </si>
  <si>
    <t>4467-Naroda Branch Repeat GL Prospect Clients List</t>
  </si>
  <si>
    <t>4468-Hatkeshwar Branch Repeat GL Prospect Clients List</t>
  </si>
  <si>
    <t>4469-Rankala Branch Repeat GL Prospect Clients List</t>
  </si>
  <si>
    <t>4470-Ichalkaranji Branch Repeat GL Prospect Clients List</t>
  </si>
  <si>
    <t>4479-Mehsana Branch Repeat GL Prospect Clients List</t>
  </si>
  <si>
    <t>4480-Himmatnagar Branch Repeat GL Prospect Clients List</t>
  </si>
  <si>
    <t>4482-Rajkot South Branch Repeat GL Prospect Clients List</t>
  </si>
  <si>
    <t>4483-Rajkot North Branch Repeat GL Prospect Clients List</t>
  </si>
  <si>
    <t>4484-Aji Dam Branch Repeat GL Prospect Clients List</t>
  </si>
  <si>
    <t>4490-Rajpipla Branch Repeat GL Prospect Clients List</t>
  </si>
  <si>
    <t>sandes.kumar@ujjivan.com</t>
  </si>
  <si>
    <t>sameer.gadigaonkar@ujjivan.com</t>
  </si>
  <si>
    <t>syed.mushtak@ujjivan.com</t>
  </si>
  <si>
    <t>kamanasish.purkayastha@ujjivan.com</t>
  </si>
  <si>
    <t>Name</t>
  </si>
  <si>
    <t>Branch</t>
  </si>
  <si>
    <t>Branch Email</t>
  </si>
  <si>
    <t>1102-Koramangala</t>
  </si>
  <si>
    <t>blr-koramangala-branch@ujjivan.com</t>
  </si>
  <si>
    <t>1103-Yeshwantpur</t>
  </si>
  <si>
    <t>blr-yeshwanthpur-branch@ujjivan.com</t>
  </si>
  <si>
    <t>1105-Magadi Road</t>
  </si>
  <si>
    <t>blr-magadird-branch@ujjivan.com</t>
  </si>
  <si>
    <t>1106-Kavalbysandra</t>
  </si>
  <si>
    <t>blr-kavalbyrasandra-branch@ujjivan.com</t>
  </si>
  <si>
    <t>1107-HAL</t>
  </si>
  <si>
    <t>blr-hal-branch@ujjivan.com</t>
  </si>
  <si>
    <t>1108-CHAMARAJPET</t>
  </si>
  <si>
    <t>blr-chamarajpet-branch@ujjivan.com</t>
  </si>
  <si>
    <t>1109-LINGARAJAPURAM</t>
  </si>
  <si>
    <t>blr-lingarajpuram-branch@ujjivan.com</t>
  </si>
  <si>
    <t>1110-WhiteField</t>
  </si>
  <si>
    <t>blr-whitefield-branch@ujjivan.com</t>
  </si>
  <si>
    <t>1111-JAKKASANDRA</t>
  </si>
  <si>
    <t>blr-jakkasandra-branch@ujjivan.com</t>
  </si>
  <si>
    <t>1112-ChandraLayout</t>
  </si>
  <si>
    <t>blr-chandralyt-branch@ujjivan.com</t>
  </si>
  <si>
    <t>1113-K R PURAM</t>
  </si>
  <si>
    <t>blr-krpuram-branch@ujjivan.com</t>
  </si>
  <si>
    <t>1114-RAMANAGAR</t>
  </si>
  <si>
    <t>blr-ramanagar-branch@ujjivan.com</t>
  </si>
  <si>
    <t>1115-Peenya</t>
  </si>
  <si>
    <t>blr-peenya-branch@ujjivan.com</t>
  </si>
  <si>
    <t>1116-Anekal</t>
  </si>
  <si>
    <t>blr-anekal-branch@ujjivan.com</t>
  </si>
  <si>
    <t>1117-MADDUR</t>
  </si>
  <si>
    <t>blr-maddur-branch@ujjivan.com</t>
  </si>
  <si>
    <t>1118-BR PURA</t>
  </si>
  <si>
    <t>blr-brpura-branch@ujjivan.com</t>
  </si>
  <si>
    <t>1119-YELAHANKA</t>
  </si>
  <si>
    <t>blr-yelahanka-branch@ujjivan.com</t>
  </si>
  <si>
    <t>1120-CHANNAPATNA</t>
  </si>
  <si>
    <t>blr-channapatna-branch@ujjivan.com</t>
  </si>
  <si>
    <t>1121-CHIKKABALLAPUR</t>
  </si>
  <si>
    <t>blr-chikkaballapur-branch@ujjivan.com</t>
  </si>
  <si>
    <t>1122-Uttarahalli</t>
  </si>
  <si>
    <t>blr-uttarahalli-branch@ujjivan.com</t>
  </si>
  <si>
    <t>1123-Dharwad North</t>
  </si>
  <si>
    <t>blr-dharwadnorth-branch@ujjivan</t>
  </si>
  <si>
    <t>1124-Hosur</t>
  </si>
  <si>
    <t>blr-hosur-branch@ujjivan.com</t>
  </si>
  <si>
    <t>1125-Hubli Old</t>
  </si>
  <si>
    <t>1125</t>
  </si>
  <si>
    <t>blr-hubliold-branch@ujjivan.com</t>
  </si>
  <si>
    <t>1126-Hubli North</t>
  </si>
  <si>
    <t>1126</t>
  </si>
  <si>
    <t>blr-hublinorth-branch@ujjivan.com</t>
  </si>
  <si>
    <t>1127-ibl chamarajpet</t>
  </si>
  <si>
    <t>1127</t>
  </si>
  <si>
    <t>1128-Belgaum</t>
  </si>
  <si>
    <t>blr-belgaum-branch@ujjivan.com</t>
  </si>
  <si>
    <t>1129-Siddalghatta</t>
  </si>
  <si>
    <t>1129</t>
  </si>
  <si>
    <t>blr-siddalghatta-branch@ujjivan.com</t>
  </si>
  <si>
    <t>1130-Krishnagiri</t>
  </si>
  <si>
    <t>tn-krishnagiri-branch@ujjivan.com</t>
  </si>
  <si>
    <t>1131-HAVERI</t>
  </si>
  <si>
    <t>blr-haveri-branch@ujjivan.com</t>
  </si>
  <si>
    <t>1132-DAVANGER SOUTH</t>
  </si>
  <si>
    <t>blr-davangeresouth-branch@ujjivan.com</t>
  </si>
  <si>
    <t>1133-TUMKUR</t>
  </si>
  <si>
    <t>blr-tumkur-branch@ujjivan.com</t>
  </si>
  <si>
    <t>1134-CHITRADURGA</t>
  </si>
  <si>
    <t>blr-chitradurga-branch@ujjivan.com</t>
  </si>
  <si>
    <t>1135-TIRUPATHUR</t>
  </si>
  <si>
    <t>tn-tirupathur-branch@ujjivan.com</t>
  </si>
  <si>
    <t>1136-ibl-whitefield</t>
  </si>
  <si>
    <t>1136</t>
  </si>
  <si>
    <t>1137-DAVANGERE NORTH</t>
  </si>
  <si>
    <t>1137</t>
  </si>
  <si>
    <t>blr-davangerenorth-branch@ujjivan.com</t>
  </si>
  <si>
    <t>1138-GAURIBIDANUR</t>
  </si>
  <si>
    <t>blr-gowribidanur-branch@ujjivan.com</t>
  </si>
  <si>
    <t>1139-SHIMOGA</t>
  </si>
  <si>
    <t>blr-shimoga-branch@ujjivan.com</t>
  </si>
  <si>
    <t>1140-KOTHANUR</t>
  </si>
  <si>
    <t>1140</t>
  </si>
  <si>
    <t>blr-kothanur-branch@ujjivan.com</t>
  </si>
  <si>
    <t>1141-HARIHARA</t>
  </si>
  <si>
    <t>blr-harihara-branch@ujjivan.com</t>
  </si>
  <si>
    <t>1142-MYSORE BRINDAVAN</t>
  </si>
  <si>
    <t>blr-mysorebrindavan-branch@ujjivan.com</t>
  </si>
  <si>
    <t>1143-BHADRAVATHI</t>
  </si>
  <si>
    <t>blr-bhadravathi-branch@ujjivan.com</t>
  </si>
  <si>
    <t>1144-TIPTUR</t>
  </si>
  <si>
    <t>blr-tiptur-branch@ujjivan.com</t>
  </si>
  <si>
    <t>1145-GADAG</t>
  </si>
  <si>
    <t>blr-gadag-branch@ujjivan.com</t>
  </si>
  <si>
    <t>1146-DHARMAPURI</t>
  </si>
  <si>
    <t>blr-dharmapuri-branch@ujjivan.com</t>
  </si>
  <si>
    <t>1147-CHINTAMANI</t>
  </si>
  <si>
    <t>blr-chintamani-branch@ujjivan.com</t>
  </si>
  <si>
    <t>1148-HOSUR UUVADI</t>
  </si>
  <si>
    <t>1148</t>
  </si>
  <si>
    <t>blr-hosuruuvadi-branch@ujjivan.com</t>
  </si>
  <si>
    <t>1148-HOSUR ZUZUVADI</t>
  </si>
  <si>
    <t>blr-hosurzuzuvadi-branch@ujjivan.com</t>
  </si>
  <si>
    <t>1149-MYSORE CHAMUNDI</t>
  </si>
  <si>
    <t>1149</t>
  </si>
  <si>
    <t>blr-mysorechamundi-branch@ujjivan.com</t>
  </si>
  <si>
    <t>1150-DEVAIAH PARK</t>
  </si>
  <si>
    <t>blr-devaiahpark-branch@ujjivan.com</t>
  </si>
  <si>
    <t>1151-CHALLAKERE</t>
  </si>
  <si>
    <t>blr-challakere-branch@ujjivan.com</t>
  </si>
  <si>
    <t>1152-VANIAMBADI</t>
  </si>
  <si>
    <t>tn-vaniambadi-branch@ujjivan.com</t>
  </si>
  <si>
    <t>1153-NANJANGUD</t>
  </si>
  <si>
    <t>blr-nanjangud-branch@ujjivan.com</t>
  </si>
  <si>
    <t>1154-INDUS</t>
  </si>
  <si>
    <t>1154</t>
  </si>
  <si>
    <t>blr-indus-branch@ujjivan.com</t>
  </si>
  <si>
    <t>1155-PALACODE</t>
  </si>
  <si>
    <t>tn-palacode-branch@ujjivan.com</t>
  </si>
  <si>
    <t>1156-SIRA</t>
  </si>
  <si>
    <t>blr-sira-branch@ujjivan.com</t>
  </si>
  <si>
    <t>1157-IBL KAVALBYSANDRA</t>
  </si>
  <si>
    <t>1157</t>
  </si>
  <si>
    <t>helpdesk@ujjivan.com</t>
  </si>
  <si>
    <t>1157-NA</t>
  </si>
  <si>
    <t>1158-IBL LINGARAJPURAM</t>
  </si>
  <si>
    <t>1158</t>
  </si>
  <si>
    <t>1158-NA</t>
  </si>
  <si>
    <t>1159-RANEBENNUR</t>
  </si>
  <si>
    <t>1159</t>
  </si>
  <si>
    <t>blr-ranebennur-branch@ujjivan.com</t>
  </si>
  <si>
    <t>1160-DOMMASANDRA</t>
  </si>
  <si>
    <t>blr-dommasandra-branch@ujjivan.com</t>
  </si>
  <si>
    <t>1161-BAILHONGAL</t>
  </si>
  <si>
    <t>blr-bailhongal-branch@ujjivan.com</t>
  </si>
  <si>
    <t>1162-GOKAK</t>
  </si>
  <si>
    <t>blr-gokak-branch@ujjivan.com</t>
  </si>
  <si>
    <t>1163-GUDIYATHAM</t>
  </si>
  <si>
    <t>1163</t>
  </si>
  <si>
    <t>TN-GUDIYATHAM-BRANCH@UJJIVAN.COM</t>
  </si>
  <si>
    <t>1164-AMBUR</t>
  </si>
  <si>
    <t>1164</t>
  </si>
  <si>
    <t>tn-ambur-branch@ujjivan.com</t>
  </si>
  <si>
    <t>1165-ATHANI</t>
  </si>
  <si>
    <t>blr-athani-branch@ujjivan.com</t>
  </si>
  <si>
    <t>1166-VELLORE FORT</t>
  </si>
  <si>
    <t>1166</t>
  </si>
  <si>
    <t>tn-vellorefort-branch@ujjivan.com</t>
  </si>
  <si>
    <t>1167-VELLORE KATPADI</t>
  </si>
  <si>
    <t>1167</t>
  </si>
  <si>
    <t>tn-vellorekatpadi-branch@ujjivan.com</t>
  </si>
  <si>
    <t>1168-Chikbannavara</t>
  </si>
  <si>
    <t>blr-chikbannavara-branch@ujjivan.com</t>
  </si>
  <si>
    <t>1169-ERODE KAVERI</t>
  </si>
  <si>
    <t>tn-erode-branch@ujjivan.com </t>
  </si>
  <si>
    <t>1170-THIRUVANAMALAI</t>
  </si>
  <si>
    <t>tn-thiruvanamalai-branch@ujjivan.com</t>
  </si>
  <si>
    <t>1171-RS PURAM - COIMBATORE</t>
  </si>
  <si>
    <t>tn-rspuram.coimbatore-branch@ujjivan.com</t>
  </si>
  <si>
    <t>1171-RS PURAM-COIMBATORE</t>
  </si>
  <si>
    <t>1172-SALEM SURAMANGALAM</t>
  </si>
  <si>
    <t>tn-salem.suramangalam-branch@ujjivan.com</t>
  </si>
  <si>
    <t>1173-KENGERI</t>
  </si>
  <si>
    <t>blr-kengeri-branch@ujjivan.com</t>
  </si>
  <si>
    <t>1174-JAMKHANDI</t>
  </si>
  <si>
    <t>blr-jamkhandi-branch@ujjivan.com</t>
  </si>
  <si>
    <t>1175-MUDHOL</t>
  </si>
  <si>
    <t>1175</t>
  </si>
  <si>
    <t>blr-mudhol-branch@ujjivan.com</t>
  </si>
  <si>
    <t>1176-ARCOT</t>
  </si>
  <si>
    <t>tn-arcot-branch@ujjivan.com</t>
  </si>
  <si>
    <t>1177-BHAVANI</t>
  </si>
  <si>
    <t>1177</t>
  </si>
  <si>
    <t>tn-bhavani-branch@ujjivan.com</t>
  </si>
  <si>
    <t>1178-RANIPET</t>
  </si>
  <si>
    <t>1178</t>
  </si>
  <si>
    <t>tn-ranipet-branch@ujjivan.com</t>
  </si>
  <si>
    <t>1179-GOBICHETIPALAYAM</t>
  </si>
  <si>
    <t>tn-gobichetipalayam-branch@ujjivan.com</t>
  </si>
  <si>
    <t>1180-ERODE SURAMBATTI</t>
  </si>
  <si>
    <t>1180</t>
  </si>
  <si>
    <t>tn-erode.surambatti-branch@ujjivan.com;</t>
  </si>
  <si>
    <t>1181-KOMARAPALYAM</t>
  </si>
  <si>
    <t>tn-komarapalyam-branch@ujjivan.com</t>
  </si>
  <si>
    <t>1182-TIRUCHENGODU</t>
  </si>
  <si>
    <t>tn-tiruchengodu-branch@ujjivan.com</t>
  </si>
  <si>
    <t>1183-PARAMATHI VELUR</t>
  </si>
  <si>
    <t>tn-paramathivelur-branch@ujjivan.com</t>
  </si>
  <si>
    <t>1184-CO-SUNDARAPURAM</t>
  </si>
  <si>
    <t>tn-sundarapuram-branch@ujjivan.com</t>
  </si>
  <si>
    <t>1185-GANAPATHY</t>
  </si>
  <si>
    <t>1185</t>
  </si>
  <si>
    <t>tn-ganapathy-branch@ujjivan.com</t>
  </si>
  <si>
    <t>1186-SINGANALLUR</t>
  </si>
  <si>
    <t>tn-singanallur-branch@ujjivan.com</t>
  </si>
  <si>
    <t>1187-ALANGAYAM</t>
  </si>
  <si>
    <t>1187</t>
  </si>
  <si>
    <t>tn-alangayam-branch@ujjivan.com</t>
  </si>
  <si>
    <t>1188-METTUPALAYAM</t>
  </si>
  <si>
    <t>tn-mettupalayam-branch@ujjivan.com</t>
  </si>
  <si>
    <t>1189-UDUMALPET</t>
  </si>
  <si>
    <t>tn-udumalpet-branch@ujjivan.com</t>
  </si>
  <si>
    <t>1190-Karur</t>
  </si>
  <si>
    <t>1190</t>
  </si>
  <si>
    <t>tn-karur-branch@ujjivan.com</t>
  </si>
  <si>
    <t>1191-Dharapuram</t>
  </si>
  <si>
    <t>tn-dharapuram-branch@ujjivan.com</t>
  </si>
  <si>
    <t>1192-RASIPURAM</t>
  </si>
  <si>
    <t>1192</t>
  </si>
  <si>
    <t>tn-Rasipuram-branch@ujjivan.com</t>
  </si>
  <si>
    <t>1193-KOCHI-VIPIN</t>
  </si>
  <si>
    <t>kl-vypin-branch@ujjivan.com</t>
  </si>
  <si>
    <t>1194-KOCHI-PALLUARTHY</t>
  </si>
  <si>
    <t>kl-cochin.palluarthy-branch@ujjivan.com</t>
  </si>
  <si>
    <t>1195-BODINAYAKANUR</t>
  </si>
  <si>
    <t>tn-bodinayakanur-branch@ujjivan.com</t>
  </si>
  <si>
    <t>1196-SALEM BYEPASS</t>
  </si>
  <si>
    <t>1196</t>
  </si>
  <si>
    <t>tn-salem.byepass-branch@ujjivan.com</t>
  </si>
  <si>
    <t>1197-PONDICHERRY MOOLAKULAM</t>
  </si>
  <si>
    <t>tn-pondi.moolakulam-branch@ujjivan.com</t>
  </si>
  <si>
    <t>1198-SATHYAMANGALAM</t>
  </si>
  <si>
    <t>1198</t>
  </si>
  <si>
    <t>tn-sathyamangalam-branch@ujjivan.com</t>
  </si>
  <si>
    <t>1601-PERUMBAVOOR</t>
  </si>
  <si>
    <t>1601</t>
  </si>
  <si>
    <t>kl-perumbavoor-branch@ujjivan.com </t>
  </si>
  <si>
    <t>1602-PERIYAKULAM</t>
  </si>
  <si>
    <t>tn-periyakulam-branch@ujjivan.com</t>
  </si>
  <si>
    <t>1603-PARAVUR</t>
  </si>
  <si>
    <t>kl-paravur-branch@ujjivan.com </t>
  </si>
  <si>
    <t>1604-MUDALIYARPET</t>
  </si>
  <si>
    <t>1604</t>
  </si>
  <si>
    <t>tn-pondi.mudhaliarpet-branch@ujjivan.com</t>
  </si>
  <si>
    <t>1605-UDAYAMPEROOR</t>
  </si>
  <si>
    <t>kl-udayamperoor-branch@ujjivan.com</t>
  </si>
  <si>
    <t>1606-CHERTHALA</t>
  </si>
  <si>
    <t>kl-cherthala-branch@ujjivan.com</t>
  </si>
  <si>
    <t>1607-DINDIGUL</t>
  </si>
  <si>
    <t>tn-dindigul-branch@ujjivan.com</t>
  </si>
  <si>
    <t>1608-PANRUTI</t>
  </si>
  <si>
    <t>tn-panruti-branch@ujjivan.com</t>
  </si>
  <si>
    <t>1609-VIRDHUCHALAM</t>
  </si>
  <si>
    <t>tn-virudhachalam-branch@ujjivan.com</t>
  </si>
  <si>
    <t>1610-CUDDALORE</t>
  </si>
  <si>
    <t>tn-cuddalore-branch@ujjivan.com</t>
  </si>
  <si>
    <t>1611-GUDULUR</t>
  </si>
  <si>
    <t>tn-gudalur-branch@ujjivan.com</t>
  </si>
  <si>
    <t>1612-COONOOR</t>
  </si>
  <si>
    <t>tn-coonoor-branch@ujjivan.com</t>
  </si>
  <si>
    <t>1613-OOTY</t>
  </si>
  <si>
    <t>tn-ooty-branch@ujjivan.com</t>
  </si>
  <si>
    <t>1615-ALLEPEY</t>
  </si>
  <si>
    <t>kl-allepey-branch@ujjvian.com</t>
  </si>
  <si>
    <t>1616-WADAKANCHERY</t>
  </si>
  <si>
    <t>1616</t>
  </si>
  <si>
    <t>kl-wadakanchery-branch@ujjivan.com</t>
  </si>
  <si>
    <t>1617-KINATHAKADAVU</t>
  </si>
  <si>
    <t>1617</t>
  </si>
  <si>
    <t>tn-kinathakadavu-branch@ujjivan.com</t>
  </si>
  <si>
    <t>1618-ANNAMALAI</t>
  </si>
  <si>
    <t>tn-anamalai-branch@ujjivan.com</t>
  </si>
  <si>
    <t>1619-VASCO</t>
  </si>
  <si>
    <t>goa-vasco-branch@ujjivan.com</t>
  </si>
  <si>
    <t>1622-GURUVAYURU</t>
  </si>
  <si>
    <t>kl-guruvayur-branch@ujjivan.com</t>
  </si>
  <si>
    <t>1623-HARIPAD</t>
  </si>
  <si>
    <t>kl-haripad-branch@ujjivan.com</t>
  </si>
  <si>
    <t>1624-Triprayar</t>
  </si>
  <si>
    <t>kl-triprayar-branch@ujjivan.com</t>
  </si>
  <si>
    <t>1625-Srirangapatna</t>
  </si>
  <si>
    <t>blr-srirangapatna-branch@ujjivan.com</t>
  </si>
  <si>
    <t>1626-Mysore Agrahara</t>
  </si>
  <si>
    <t>blr-mysoreagrahara-branch@ujjivan.com</t>
  </si>
  <si>
    <t>1627-THIRUVAIYARU</t>
  </si>
  <si>
    <t>tn-thiruvaiyaru-branch@ujjivan.com</t>
  </si>
  <si>
    <t>1628-KUMBAKONAM</t>
  </si>
  <si>
    <t>tn-kumbakonam-branch@ujjivan.com</t>
  </si>
  <si>
    <t>1629-GUNDLUPET</t>
  </si>
  <si>
    <t>blr-gundlupet-branch@ujjivan.com</t>
  </si>
  <si>
    <t>1630-T NARASIPURA</t>
  </si>
  <si>
    <t>blr-tnarasipura-branch@ujjivan.com</t>
  </si>
  <si>
    <t>1631-TRICHY</t>
  </si>
  <si>
    <t>tn-trichy-branch@ujjivan.com</t>
  </si>
  <si>
    <t>1632-CHAMARAJNAGAR</t>
  </si>
  <si>
    <t>blr-chamarajanagar-branch@ujjivan.com</t>
  </si>
  <si>
    <t>1633-HOSKOTE</t>
  </si>
  <si>
    <t>blr-hoskote-branch@ujjivan.com</t>
  </si>
  <si>
    <t>1634-MANNARGUDI</t>
  </si>
  <si>
    <t>tn-mannargudi-branch@ujjivan.com</t>
  </si>
  <si>
    <t>1635-BANNERGHATTA</t>
  </si>
  <si>
    <t>blr-bannerghatta-branch@ujjivan.com</t>
  </si>
  <si>
    <t>1636-KARUNAGAPPALLY</t>
  </si>
  <si>
    <t>1637-CHIKODI</t>
  </si>
  <si>
    <t>blr-chikodi-branch@ujjivan.com</t>
  </si>
  <si>
    <t>1638-VADALUR</t>
  </si>
  <si>
    <t>1639-THIRUVARUR</t>
  </si>
  <si>
    <t>1640-KOLLEGALA</t>
  </si>
  <si>
    <t>blr-kollegal-branch@ujjivan.com</t>
  </si>
  <si>
    <t>1641-KOTTARAKARA</t>
  </si>
  <si>
    <t>kl-kottarakara-branch@ujjivan.com</t>
  </si>
  <si>
    <t>1642-MAYILADUTHURAI</t>
  </si>
  <si>
    <t>tn-mayiladuthurai-branch@ujjivan.com</t>
  </si>
  <si>
    <t>1643-H D KOTE</t>
  </si>
  <si>
    <t>blr-hdkote-branch@ujjivan.com</t>
  </si>
  <si>
    <t>1644-KR NAGAR</t>
  </si>
  <si>
    <t>blr-krnagara-branch@ujjivan.com</t>
  </si>
  <si>
    <t>1645-RAJAPALAYAM</t>
  </si>
  <si>
    <t>tn-rajapalayam-branch@ujjivan.com</t>
  </si>
  <si>
    <t>1646-K R PETE</t>
  </si>
  <si>
    <t>blr-krpete-branch@ujjivan.com</t>
  </si>
  <si>
    <t>1647-KANCHIPURAM</t>
  </si>
  <si>
    <t>tn-kanchipuram-branch@ujjivan.com</t>
  </si>
  <si>
    <t>1648-SIVAKASI</t>
  </si>
  <si>
    <t>tn-sivakasi-branch@ujjivan.com</t>
  </si>
  <si>
    <t>1649-AMBASAMUDRAM</t>
  </si>
  <si>
    <t>blr-nelamangala-branch@ujjivan.com</t>
  </si>
  <si>
    <t>1650-RASIPURAM</t>
  </si>
  <si>
    <t>tn-rasipuram-branch@ujjivan.com</t>
  </si>
  <si>
    <t>1651-NELAMANGALA</t>
  </si>
  <si>
    <t>1652-TENKASI</t>
  </si>
  <si>
    <t>tn-tenkasi-branch@ujjivan.com</t>
  </si>
  <si>
    <t>1653-CUMBUM</t>
  </si>
  <si>
    <t>tn-cumbum-branch@ujjivan.com</t>
  </si>
  <si>
    <t>1654-SANKARANKOVIL</t>
  </si>
  <si>
    <t>tn-sankarankovil-branch@ujjivan.com</t>
  </si>
  <si>
    <t>1655-ARUPPUKOTTAI</t>
  </si>
  <si>
    <t>tn-aruppukottai-branch@ujjivan.com</t>
  </si>
  <si>
    <t>1656-VATHALAGUNDU</t>
  </si>
  <si>
    <t>tn-vathalagundu-branch@ujjivan.com</t>
  </si>
  <si>
    <t>1657-THIRUNELVELI</t>
  </si>
  <si>
    <t>tn-tirunelveli-branch@ujjivan.com</t>
  </si>
  <si>
    <t>1658-NAGARCOIL</t>
  </si>
  <si>
    <t>tn-nagarcoil-branch@ujjivan.com</t>
  </si>
  <si>
    <t>1659-PANDAVAPURA</t>
  </si>
  <si>
    <t>blr-pandavapura-branch@ujjivan.com</t>
  </si>
  <si>
    <t>1660-MADURAI</t>
  </si>
  <si>
    <t>tn-madurai-branch@ujjivan.com</t>
  </si>
  <si>
    <t>1661-CHENGALPATTU</t>
  </si>
  <si>
    <t>1661</t>
  </si>
  <si>
    <t>tn-chengalpattu-branch@ujjivan.com</t>
  </si>
  <si>
    <t>1662-MANJOOR</t>
  </si>
  <si>
    <t>1662</t>
  </si>
  <si>
    <t>tn-manjoor-branch@ujjivan.com</t>
  </si>
  <si>
    <t>1663-Tambaram</t>
  </si>
  <si>
    <t>1663</t>
  </si>
  <si>
    <t>tn-tambaram-branch@ujjivan.com</t>
  </si>
  <si>
    <t>2202-DAKSHINPURI</t>
  </si>
  <si>
    <t>2202</t>
  </si>
  <si>
    <t>del-dakshinpuri-branch@ujjivan.com</t>
  </si>
  <si>
    <t>2203-YAMUNA VIHAR</t>
  </si>
  <si>
    <t>del-yamunavihar-branch@ujjivan.com</t>
  </si>
  <si>
    <t>2204-Madangir</t>
  </si>
  <si>
    <t>del-madangir-branch@ujjivan.com</t>
  </si>
  <si>
    <t>2205-Mangolpuri</t>
  </si>
  <si>
    <t>2205</t>
  </si>
  <si>
    <t>del-mangolpuri-branch@ujjivan.com</t>
  </si>
  <si>
    <t>2206-Sultanpuri</t>
  </si>
  <si>
    <t>2206</t>
  </si>
  <si>
    <t>del-sultanpuri-branch@ujjivan.com</t>
  </si>
  <si>
    <t>2207-Jahangirpuri</t>
  </si>
  <si>
    <t>2207</t>
  </si>
  <si>
    <t>del-jahangirpuri-branch@ujjivan.com</t>
  </si>
  <si>
    <t>2208-Nangloi</t>
  </si>
  <si>
    <t>del-nangloi-branch@ujjivan.com</t>
  </si>
  <si>
    <t>2209-TRILOK PURI</t>
  </si>
  <si>
    <t>del-trilokpuri-branch@ujjivan.com</t>
  </si>
  <si>
    <t>2210-VIJAY NAGAR</t>
  </si>
  <si>
    <t>2210</t>
  </si>
  <si>
    <t>del-vijaynagar-branch@ujjivan.com</t>
  </si>
  <si>
    <t>2211-WAZIR PUR</t>
  </si>
  <si>
    <t>2211</t>
  </si>
  <si>
    <t>2212-ALWAR</t>
  </si>
  <si>
    <t>del-alwar-branch@ujjivan.com</t>
  </si>
  <si>
    <t>2213-BULANDSEHAR</t>
  </si>
  <si>
    <t>del-bulandshahr-branch@ujjivan.com</t>
  </si>
  <si>
    <t>2214-BHARAT PUR</t>
  </si>
  <si>
    <t>del-bharatpur-branch@ujjivan.com</t>
  </si>
  <si>
    <t>2215-DAUSA</t>
  </si>
  <si>
    <t>del-dausa-branch@ujjivan.com</t>
  </si>
  <si>
    <t>2216-ALIGARH</t>
  </si>
  <si>
    <t>del-aligarh-branch@ujjivan.com</t>
  </si>
  <si>
    <t>2218-FARIDABAD</t>
  </si>
  <si>
    <t>del-faridabad-branch@ujjivan.com</t>
  </si>
  <si>
    <t>2219-KHURJA</t>
  </si>
  <si>
    <t>del-khurja-branch@ujjivan.com</t>
  </si>
  <si>
    <t>2220-MEERUT</t>
  </si>
  <si>
    <t>del-meerut-branch@ujjivan.com</t>
  </si>
  <si>
    <t>2221-AJMER</t>
  </si>
  <si>
    <t>del-ajmer-branch@ujjivan.com</t>
  </si>
  <si>
    <t>2222-TONK</t>
  </si>
  <si>
    <t>del-tonk-branch@ujjivan.com</t>
  </si>
  <si>
    <t>2223-SAWAI MADHOPUR</t>
  </si>
  <si>
    <t>2223</t>
  </si>
  <si>
    <t>del-sawaimadhopur-branch@ujjivan.com</t>
  </si>
  <si>
    <t>2224-KOTA</t>
  </si>
  <si>
    <t>del-kota-branch@ujjivan.com</t>
  </si>
  <si>
    <t>2225-BUNDI</t>
  </si>
  <si>
    <t>2225</t>
  </si>
  <si>
    <t>del-bundi-branch@ujjivan.com</t>
  </si>
  <si>
    <t>2226-JAIPUR RAJAPARK</t>
  </si>
  <si>
    <t>del-jaipur.rajapark-branch@ujjivan.com</t>
  </si>
  <si>
    <t>2227-KISHANGARH</t>
  </si>
  <si>
    <t>del-kishangarh-branch@ujjivan.com</t>
  </si>
  <si>
    <t>2228-ROORKEE</t>
  </si>
  <si>
    <t>del-roorkee-branch@ujjivan.com</t>
  </si>
  <si>
    <t>2229-HARIDWAR JAWALAPUR</t>
  </si>
  <si>
    <t>del-haridwar.jawalapur-branch@ujjivan.com</t>
  </si>
  <si>
    <t>2230-JODHPUR UIT COLONY</t>
  </si>
  <si>
    <t>2230</t>
  </si>
  <si>
    <t>del-jodhpur.uticolony-branch@ujjivan.com </t>
  </si>
  <si>
    <t>2231-DEHRADUN CONNAUGHT PLACE</t>
  </si>
  <si>
    <t>del-dehradun.connaught-branch@ujjivan.com</t>
  </si>
  <si>
    <t>2232-JODHPUR SHIP HOUSE</t>
  </si>
  <si>
    <t>del-jodhpur.shiphouse-branch@ujjivan.com </t>
  </si>
  <si>
    <t>2233-JAIPUR HO</t>
  </si>
  <si>
    <t>2233</t>
  </si>
  <si>
    <t>thippesh.j@ujjivan.com</t>
  </si>
  <si>
    <t>2234-SAHARANPUR</t>
  </si>
  <si>
    <t>del-sahranpur-branch@ujjivan.com</t>
  </si>
  <si>
    <t>2235-PALI</t>
  </si>
  <si>
    <t>del-pali-branch@ujjivan.com</t>
  </si>
  <si>
    <t>2236-MEERUT AO</t>
  </si>
  <si>
    <t>2236</t>
  </si>
  <si>
    <t>2237-CHANDIGARH MANI MAJRA</t>
  </si>
  <si>
    <t>2237</t>
  </si>
  <si>
    <t>pnb-manimajra-branch@ujjivan.com </t>
  </si>
  <si>
    <t>2238-CHANDIGARH DHANASH</t>
  </si>
  <si>
    <t>pnb-dhanas-branch@ujjivan.com </t>
  </si>
  <si>
    <t>2239-AMBALA CANTT</t>
  </si>
  <si>
    <t>pnb-ambala-branch@ujjivan.com </t>
  </si>
  <si>
    <t>2240-HASTSAL</t>
  </si>
  <si>
    <t>2240</t>
  </si>
  <si>
    <t>2241-JANAKPURI</t>
  </si>
  <si>
    <t>2241</t>
  </si>
  <si>
    <t>del-janakpuri-branch@ujjivan.com </t>
  </si>
  <si>
    <t>2242-PALWAL HARYANA</t>
  </si>
  <si>
    <t>del-palwal-branch@ujjivan.com </t>
  </si>
  <si>
    <t>2243-RIWARI HARYANA</t>
  </si>
  <si>
    <t>del-rewari-branch@ujjivan.com</t>
  </si>
  <si>
    <t>2244-SANGANER JAIPUR</t>
  </si>
  <si>
    <t>2244</t>
  </si>
  <si>
    <t>del-sanganer-branch@ujjivan.com </t>
  </si>
  <si>
    <t>2245-AGRA JAIPUR HOUSE</t>
  </si>
  <si>
    <t>up-agra.shubhashpark-branch@ujjivan.com</t>
  </si>
  <si>
    <t>2246-AGRA RAM BAGH</t>
  </si>
  <si>
    <t>up-agra.rambag-branch@ujjivan.com </t>
  </si>
  <si>
    <t>2247-BRAHMPURI JAIPUR</t>
  </si>
  <si>
    <t>2247</t>
  </si>
  <si>
    <t>del-brahampuri-branch@ujjivan.com </t>
  </si>
  <si>
    <t>2248-FIROZABAD UP</t>
  </si>
  <si>
    <t>up-firoabad-branch@ujjivan.com </t>
  </si>
  <si>
    <t>2249-MODINAGAR UP</t>
  </si>
  <si>
    <t>up-modinagar-branch@ujjivan.com</t>
  </si>
  <si>
    <t>2250-BAHADURGARH</t>
  </si>
  <si>
    <t>2250</t>
  </si>
  <si>
    <t>2251-HAPUR UP</t>
  </si>
  <si>
    <t>up-hapur-branch@ujjivan.com</t>
  </si>
  <si>
    <t>2252-NAJAFGARH DELHI</t>
  </si>
  <si>
    <t>2252</t>
  </si>
  <si>
    <t>2253-SONIA VIHAR  DELHI</t>
  </si>
  <si>
    <t>2253</t>
  </si>
  <si>
    <t>2253-SONIA VIHAR DELHI</t>
  </si>
  <si>
    <t>del-soniavihar-branch@ujjivan.com</t>
  </si>
  <si>
    <t>2254-USMANPUR DELHI</t>
  </si>
  <si>
    <t>del-usmanpur-branch@ujjivan.com</t>
  </si>
  <si>
    <t>2255-ABOHAR PUNJAB</t>
  </si>
  <si>
    <t>pnb-abohar-branch@ujjivan.com</t>
  </si>
  <si>
    <t>2256-HISSAR HARYANA</t>
  </si>
  <si>
    <t>har-hissar-branch@ujjivan.com</t>
  </si>
  <si>
    <t>2257-JIND HARYANA</t>
  </si>
  <si>
    <t>har-jind-branch@ujjivan.com</t>
  </si>
  <si>
    <t>2258-BHIWANI HARYANA</t>
  </si>
  <si>
    <t>har-bhiwani-branch@ujjivan.com</t>
  </si>
  <si>
    <t>2259-ROHTAK HARYANA</t>
  </si>
  <si>
    <t>har-rohtak-branch@ujjivan.com</t>
  </si>
  <si>
    <t>2260-KANKARKHERA MEERUT</t>
  </si>
  <si>
    <t>up-kankarkhera-branch@ujjivan.com </t>
  </si>
  <si>
    <t>2261-Sant Nagar Delhi</t>
  </si>
  <si>
    <t>2261</t>
  </si>
  <si>
    <t>del-santnagar-branch@ujjivan.com</t>
  </si>
  <si>
    <t>2262-SIKANDRABAD UP</t>
  </si>
  <si>
    <t>up-sikandrabad-branch@ujjivan.com</t>
  </si>
  <si>
    <t>2263-NARELA DELHI</t>
  </si>
  <si>
    <t>del-narela-branch@ujjivan.com</t>
  </si>
  <si>
    <t>2263-Narela New Delhi</t>
  </si>
  <si>
    <t>2264-Sonepat</t>
  </si>
  <si>
    <t>har-sonepat-branch@ujjivan.com</t>
  </si>
  <si>
    <t>2264-SONEPAT HARYANA</t>
  </si>
  <si>
    <t>2265-SRI GANGANAGAR</t>
  </si>
  <si>
    <t>del-shriganganagar-branch@ujjivan.com</t>
  </si>
  <si>
    <t>2266-HANUMANGARH</t>
  </si>
  <si>
    <t>del-hanumangarh-branch@ujjivan.com</t>
  </si>
  <si>
    <t>2267-SIRSA HARYANA</t>
  </si>
  <si>
    <t>2267</t>
  </si>
  <si>
    <t>har-sirsa-branch@ujjivan.com</t>
  </si>
  <si>
    <t>2268-BHATINDA PUNJAB</t>
  </si>
  <si>
    <t>pnb-bhatinda-branch@ujjivan.com</t>
  </si>
  <si>
    <t>2269-ALIGARH 2 UP</t>
  </si>
  <si>
    <t>up-aligarh2-branch@ujjivan.com</t>
  </si>
  <si>
    <t>2270-FARIDABAD 2 NCR</t>
  </si>
  <si>
    <t>2270</t>
  </si>
  <si>
    <t>2271-MOHAN NAGAR NCR</t>
  </si>
  <si>
    <t>2271</t>
  </si>
  <si>
    <t>del-mohannagar-branch@ujjivan.com</t>
  </si>
  <si>
    <t>2272-GOVINDPURI NCR</t>
  </si>
  <si>
    <t>2272</t>
  </si>
  <si>
    <t>del-govindpuri-branch@ujjivan.com</t>
  </si>
  <si>
    <t>2273-PANIPAT HARYANA</t>
  </si>
  <si>
    <t>har-panipat-branch@ujjivan.com</t>
  </si>
  <si>
    <t>2274-KARNAL HARYANA</t>
  </si>
  <si>
    <t>har-karnal-branch@ujjivan.com</t>
  </si>
  <si>
    <t>2275-Ludhiana Shimlapuri</t>
  </si>
  <si>
    <t>pnb-ludhianashimlapuri-branch@ujjivan.com</t>
  </si>
  <si>
    <t>2276-Ludhiana New Shivraj Nagar</t>
  </si>
  <si>
    <t>pnb-ludhiananewshivajinagar-branch@ujjivan.com</t>
  </si>
  <si>
    <t>2277-Jalandhar</t>
  </si>
  <si>
    <t>pnb-jalandhar-branch@ujjivan.com</t>
  </si>
  <si>
    <t>2278-Ropar</t>
  </si>
  <si>
    <t>pnb-ropar-branch@ujjivan.com</t>
  </si>
  <si>
    <t>2279-SANGUR</t>
  </si>
  <si>
    <t>2279</t>
  </si>
  <si>
    <t>pnb-sangrur-branch@ujjivan.com</t>
  </si>
  <si>
    <t>2280-Amritsar</t>
  </si>
  <si>
    <t>pnb-amritsar-branch@ujjivan.com</t>
  </si>
  <si>
    <t>2281-PATIALA</t>
  </si>
  <si>
    <t>pnb-patiala-branch@ujjivan.com</t>
  </si>
  <si>
    <t>2282-Jothwara-Jaipur</t>
  </si>
  <si>
    <t>del-jaipur.jhotwara-branch@ujjivan.com</t>
  </si>
  <si>
    <t>2283-Rishikesh</t>
  </si>
  <si>
    <t>uk.rishikesh- branch &lt;uk.rishikesh-branch@ujjivan.com&gt;</t>
  </si>
  <si>
    <t>2284-Vikas Nagar</t>
  </si>
  <si>
    <t>uk.vikasnagar-branch@ujjivan.com</t>
  </si>
  <si>
    <t>2285-INDORE 1</t>
  </si>
  <si>
    <t>mp-indore1-branch@ujjivan.com</t>
  </si>
  <si>
    <t>2286-INDORE 2</t>
  </si>
  <si>
    <t>mp-indore2-branch@ujjivan.com</t>
  </si>
  <si>
    <t>2287-PITHAMPUR</t>
  </si>
  <si>
    <t>mp-pithampur- branch &lt;mp-pithampur-branch@ujjivan.com&gt;</t>
  </si>
  <si>
    <t>2288-BHILWARA</t>
  </si>
  <si>
    <t>raj-bhilwara-branch@ujjivan.com</t>
  </si>
  <si>
    <t>2289-KAITHAL</t>
  </si>
  <si>
    <t>2289</t>
  </si>
  <si>
    <t>har-kaithal-branch@ujjivan.com</t>
  </si>
  <si>
    <t>2290-KURUSHETRA</t>
  </si>
  <si>
    <t>2290</t>
  </si>
  <si>
    <t>har-kurushetra-branch@ujjivan.com</t>
  </si>
  <si>
    <t>2291-YAMUNA NAGAR</t>
  </si>
  <si>
    <t>har-yamunanagar-branch@ujjivan.com</t>
  </si>
  <si>
    <t>2292-Meerut-II</t>
  </si>
  <si>
    <t>up-meerut2-branch up-meerut2-branch &lt;meerut2@ujjivan.com&gt;</t>
  </si>
  <si>
    <t>2293-UNA</t>
  </si>
  <si>
    <t xml:space="preserve">hp-una-branch@ujjivan.com </t>
  </si>
  <si>
    <t>2294-NARAYANGARH</t>
  </si>
  <si>
    <t xml:space="preserve">har-narayangarh-branch@ujjivan.com </t>
  </si>
  <si>
    <t>2295-JHAJJAR</t>
  </si>
  <si>
    <t>har-jhajjar-branch@ujjivan.com</t>
  </si>
  <si>
    <t>2296-KHARGONE</t>
  </si>
  <si>
    <t xml:space="preserve">mp-khargone-branch@ujjivan.com </t>
  </si>
  <si>
    <t>2297-KHANDWA</t>
  </si>
  <si>
    <t xml:space="preserve">mp-khandwa-branch@ujjivan.com </t>
  </si>
  <si>
    <t>2298-SANAWAD</t>
  </si>
  <si>
    <t xml:space="preserve">mp-sanawad-branch@ujjivan.com </t>
  </si>
  <si>
    <t>2299-NAGDA</t>
  </si>
  <si>
    <t xml:space="preserve">mp-nagda-branch@ujjivan.com </t>
  </si>
  <si>
    <t>2300-KHAIRTHAL</t>
  </si>
  <si>
    <t>raj-khairthal-branch@ujjivan.com</t>
  </si>
  <si>
    <t>2301-NARWANA</t>
  </si>
  <si>
    <t>har-narwana-branch@ujjivan.com</t>
  </si>
  <si>
    <t>2302-BARNALA</t>
  </si>
  <si>
    <t>pnb-barnala-branch@ujjivan.com</t>
  </si>
  <si>
    <t>2303-MANSA</t>
  </si>
  <si>
    <t>pnb-mansa-branch@ujjivan.com</t>
  </si>
  <si>
    <t>2304-GIDDERBAHA</t>
  </si>
  <si>
    <t>pnb-gidderbaha-branch@ujjivan.com</t>
  </si>
  <si>
    <t>2305-AGRA RAJPUR</t>
  </si>
  <si>
    <t>up-agrarajpur-branch@ujjivan.com</t>
  </si>
  <si>
    <t>2306-KOTPUTLI</t>
  </si>
  <si>
    <t>raj-kotputli-branch@ujjivan.com</t>
  </si>
  <si>
    <t>2307-GUHANA</t>
  </si>
  <si>
    <t>har-guhana-branch@ujjivan.com</t>
  </si>
  <si>
    <t>2308-BRARA</t>
  </si>
  <si>
    <t>har-brara-branch@ujjivan.com</t>
  </si>
  <si>
    <t>2309-SIYANA UP</t>
  </si>
  <si>
    <t>up-siyana-branch@ujjivan.com</t>
  </si>
  <si>
    <t>2311-MATHURA</t>
  </si>
  <si>
    <t>up-mathura-branch@ujjivan.com</t>
  </si>
  <si>
    <t>2312-HATHRAS UP</t>
  </si>
  <si>
    <t>up-hathras-branch@ujjivan.com</t>
  </si>
  <si>
    <t>2313-SAMALKHA HARYANA</t>
  </si>
  <si>
    <t>har-samalkha-branch@ujjivan.com</t>
  </si>
  <si>
    <t>2314-SAHARANPUR 2</t>
  </si>
  <si>
    <t>up-saharanpur2-branch@ujjivan.com</t>
  </si>
  <si>
    <t>2315-DHAR MP</t>
  </si>
  <si>
    <t>mp-dhar-branch@ujjivan.com</t>
  </si>
  <si>
    <t>2316-BURHANPUR MP</t>
  </si>
  <si>
    <t>mp-burhanpur-branch@ujjivan.com</t>
  </si>
  <si>
    <t>2317-BADNAGAR UJJAIN</t>
  </si>
  <si>
    <t>mp-badnagar-branch@ujjivan.com</t>
  </si>
  <si>
    <t>2318-CHARKHI DADRI</t>
  </si>
  <si>
    <t>har-charkhidadri-branch@ujjivan.com</t>
  </si>
  <si>
    <t>2319-MORADABAD</t>
  </si>
  <si>
    <t>up-moradabad-branch@ujjivan.com</t>
  </si>
  <si>
    <t>2320-FATEHABAD</t>
  </si>
  <si>
    <t>har-fatehabad-branch@ujjivan.com</t>
  </si>
  <si>
    <t>2321-BARWANI</t>
  </si>
  <si>
    <t>mp-barwani-branch@ujjivan.com</t>
  </si>
  <si>
    <t>2322-DHAMNOD</t>
  </si>
  <si>
    <t>mp-dhamnod-branch@ujjivan.com</t>
  </si>
  <si>
    <t>2323-SAFIDON</t>
  </si>
  <si>
    <t>har-safidon-branch@ujjivan.com</t>
  </si>
  <si>
    <t>2324-HODAL</t>
  </si>
  <si>
    <t>har-hodal-branch@ujjivan.com</t>
  </si>
  <si>
    <t>2325-KAPURTHALA</t>
  </si>
  <si>
    <t>pnb-kapurthala-branch@ujjivan.com</t>
  </si>
  <si>
    <t>2327-GWALIOR</t>
  </si>
  <si>
    <t>mp-gwalior-branch@ujjivan.com</t>
  </si>
  <si>
    <t>2328-BADARPUR</t>
  </si>
  <si>
    <t>del-badarpur-branch@ujjivan.com</t>
  </si>
  <si>
    <t>2329-ELLENABAD</t>
  </si>
  <si>
    <t>har-ellenabad-branch@ujjivan.com</t>
  </si>
  <si>
    <t>2330-MUKTSAR</t>
  </si>
  <si>
    <t>pnb-muktsar-branch@ujjivan.com</t>
  </si>
  <si>
    <t>2331-SAMRALA</t>
  </si>
  <si>
    <t>2332-NARNAUL</t>
  </si>
  <si>
    <t>har-narnaul-branch@ujjivan.com</t>
  </si>
  <si>
    <t>2333-FALNA</t>
  </si>
  <si>
    <t>raj-falna-branch@ujjivan.com</t>
  </si>
  <si>
    <t>2334-GONIANA</t>
  </si>
  <si>
    <t>pnb-goniana-branch@ujjivan.com</t>
  </si>
  <si>
    <t>2335-Panipat Kishanpura</t>
  </si>
  <si>
    <t>2335</t>
  </si>
  <si>
    <t>har-panipatkishanpura-branch@ujjivan.com</t>
  </si>
  <si>
    <t>2336-Phagwara</t>
  </si>
  <si>
    <t>2336</t>
  </si>
  <si>
    <t>pnb-phagwara-branch@ujjivan.com</t>
  </si>
  <si>
    <t>2337-Kathumar</t>
  </si>
  <si>
    <t>2337</t>
  </si>
  <si>
    <t>raj-kathumar-branch@ujjivan.com</t>
  </si>
  <si>
    <t>2338-SANGANER</t>
  </si>
  <si>
    <t>2338</t>
  </si>
  <si>
    <t>raj-sanganer-branch@ujjivan.com</t>
  </si>
  <si>
    <t>3302-GARCHA</t>
  </si>
  <si>
    <t>cal-garcha-branch@ujjivan.com </t>
  </si>
  <si>
    <t>3303-TOLLYGUNGE</t>
  </si>
  <si>
    <t>cal-tollygunge-branch@ujjivan.com </t>
  </si>
  <si>
    <t>3304-KALIGHAT</t>
  </si>
  <si>
    <t>cal-kalighat-branch@ujjivan.com </t>
  </si>
  <si>
    <t>3305-Bidhan Nagar</t>
  </si>
  <si>
    <t>cal-bidhannagar-branch@ujjivan.com </t>
  </si>
  <si>
    <t>3306-Garia</t>
  </si>
  <si>
    <t>cal-garia-branch@ujjivan.com </t>
  </si>
  <si>
    <t>3307-Dakshineswar</t>
  </si>
  <si>
    <t>cal-dakhineswar-branch@ujjivan.com </t>
  </si>
  <si>
    <t>3308-Salkia</t>
  </si>
  <si>
    <t>3308</t>
  </si>
  <si>
    <t xml:space="preserve">cal-salkia-branch@ujjivan.com </t>
  </si>
  <si>
    <t>3309-KASBA</t>
  </si>
  <si>
    <t>cal-kasba-branch@ujjivan.com </t>
  </si>
  <si>
    <t>3310-Thakurpukur</t>
  </si>
  <si>
    <t xml:space="preserve">cal-thakurpukur-branch@ujjivan.com </t>
  </si>
  <si>
    <t>3311-Dumdum</t>
  </si>
  <si>
    <t>cal-dumdum-branch@ujjivan.com</t>
  </si>
  <si>
    <t>3312-ParkCircus</t>
  </si>
  <si>
    <t>cal-parkcircus-branch@ujjivan.com</t>
  </si>
  <si>
    <t>3313-Shibpur</t>
  </si>
  <si>
    <t>cal-shibpur-branch@ujjivan.com</t>
  </si>
  <si>
    <t>3314-Barasat</t>
  </si>
  <si>
    <t>cal-barasat-branch@ujjivan.com</t>
  </si>
  <si>
    <t>3315-Sodepur</t>
  </si>
  <si>
    <t>cal-sodepur-branch@ujjivan.com</t>
  </si>
  <si>
    <t>3316-BARUIPUR</t>
  </si>
  <si>
    <t>3316</t>
  </si>
  <si>
    <t>cal-baruipur-branch@ujjivan.com</t>
  </si>
  <si>
    <t>3317-HABRA</t>
  </si>
  <si>
    <t>cal-habra-branch@ujjivan.com </t>
  </si>
  <si>
    <t>3318-SHYAMNAGAR</t>
  </si>
  <si>
    <t>3318</t>
  </si>
  <si>
    <t>cal-shyamnagar-branch@ujjivan.com </t>
  </si>
  <si>
    <t>3319-BALLY</t>
  </si>
  <si>
    <t>cal-bally-branch@ujjivan.com </t>
  </si>
  <si>
    <t>3320-SREERAMPORE</t>
  </si>
  <si>
    <t>3320</t>
  </si>
  <si>
    <t>cal-sreerampore-branch@ujjivan.com </t>
  </si>
  <si>
    <t>3321-CHAKDAHA</t>
  </si>
  <si>
    <t>cal-chakdaha-branch@ujjivan.com </t>
  </si>
  <si>
    <t>3322-CHANDANNAGAR</t>
  </si>
  <si>
    <t>cal-chandannagar-branch@ujjivan.com </t>
  </si>
  <si>
    <t>3323-JAMSHEDPUR</t>
  </si>
  <si>
    <t>3323</t>
  </si>
  <si>
    <t>3324-ULUBERIA</t>
  </si>
  <si>
    <t>3324</t>
  </si>
  <si>
    <t>cal-uluberia-branch@ujjivan.com </t>
  </si>
  <si>
    <t>3325-BANDEL</t>
  </si>
  <si>
    <t>cal-bandel-branch@ujjivan.com</t>
  </si>
  <si>
    <t>3326-SANKRAIL</t>
  </si>
  <si>
    <t>cal-sankrail-branch@ujjivan.com</t>
  </si>
  <si>
    <t>3327-BARIDIH</t>
  </si>
  <si>
    <t>jha-baridih-branch@ujjivan.com</t>
  </si>
  <si>
    <t>3328-MANGO</t>
  </si>
  <si>
    <t xml:space="preserve">jha-mango-branch@ujjivan.com </t>
  </si>
  <si>
    <t>3329-PARSUDIH</t>
  </si>
  <si>
    <t xml:space="preserve">jha-parsudih-branch@ujjivan.com </t>
  </si>
  <si>
    <t>3330-DOMJUR</t>
  </si>
  <si>
    <t>cal-domjur-branch@ujjivan.com</t>
  </si>
  <si>
    <t>3331-SUBHASGRAM</t>
  </si>
  <si>
    <t>cal-subhasgram-branch@ujjivan.com</t>
  </si>
  <si>
    <t>3332-HALISAHAR</t>
  </si>
  <si>
    <t>cal-halisahar-branch@ujjivan.com</t>
  </si>
  <si>
    <t>3333-DHANBAD ZONAL</t>
  </si>
  <si>
    <t>3333</t>
  </si>
  <si>
    <t>3334-BATANAGAR</t>
  </si>
  <si>
    <t>cal-batanagar-branch@ujjivan.com</t>
  </si>
  <si>
    <t>3335-SHANTIPUR</t>
  </si>
  <si>
    <t>3335</t>
  </si>
  <si>
    <t>cal-shantipur-branch@ujjivan.com</t>
  </si>
  <si>
    <t>3336-DHANBAD</t>
  </si>
  <si>
    <t>jha-dhanbad-branch@ujjivan.com</t>
  </si>
  <si>
    <t>3337-KATRAS</t>
  </si>
  <si>
    <t>jha-katras-branch@ujjivan.com</t>
  </si>
  <si>
    <t>3338-BHUBANESWAR</t>
  </si>
  <si>
    <t>3338</t>
  </si>
  <si>
    <t>3339-CHANDRASHEKHARPUR</t>
  </si>
  <si>
    <t>ori-chandrasekharpur-branch@ujjivan.com</t>
  </si>
  <si>
    <t>3340-BAGNAN</t>
  </si>
  <si>
    <t>cal-bagnan-branch@ujjivan.com</t>
  </si>
  <si>
    <t>3341-KRISHNANAGAR</t>
  </si>
  <si>
    <t>3341</t>
  </si>
  <si>
    <t>cal-krishnanagar-branch@ujjivan.com</t>
  </si>
  <si>
    <t>3342-RANCHI AO</t>
  </si>
  <si>
    <t>3342</t>
  </si>
  <si>
    <t>3343-SAMANTARAPUR</t>
  </si>
  <si>
    <t>ori-samantarapur-branch@ujjivan.com</t>
  </si>
  <si>
    <t>3344-BARAMUNDA</t>
  </si>
  <si>
    <t>ori-baramunda-branch@ujjivan.com</t>
  </si>
  <si>
    <t>3345-RATU ROAD</t>
  </si>
  <si>
    <t>jha-raturoad-branch@ujjivan.com</t>
  </si>
  <si>
    <t>3346-HINOO</t>
  </si>
  <si>
    <t>3346</t>
  </si>
  <si>
    <t>jha-hinoo-branch@ujjivan.com</t>
  </si>
  <si>
    <t>3347-PANSKURA</t>
  </si>
  <si>
    <t>cal-panskura-branch@ujjivan.com</t>
  </si>
  <si>
    <t>3348-TRIBENI</t>
  </si>
  <si>
    <t>3348</t>
  </si>
  <si>
    <t>cal-tribeni-branch@ujjivan.com</t>
  </si>
  <si>
    <t>3349-KOKAR</t>
  </si>
  <si>
    <t>jha-kokar-branch@ujjivan.com</t>
  </si>
  <si>
    <t>3350-GOVINDPUR</t>
  </si>
  <si>
    <t>jha-govindpur-branch@ujjivan.com</t>
  </si>
  <si>
    <t>3351-PATNA  A.O</t>
  </si>
  <si>
    <t>3351</t>
  </si>
  <si>
    <t>3352-DANAPUR</t>
  </si>
  <si>
    <t>bhr-danapur-branch@ujjivan.com</t>
  </si>
  <si>
    <t>3353-PATNA CITY</t>
  </si>
  <si>
    <t>bhr-patnacity-branch@ujjivan.com</t>
  </si>
  <si>
    <t>3354-ADITYAPUR</t>
  </si>
  <si>
    <t>jha-adityapur-branch@ujjivan.com </t>
  </si>
  <si>
    <t>3355-KHURDHA</t>
  </si>
  <si>
    <t>3355</t>
  </si>
  <si>
    <t>ORI-KHURDHA-BRANCH@UJJIVAN.COM</t>
  </si>
  <si>
    <t>3356-PURI</t>
  </si>
  <si>
    <t>ori-puri-branch@ujjivan.com </t>
  </si>
  <si>
    <t>3357-GHATSILA</t>
  </si>
  <si>
    <t>jha-ghatsila-branch@ujjivan.com </t>
  </si>
  <si>
    <t>3358-HAJIPUR</t>
  </si>
  <si>
    <t>bhr-hajipur-branch@ujjivan.com </t>
  </si>
  <si>
    <t>3359-KALNA GATE</t>
  </si>
  <si>
    <t>cal-kalnagate-branch@ujjivan.com </t>
  </si>
  <si>
    <t>3360-ARAMBAGH</t>
  </si>
  <si>
    <t>cal-arambagh-branch@ujjivan.com  </t>
  </si>
  <si>
    <t>3361-BUDBUD</t>
  </si>
  <si>
    <t>cal-budbud-branch@ujjivan.com</t>
  </si>
  <si>
    <t>3362-CHAS</t>
  </si>
  <si>
    <t>jha-chas-branch@ujjivan.com  </t>
  </si>
  <si>
    <t>3363-JAYANA MORE</t>
  </si>
  <si>
    <t>3363</t>
  </si>
  <si>
    <t>jha-jayanamore-branch@ujjivan.com  </t>
  </si>
  <si>
    <t>3364-JHARIA</t>
  </si>
  <si>
    <t>jha-jharia-branch@ujjivan.com</t>
  </si>
  <si>
    <t>3365-HAzARIBAGH SADAR</t>
  </si>
  <si>
    <t>jha-hazaribagh-branch@ujjivan.com</t>
  </si>
  <si>
    <t>3366-PURULIA</t>
  </si>
  <si>
    <t>jha-purulia-branch@ujjivan.com</t>
  </si>
  <si>
    <t>3367-RASULPUR</t>
  </si>
  <si>
    <t>cal-rasulpur-branch@ujjivan.com</t>
  </si>
  <si>
    <t>3368-BOLPUR</t>
  </si>
  <si>
    <t>cal-bolpur-branch@ujjivan.com</t>
  </si>
  <si>
    <t>3369-DURGAPUR</t>
  </si>
  <si>
    <t>3370-ASANSOL</t>
  </si>
  <si>
    <t>cal-asansol-branch@ujjivan.com</t>
  </si>
  <si>
    <t>3371-KORRA</t>
  </si>
  <si>
    <t>3371</t>
  </si>
  <si>
    <t>jha-korra-branch@ujjivan.com </t>
  </si>
  <si>
    <t>3372-LALGANJ</t>
  </si>
  <si>
    <t>3372</t>
  </si>
  <si>
    <t>bhr-lalganj-branch@ujjivan.com</t>
  </si>
  <si>
    <t>3373-FATUAH</t>
  </si>
  <si>
    <t>bhr-fatuah-branch@ujjivan.com </t>
  </si>
  <si>
    <t>3374-GANDHI MAIDAN</t>
  </si>
  <si>
    <t>bhr-gandhimaidan-branch@ujjivan.com</t>
  </si>
  <si>
    <t>3375-FULWARI SHARIFF</t>
  </si>
  <si>
    <t>bhr-fulwarishariff-branch@ujjivan.com </t>
  </si>
  <si>
    <t>3376-DHANIAKHALI</t>
  </si>
  <si>
    <t>cal-dhaniakhali-branch@ujjivan.com </t>
  </si>
  <si>
    <t>3377-RAJGANGPUR</t>
  </si>
  <si>
    <t>ori-rajgangpur-branch@ujjivan.com </t>
  </si>
  <si>
    <t>3378-ROURKELA</t>
  </si>
  <si>
    <t>ori-rourkela-branch@ujjivan.com</t>
  </si>
  <si>
    <t>3379-KOELNAGAR</t>
  </si>
  <si>
    <t>ori-koelnagar-branch@ujjivan.com </t>
  </si>
  <si>
    <t>3380-KADMA</t>
  </si>
  <si>
    <t>3380</t>
  </si>
  <si>
    <t>jha-kadma-branch@ujjivan.com </t>
  </si>
  <si>
    <t>3381-TILAIYA</t>
  </si>
  <si>
    <t>jha-tilaiya-branch@ujjivan.com</t>
  </si>
  <si>
    <t>3382-SAINTHIYA</t>
  </si>
  <si>
    <t>cal-sainthiya-branch@ujjivan.com </t>
  </si>
  <si>
    <t>3383-KULTI</t>
  </si>
  <si>
    <t>cal-kulti-branch@ujjivan.com</t>
  </si>
  <si>
    <t>3384-KHARAGPUR</t>
  </si>
  <si>
    <t>3385-MIDNAPUR</t>
  </si>
  <si>
    <t>cal-midnapur-branch@ujjivan.com</t>
  </si>
  <si>
    <t>3386-BAHARAMPUR</t>
  </si>
  <si>
    <t>cal-baharampur-branch@ujjivan.com</t>
  </si>
  <si>
    <t>3387-MALDA</t>
  </si>
  <si>
    <t>cal-malda-branch@ujjivan.com</t>
  </si>
  <si>
    <t>3388-MDDM COLLEGE</t>
  </si>
  <si>
    <t>bhr-mddmcollege-branch@ujjivan.com</t>
  </si>
  <si>
    <t>3389-ZERO MILE</t>
  </si>
  <si>
    <t>bhr-zeromile-branch@ujjivan.com</t>
  </si>
  <si>
    <t>3390-BARGACHIA</t>
  </si>
  <si>
    <t>3390</t>
  </si>
  <si>
    <t>cal-bargachia-branch@ujjivan.com</t>
  </si>
  <si>
    <t>3391-DONOT-USE-1</t>
  </si>
  <si>
    <t>3391</t>
  </si>
  <si>
    <t>3501-CONTAI</t>
  </si>
  <si>
    <t>3502-TAMLUK</t>
  </si>
  <si>
    <t>cal-tamluk-branch@ujjivan.com</t>
  </si>
  <si>
    <t>3503-DEOGHAR</t>
  </si>
  <si>
    <t>jha-deoghar-branch@ujjivan.com </t>
  </si>
  <si>
    <t>3504-AINTHAPALLI</t>
  </si>
  <si>
    <t>ori-ainthapalli-branch@ujjivan.com</t>
  </si>
  <si>
    <t>3505-DHANKAUDA</t>
  </si>
  <si>
    <t>3505</t>
  </si>
  <si>
    <t>ori-dhankauda-branch@ujjivan.com </t>
  </si>
  <si>
    <t>3507-BALURGHAT</t>
  </si>
  <si>
    <t>cal-balurghat-branch@ujjivan.com </t>
  </si>
  <si>
    <t>3508-JALPAIGURI</t>
  </si>
  <si>
    <t>cal-jalpaiguri-branch@ujjivan.com </t>
  </si>
  <si>
    <t>3509-KALIAGANJ</t>
  </si>
  <si>
    <t>cal-kaliaganj-branch@ujjivan.com </t>
  </si>
  <si>
    <t>3510-RAIGANJ</t>
  </si>
  <si>
    <t>cal-raiganj-branch@ujjivan.com </t>
  </si>
  <si>
    <t>3511-SILIGURI</t>
  </si>
  <si>
    <t>cal-siliguri-branch@ujjivan.com </t>
  </si>
  <si>
    <t>3512-DISPUR</t>
  </si>
  <si>
    <t>ne-dispur-branch@ujjivan.com </t>
  </si>
  <si>
    <t>3513-KALAPAHAR</t>
  </si>
  <si>
    <t>ne-kalapahar-branch@ujjivan.com </t>
  </si>
  <si>
    <t>3514-MALIGAON</t>
  </si>
  <si>
    <t>ne-maligaon-branch@ujjivan.com </t>
  </si>
  <si>
    <t>3515-MAWLAI</t>
  </si>
  <si>
    <t>ne-mawlai-branch@ujjivan.com </t>
  </si>
  <si>
    <t>3516-COOCHBEHAR</t>
  </si>
  <si>
    <t>cal-coochbehar-branch@ujjivan.com </t>
  </si>
  <si>
    <t>3517-ALIPURDUAR</t>
  </si>
  <si>
    <t>cal-alipurduar-branch@ujjivan.com </t>
  </si>
  <si>
    <t>3518-DINHATA</t>
  </si>
  <si>
    <t>3518</t>
  </si>
  <si>
    <t>cal-dinhata-branch@ujjivan.com </t>
  </si>
  <si>
    <t>3519-POLICE BAZAR</t>
  </si>
  <si>
    <t>ne-policebazar@ujjivan.com </t>
  </si>
  <si>
    <t>3520-BARGARH</t>
  </si>
  <si>
    <t>ori-bargarh-branch@ujjivan.com </t>
  </si>
  <si>
    <t>3521-JHARSUGUDA</t>
  </si>
  <si>
    <t>ori-jharsuguda-branch@ujjivan.com </t>
  </si>
  <si>
    <t>3522-BRAJRAJNAGAR</t>
  </si>
  <si>
    <t>3522</t>
  </si>
  <si>
    <t>ori-brajrajnagar-branch@ujjivan.com </t>
  </si>
  <si>
    <t>3523-PHULANAKHARA</t>
  </si>
  <si>
    <t>ori-phulanakhara-branch@ujjivan.com </t>
  </si>
  <si>
    <t>3524-SULTANGANJ</t>
  </si>
  <si>
    <t>3525-KAHELGAON</t>
  </si>
  <si>
    <t>bhr-kahelgaon-branch@ujjivan.com </t>
  </si>
  <si>
    <t>3526-NATHNAGAR</t>
  </si>
  <si>
    <t>3526</t>
  </si>
  <si>
    <t>bhr-nathnagar-branch@ujjivan.com </t>
  </si>
  <si>
    <t>3527-BHAGALPUR CENTRAL</t>
  </si>
  <si>
    <t>bhr-bhagalpurcentral-branch@ujjivan.com </t>
  </si>
  <si>
    <t>3528-PURNIA CITY</t>
  </si>
  <si>
    <t>3528</t>
  </si>
  <si>
    <t> bhr-purniacity-branch@ujjivan.com </t>
  </si>
  <si>
    <t>3529-R.N. SHAH CHOWK</t>
  </si>
  <si>
    <t> bhr-rnshahchowk-branch@ujjivan.com </t>
  </si>
  <si>
    <t>3530-KATIHAR</t>
  </si>
  <si>
    <t>3530</t>
  </si>
  <si>
    <t> bhr-katihar-branch@ujjivan.com </t>
  </si>
  <si>
    <t>3531-KHANAPARA</t>
  </si>
  <si>
    <t> ne-khanapara-branch@ujjivan.com </t>
  </si>
  <si>
    <t>3532-LOKHRA</t>
  </si>
  <si>
    <t>3532</t>
  </si>
  <si>
    <t> ne-lokhra-branch@ujjivan.com </t>
  </si>
  <si>
    <t>3533-BAMUNI MAIDAN</t>
  </si>
  <si>
    <t> ne-bamunimaidan-branch@ujjivan.com </t>
  </si>
  <si>
    <t>3534-SUTAHATA</t>
  </si>
  <si>
    <t> cal-sutahata-branch@ujjivan.com </t>
  </si>
  <si>
    <t>3535-GAYA</t>
  </si>
  <si>
    <t>bhr-gaya-branch@ujjivan.com</t>
  </si>
  <si>
    <t>3536-BODHGAYA</t>
  </si>
  <si>
    <t>3536</t>
  </si>
  <si>
    <t>bhr-bodhgaya-branch@ujjivan.com</t>
  </si>
  <si>
    <t>3537-JEHANABAD</t>
  </si>
  <si>
    <t>bhr-jehanabad-branch@ujjivan.com</t>
  </si>
  <si>
    <t>3538-AZARA</t>
  </si>
  <si>
    <t> ne-azara-branch@ujjivan.com </t>
  </si>
  <si>
    <t>3539-SUALKUCHI</t>
  </si>
  <si>
    <t>3540-BAGDOGRA</t>
  </si>
  <si>
    <t>3540</t>
  </si>
  <si>
    <t>cal-bagdogra-Branch@ujjivan.com</t>
  </si>
  <si>
    <t>3541-DHUPGURI</t>
  </si>
  <si>
    <t> cal-dhupguri-branch@ujjivan.com </t>
  </si>
  <si>
    <t>3542-MANER</t>
  </si>
  <si>
    <t>bhr-maner-branch@ujjivan.com</t>
  </si>
  <si>
    <t>3544-Darbhanga</t>
  </si>
  <si>
    <t>3545-Saharsa</t>
  </si>
  <si>
    <t>3546-SUPAUL</t>
  </si>
  <si>
    <t>3547-BARAUNI</t>
  </si>
  <si>
    <t>3548-BEGUSARAI</t>
  </si>
  <si>
    <t>3549-AGARTALA SOUTH</t>
  </si>
  <si>
    <t>ne-agartalasouth- branch &lt;ne-agartalasouth-branch@ujjivan.com&gt;</t>
  </si>
  <si>
    <t>3550-AGARTALA CENTRAL</t>
  </si>
  <si>
    <t>ne-agartalacentral- branch &lt;ne-agartalacentral-branch@ujjivan.com&gt;</t>
  </si>
  <si>
    <t>3551-AGARTALA NORTH</t>
  </si>
  <si>
    <t>agartalanorth &lt;ne-agartalanorth-branch@ujjivan.com&gt;</t>
  </si>
  <si>
    <t>3552-BISHALGARH</t>
  </si>
  <si>
    <t>ne-bishalgarh- branch &lt;ne-bishalgarh-branch@ujjivan.com&gt;</t>
  </si>
  <si>
    <t>3553-UDAIPUR</t>
  </si>
  <si>
    <t>ne-udaipur- branch &lt;ne-udaipur-branch@ujjivan.com&gt;</t>
  </si>
  <si>
    <t>3554-MELAGARH</t>
  </si>
  <si>
    <t>ne-melagarh- branch &lt;melagarh@ujjivan.com&gt;</t>
  </si>
  <si>
    <t>3555-CHOUDWAR</t>
  </si>
  <si>
    <t>Choudwar &lt;ori-choudwar-branch@ujjivan.com&gt;</t>
  </si>
  <si>
    <t>3556-MOTIHARI</t>
  </si>
  <si>
    <t>bhr-motihari- branch &lt;bhr-motihari-branch@ujjivan.com&gt;</t>
  </si>
  <si>
    <t>3557-SAMASTIPUR</t>
  </si>
  <si>
    <t>bhr-samastipur- branch &lt;bhr-samastipur-branch@ujjivan.com&gt;</t>
  </si>
  <si>
    <t>3558-DALSINGSARAI</t>
  </si>
  <si>
    <t>bhr-dalsingsarai- branch &lt;bhr-dalsingsarai-branch@ujjivan.com&gt;</t>
  </si>
  <si>
    <t>3559-TEZPUR</t>
  </si>
  <si>
    <t>ne-tezpur- branch &lt;ne-tezpur-branch@ujjivan.com&gt;</t>
  </si>
  <si>
    <t>3560-NAGAON</t>
  </si>
  <si>
    <t>ne-nagaon &lt;ne-nagaon-branch@ujjivan.com&gt;</t>
  </si>
  <si>
    <t>3561-NALBARI</t>
  </si>
  <si>
    <t>ne-nalbari- branch &lt;ne-nalbari-branch@ujjivan.com&gt;</t>
  </si>
  <si>
    <t>3562-BAIHATI CHAIRALI</t>
  </si>
  <si>
    <t>ne-baihatichairali &lt;ne-baihatichairali-branch@ujjivan.com&gt;</t>
  </si>
  <si>
    <t>3563-Golaghat</t>
  </si>
  <si>
    <t>Cashier-Golaghat &lt;ne-golaghat-branch@ujjivan.com&gt;</t>
  </si>
  <si>
    <t>3564-Jorhat 1</t>
  </si>
  <si>
    <t>ne-jorhat1- branch &lt;ne-jorhat1-branch@ujjivan.com&gt;</t>
  </si>
  <si>
    <t>3565-Jorhat 2</t>
  </si>
  <si>
    <t>Cashier-Jorhat-2 &lt;ne-jorhat2-branch@ujjivan.com&gt;</t>
  </si>
  <si>
    <t>3566-Nagaon 2</t>
  </si>
  <si>
    <t>Cashier-Nagaon-2 &lt;ne-nagaon2-branch@ujjivan.com&gt;</t>
  </si>
  <si>
    <t>3567-Titabor</t>
  </si>
  <si>
    <t>Cashier-Titabor &lt;ne-titabor-branch@ujjivan.com&gt;</t>
  </si>
  <si>
    <t>3568-Pathsala</t>
  </si>
  <si>
    <t>ne-pathsala- branch &lt;ne-pathsala-branch@ujjivan.com&gt;</t>
  </si>
  <si>
    <t>3569-TELIAMURA</t>
  </si>
  <si>
    <t>3569</t>
  </si>
  <si>
    <t>ne-teliamura- branch &lt;ne-teliamura-branch@ujjivan.com&gt;</t>
  </si>
  <si>
    <t>3570-KUMARGHAT</t>
  </si>
  <si>
    <t>3570</t>
  </si>
  <si>
    <t>ne-kumarghat- branch &lt;ne-kumarghat-branch@ujjivan.com&gt;</t>
  </si>
  <si>
    <t>4402-Pune North</t>
  </si>
  <si>
    <t>4402</t>
  </si>
  <si>
    <t>west-punenorth-branch@ujjivan.com;ccr-punenorth@ujjivan.com;aniket.adhikari@ujjivan.com;amar.adiwarekar@ujjivan.com</t>
  </si>
  <si>
    <t>4403-Pune South</t>
  </si>
  <si>
    <t>4404-Pune East</t>
  </si>
  <si>
    <t>4405-AUNDH</t>
  </si>
  <si>
    <t>west-aundh-branch@ujjivan.com;ccr-aundh@ujjivan.com;amar.adiwarekar@ujjivan.com</t>
  </si>
  <si>
    <t>4406-PCMC</t>
  </si>
  <si>
    <t>4406</t>
  </si>
  <si>
    <t>4407-PIMPRI</t>
  </si>
  <si>
    <t>4408-PUNE WEST</t>
  </si>
  <si>
    <t>west-punewest-branch@ujjivan.com;ccr.punewest@ujjivan.com;yogesh.vankar@ujjivan.com;yogesh.kamble@ujjivan.com</t>
  </si>
  <si>
    <t>4409-NASHIK ROAD</t>
  </si>
  <si>
    <t>west-nashikroad-branch@ujjivan.com;ccr-nashikroad@ujjivan.com;gayatri.patil@ujjivan.com;deepak.jagtap@ujjivan.com;shreeram.walawe@ujjivan.com</t>
  </si>
  <si>
    <t>4410-CIDCO</t>
  </si>
  <si>
    <t>west-cidco-branch@ujjivan.com;ccr-cidco@ujjivan.com;sameer.gadigaonkar@ujjivan.com;induben.jadav@ujjivan.com;shreeram.walawe@ujjivan.com</t>
  </si>
  <si>
    <t>4411-NAVI MUMBAI</t>
  </si>
  <si>
    <t>west-navimumbai-branch@ujjivan.com;ccr-navimumbai@ujjivan.com;bhushan.belwale@ujjivan.com;sumaiya.qureshi@ujjivan.com;vijay.bhalerao@ujjivan.com</t>
  </si>
  <si>
    <t>4412-THANE</t>
  </si>
  <si>
    <t>4412</t>
  </si>
  <si>
    <t>west-thane-branch@ujjivan.com;ccr-thane@ujjivan.com;utkarsh.tawade@ujjivan.com;pramod.shinde@ujjivan.com;vijay.bhalerao@ujjivan.com</t>
  </si>
  <si>
    <t>4413-CHEMBUR</t>
  </si>
  <si>
    <t>west-chembur-branch@ujjivan.com;ccr-chembur@ujjivan.com;navin.acharya@ujjivan.com;sachin.rewale@ujjivan.com;kaveri.pawar@ujjivan.com</t>
  </si>
  <si>
    <t>4414-GOVANDI MANKHURD</t>
  </si>
  <si>
    <t>4414</t>
  </si>
  <si>
    <t>west-govandi-branch@ujjivan.com;ccr-mankhurd@ujjivan.com;hitesh.rohra@ujjivan.com;anil.salve@ujjivan.com;kaveri.pawar@ujjivan.com</t>
  </si>
  <si>
    <t>4415-katraj</t>
  </si>
  <si>
    <t>katraj@ujjivan.com;ccr-katraj@ujjivan.com;deepak.markad@ujjivan.com;anita.musudage@ujjivan.com;yogesh.kamble@ujjivan.com</t>
  </si>
  <si>
    <t>4416-KALYAN</t>
  </si>
  <si>
    <t>kalyan@ujjivan.com;ccr-kalyan@ujjivan.com;dipmala.jadhav@ujjivan.com;tanaji.bansode@ujjivan.com;vijay.bhalerao@ujjivan.com</t>
  </si>
  <si>
    <t>4417-VIKHROLI</t>
  </si>
  <si>
    <t>4417</t>
  </si>
  <si>
    <t>west-vikhroli-branch@ujjivan.com</t>
  </si>
  <si>
    <t>4418-GHATKOPAR</t>
  </si>
  <si>
    <t>west-ghatkopar-branch@ujjivan.com;ccr-ghatkopar@ujjivan.com;tanaji.tambe@ujjivan.com;amol.joshi@ujjivan.com;priya.gaikwad@ujjivan.com</t>
  </si>
  <si>
    <t>4419-AMBERNATH</t>
  </si>
  <si>
    <t>west-ambernath-branch@ujjivan.com;ccr-ambernath@ujjivan.com;soniya.bhagat@ujjivan.com;sangeeta.pathak@ujjivan.com;rakesh.athavale@ujjivan.com</t>
  </si>
  <si>
    <t>4420-KALWA</t>
  </si>
  <si>
    <t>west-kalwa-branch@ujjivan.com;ccr-kalwa@ujjivan.com;laxman.jetithor@ujjivan.com;singh.vijay@ujjivan.com;rakesh.athavale@ujjivan.com</t>
  </si>
  <si>
    <t>4421-BHANDUP</t>
  </si>
  <si>
    <t>4421</t>
  </si>
  <si>
    <t>west-bhandup-branch@ujjivan.com;ccr.bhandup@ujjivan.com;shankar.jadhav@ujjivan.com;ankur.verma@ujjivan.com;priya.gaikwad@ujjivan.com</t>
  </si>
  <si>
    <t>4422-MULUND</t>
  </si>
  <si>
    <t>4422</t>
  </si>
  <si>
    <t>west-mulund-branch@ujjivan.com;ccr.mulund@ujjivan.com;Jayesh.Vesvikar@ujjivan.com;sachin.mandavkar@ujjivan.com;priya.gaikwad@ujjivan.com</t>
  </si>
  <si>
    <t>4423-NASHIK CITY</t>
  </si>
  <si>
    <t>west-nashikcity-branch@ujjivan.com;ccr-nashikcity@ujjivan.com;vaibhav.more@ujjivan.com;hemlata.pande@ujjivan.com;shreeram.walawe@ujjivan.com</t>
  </si>
  <si>
    <t>4424-PANCHAVATI</t>
  </si>
  <si>
    <t>west-panchavati-branch@ujjivan.com;ccr-panchavati@ujjivan.com;harshada.patil@ujjivan.com;kundan.patil@ujjivan.com;shreeram.walawe@ujjivan.com</t>
  </si>
  <si>
    <t>4425-KURLA</t>
  </si>
  <si>
    <t>4425</t>
  </si>
  <si>
    <t>west-kurla-branch@ujjivan.com</t>
  </si>
  <si>
    <t>4426-ANDHERI</t>
  </si>
  <si>
    <t>4426</t>
  </si>
  <si>
    <t>west-andheri-branch@ujjivan.com</t>
  </si>
  <si>
    <t>4427-CHANDIVALI</t>
  </si>
  <si>
    <t>4428-UDHANA</t>
  </si>
  <si>
    <t>west-udhana-branch@ujjivan.com;ccr-udhana@ujjivan.com;bhautik.kanani@ujjivan.com;girish.gamit@ujjivan.com;jenish.lapsiwala@ujjivan.com</t>
  </si>
  <si>
    <t>4429-KATARGAM</t>
  </si>
  <si>
    <t>west-katargam-branch@ujjivan.com;ccr-katargam@ujjivan.com;denishkumar.bhandari@ujjivan.com;yashpal.jadhav@ujjivan.com;bhishma.mahajan@ujjivan.com</t>
  </si>
  <si>
    <t>4430-LIMBAYAT</t>
  </si>
  <si>
    <t>west-limbayat-branch@ujjivan.com;ccr-limbayat@ujjivan.com;rahulkumar.paghdal@ujjivan.com;alpesh.surti@ujjivan.com;jenish.lapsiwala@ujjivan.com</t>
  </si>
  <si>
    <t>4431-VARACHHA</t>
  </si>
  <si>
    <t>west-varachha-branch@ujjivan.com;ccr.varachha@ujjivan.com;prakash.patel@ujjivan.com;gaurav.mistry@ujjivan.com;bhishma.mahajan@ujjivan.com</t>
  </si>
  <si>
    <t>4432-CHANDAN NAGAR</t>
  </si>
  <si>
    <t>west-chandannagar-branch@ujjivan.com;ccr-west.chandannagar@ujjivan.com;prashant.kawade@ujjivan.com;prakash.gaikwad@ujjivan.com;yogesh.kamble@ujjivan.com</t>
  </si>
  <si>
    <t>4433-GOREGAON</t>
  </si>
  <si>
    <t>4434-MALAD EAST</t>
  </si>
  <si>
    <t>4434</t>
  </si>
  <si>
    <t>west-malad.east-branch@ujjivan.com</t>
  </si>
  <si>
    <t>4435-BORIVALI</t>
  </si>
  <si>
    <t>4435</t>
  </si>
  <si>
    <t>west-borivali-branch@ujjivan.com;ccr.borivali@ujjivan.com;anil.bhosle@ujjivan.com;kailas.gaikwad@ujjivan.com;rameshwar.chaudhari@ujjivan.com</t>
  </si>
  <si>
    <t>4436-WADALA</t>
  </si>
  <si>
    <t>west-wadala-branch@ujjivan.com;ccr-wadala@ujjivan.com;amar.lagad@ujjivan.com;rakesh.athavale@ujjivan.com</t>
  </si>
  <si>
    <t>4437-Dharavi-1</t>
  </si>
  <si>
    <t>west-dharavi-branch@ujjivan.com;ccr-dharavi@ujjivan.com;vinod.sonawane@ujjivan.com;priya.gaikwad@ujjivan.com</t>
  </si>
  <si>
    <t>4438-SANTACRUZ</t>
  </si>
  <si>
    <t>west-santacruz-branch@ujjivan.com;ccr.santacruz@ujjivan.com;bhagyashri.garade@ujjivan.com;rameshwar.chaudhari@ujjivan.com</t>
  </si>
  <si>
    <t>4439-DAHISAR</t>
  </si>
  <si>
    <t>4439</t>
  </si>
  <si>
    <t>west-dahisar-branch@ujjivan.com</t>
  </si>
  <si>
    <t>4439-Dhahisar</t>
  </si>
  <si>
    <t>4440-CENTRAL SURAT</t>
  </si>
  <si>
    <t>west-central.surat-branch@ujjivan.com;rinku.gokhru@ujjivan.com;sagar.bavishi@ujjivan.com;bhishma.mahajan@ujjivan.com</t>
  </si>
  <si>
    <t>4441-NAVASARI</t>
  </si>
  <si>
    <t>4441</t>
  </si>
  <si>
    <t>4442-NORTH VADODARA</t>
  </si>
  <si>
    <t>west-north.vadodara-branch@ujjivan.com;ccr-baroda-north@ujjivan.com;amitkumar.pandey@ujjivan.com;rajay.nikam@ujjivan.com</t>
  </si>
  <si>
    <t>4443-SOUTH VADODARA</t>
  </si>
  <si>
    <t>west-south.vadodara-branch@ujjivan;ccr-baroda-south@ujjivan.com;sunita.rohit@ujjivan.com;viral.patel@ujjivan.com;ashok.gosawi@ujjivan.com</t>
  </si>
  <si>
    <t>4444-EAST VADODARA</t>
  </si>
  <si>
    <t>west-east.vadodara-branch@ujjivan.com;ccr-baroda-east@ujjivan.com;anish.malik@ujjivan.com;samir.shah@ujjivan.com;ashok.gosawi@ujjivan.com</t>
  </si>
  <si>
    <t>4445-WEST VADODARA</t>
  </si>
  <si>
    <t>4445</t>
  </si>
  <si>
    <t>west-west.vadodara-branch@ujjivan.com;ccr-baroda-west@ujjivan.com;kuntal.patel@ujjivan.com;rajay.nikam@ujjivan.com</t>
  </si>
  <si>
    <t>4446-DHARAVI-2</t>
  </si>
  <si>
    <t>4446</t>
  </si>
  <si>
    <t>west-dharavi2-branch@ujjivan.com</t>
  </si>
  <si>
    <t>4447-CENTRAL VADODARA</t>
  </si>
  <si>
    <t>4448-ANKLESHWAR</t>
  </si>
  <si>
    <t>4448</t>
  </si>
  <si>
    <t>4449-BHARUCH</t>
  </si>
  <si>
    <t>west-bharuch-branch@ujjivan.com;ccr-bharuch@ujjivan.com;bipinkumar.chauhan@ujjivan.com;dharmesh.vaghela@ujjivan.com;ashok.gosawi@ujjivan.com</t>
  </si>
  <si>
    <t>4450-AHMED NAGAR CITY</t>
  </si>
  <si>
    <t>4450</t>
  </si>
  <si>
    <t>west-ahmednagarcity-branch@ujjivan.com;vishal.chougule@ujjivan.com;shrikant.rokade@ujjivan.com;ranjeet.mali@ujjivan.com</t>
  </si>
  <si>
    <t>4451-SAVEDI</t>
  </si>
  <si>
    <t>4451</t>
  </si>
  <si>
    <t>west-savedi-branch@ujjivan.com;ccr-savedi@ujjivan.com;pravin.singh@ujjivan.com;samadhan.sawant@ujjivan.com;ranjeet.mali@ujjivan.com</t>
  </si>
  <si>
    <t>4452-SATARA</t>
  </si>
  <si>
    <t>4453-Karad</t>
  </si>
  <si>
    <t>west-karad-branch@ujjivan.com;ccr-karad@ujjivan.com;ganesh.salunke@ujjivan.com;abhijeet.patil@ujjivan.com</t>
  </si>
  <si>
    <t>4454-AURANGABAD CITY</t>
  </si>
  <si>
    <t>4454</t>
  </si>
  <si>
    <t>west-aurangabadcity-branch@ujjivan.com;ccr-aurangabadcity-branch@ujjivan.com;ranjeet.mali@ujjivan.com</t>
  </si>
  <si>
    <t>4455-AURANGABAD CBS</t>
  </si>
  <si>
    <t>west-aurangabadcbs-branch@ujjivan.com;ccr-aurangabadcbs-branch@ujjivan.com;yogesh.bagul@ujjivan.com;prafull.nirbhavane@ujjivan.com;ranjeet.mali@ujjivan.com</t>
  </si>
  <si>
    <t>4456-BHIVANDI</t>
  </si>
  <si>
    <t>west-bhiwandi-branch@ujjivan.com;ccr-bhiwandi@ujjivan.com;gaurav.pawar@ujjivan.com;rahul.lohar@ujjivan.com;vijay.bhalerao@ujjivan.com</t>
  </si>
  <si>
    <t>4457-VAPI DAMAN</t>
  </si>
  <si>
    <t>west-vapi-branch@ujjivan.com;ccr-vapi@ujjivan.com;hitesh.chaudhari@ujjivan.com;manoj.mali@ujjivan.com;ruchira.patel@ujjivan.com</t>
  </si>
  <si>
    <t>4458-SOUTH SOLAPUR</t>
  </si>
  <si>
    <t>west-solapursouth-branch@ujjivan.com;ccr-solapursouth@ujjivan.com;pramod.pandit@ujjivan.com;sarika.patil@ujjivan.com;sachin.suryawanshi@ujjivan.com</t>
  </si>
  <si>
    <t>4459-NORTH SOLAPUR</t>
  </si>
  <si>
    <t>west-solapurnorth-branch@ujjivan.com;ccr-solapurnorth@ujjivan.com;arvind.sable@ujjivan.com;balkrishna.koukuntla@ujjivan.com;sachin.suryawanshi@ujjivan.com</t>
  </si>
  <si>
    <t>4460-SANGLI</t>
  </si>
  <si>
    <t>4460</t>
  </si>
  <si>
    <t>west-sangli-branch@ujjivan.com;ccr-sangli@ujjivan.com;anjali.jain@ujjivan.com;pradnya.waghmare@ujjivan.com;sandip.gavali@ujjivan.com</t>
  </si>
  <si>
    <t>4461-MIRAJ</t>
  </si>
  <si>
    <t>west-miraj-branch@ujjivan.com;ccr-miraj@ujjivan.com;namdev.chougale@ujjivan.com;pratap.chavan@ujjivan.com;sandip.gavali@ujjivan.com</t>
  </si>
  <si>
    <t>4462-PANVEL  KALAMBOLI</t>
  </si>
  <si>
    <t>west-panvel-branch@ujjivan.com;mukesh.k@ujjivan.com;archana.shaha@ujjivan.com;kaveri.pawar@ujjivan.com</t>
  </si>
  <si>
    <t>4463-NADIAD</t>
  </si>
  <si>
    <t>west-nadiad-branch@ujjivan.com;ccr-nadiad-branch@ujjivan.com;alpesh.prajapati@ujjivan.com;nilesh.patel@ujjivan.com;rajay.nikam@ujjivan.com</t>
  </si>
  <si>
    <t>4464-SHAHUPURI</t>
  </si>
  <si>
    <t>west-shahupuri-branch@ujjivan.com;abhijeet.patil@ujjivan.com</t>
  </si>
  <si>
    <t>4465-SABARMATI</t>
  </si>
  <si>
    <t>west-sabarmati@ujjivan.com;raghu.mudaliar@ujjivan.com;tikesh.kumar@ujjivan.com</t>
  </si>
  <si>
    <t>4466-ISANPUR</t>
  </si>
  <si>
    <t>west-isanpur@ujjivan.com;amit.parmar@ujjivan.com;vijay.dodia@ujjivan.com</t>
  </si>
  <si>
    <t>4467-NARODA</t>
  </si>
  <si>
    <t>west-naroda@ujjivan.com;alpesh.patel@ujjivan.com;vijay.dodia@ujjivan.com</t>
  </si>
  <si>
    <t>4468-HATKESHVAR</t>
  </si>
  <si>
    <t>west-hatkeshwar@ujjivan.com;vijay.dodia@ujjivan.com</t>
  </si>
  <si>
    <t>4469-RANKALA</t>
  </si>
  <si>
    <t>west-rankala-branch@ujjivan.com;rushikesh.yogi@ujjivan.com;abhijeet.patil@ujjivan.com</t>
  </si>
  <si>
    <t>4470-ICHALKARANJI</t>
  </si>
  <si>
    <t>west-ichalkaranji-branch@ujjivan.com;swapnil.patel@ujjivan.com;smita.joshi@ujjivan.com;sandip.gavali@ujjivan.com</t>
  </si>
  <si>
    <t>4471-MARKET YARD</t>
  </si>
  <si>
    <t>west-market-yard-branch@ujjivan.com;chintamani.adurkar@ujjivan.com;abhijeet.patil@ujjivan.com</t>
  </si>
  <si>
    <t>4472-BARDOLI</t>
  </si>
  <si>
    <t>west-bardoli@ujjivan.com;rohan.shirsath@ujjivan.com;jenish.lapsiwala@ujjivan.com</t>
  </si>
  <si>
    <t>4473-VALSAD</t>
  </si>
  <si>
    <t>west-valsad@ujjivan.com;ccr-valsad@ujjivan.com;nilesh.girase@ujjivan.com;ruchira.patel@ujjivan.com</t>
  </si>
  <si>
    <t>4474-JALGAON NORTH</t>
  </si>
  <si>
    <t>west-jalgaon-north@ujjivan.com;dipaksingh.rajput@ujjivan.com;santosh.bhalerao@ujjivan.com;amit.jadhav@ujjivan.com</t>
  </si>
  <si>
    <t>4475-BHUSAWAL</t>
  </si>
  <si>
    <t>west-bhusawal@ujjivan.com;somnath.bhusare@ujjivan.com;prashant.shimpi@ujjivan.com;amit.jadhav@ujjivan.com</t>
  </si>
  <si>
    <t>4476-AAMAPARA</t>
  </si>
  <si>
    <t>4477-DEVENDRA NAGAR</t>
  </si>
  <si>
    <t>4478-JALGAON SOUTH</t>
  </si>
  <si>
    <t>4478</t>
  </si>
  <si>
    <t>west-jalgaon-south@ujjivan.com;kishor.sonar@ujjivan.com;amit.jadhav@ujjivan.com</t>
  </si>
  <si>
    <t>4479-MEHSANA</t>
  </si>
  <si>
    <t>west-mehsana-branch@ujjivan.com;ashutosh.saxena@ujjivan.com;tikesh.kumar@ujjivan.com</t>
  </si>
  <si>
    <t>4480-HIMMATNAGAR</t>
  </si>
  <si>
    <t>west-himmatnagar-branch@ujjivan.com;brijesh.parmar@ujjivan.com;tikesh.kumar@ujjivan.com</t>
  </si>
  <si>
    <t>4481-RAJKOT WEST</t>
  </si>
  <si>
    <t>4481</t>
  </si>
  <si>
    <t>rajkot-west@ujjivan.com;virendra.jadeja@ujjivan.com;natubhai.desai@ujjivan.com</t>
  </si>
  <si>
    <t>4482-RAJKOT SOUTH</t>
  </si>
  <si>
    <t>rajkot-south@ujjivan.com;chirag.mehta@ujjivan.com;natubhai.desai@ujjivan.com</t>
  </si>
  <si>
    <t>4483-RAJKOT NORTH</t>
  </si>
  <si>
    <t>rajkot- north;irfan.aibani@ujjivan.com;natubhai.desai@ujjivan.com</t>
  </si>
  <si>
    <t>4484-AJI DAM</t>
  </si>
  <si>
    <t>rajkot-ajidam-branch@ujjivan.com;dinesh.parmar@ujjivan.com;natubhai.desai@ujjivan.com</t>
  </si>
  <si>
    <t>4485-CHIKHALTHANA</t>
  </si>
  <si>
    <t>4485</t>
  </si>
  <si>
    <t>west-chikalthana-branch@ujjivan.com;amarpratap.singh@ujjivan.com;ranjeet.mali@ujjivan.com</t>
  </si>
  <si>
    <t>4486-DURG</t>
  </si>
  <si>
    <t>4487-BHILLAI</t>
  </si>
  <si>
    <t>4488-RAJNANDGAON</t>
  </si>
  <si>
    <t>4489-BILASPUR</t>
  </si>
  <si>
    <t>4490-RAJPIPALA</t>
  </si>
  <si>
    <t>west-rajpipla-branch@ujjivan.com;nirmalsharan.barot@ujjivan.com;ashok.gosawi@ujjivan.com</t>
  </si>
  <si>
    <t>4491-VYARA</t>
  </si>
  <si>
    <t>4491</t>
  </si>
  <si>
    <t>west-vyara-branch@ujjivan.com;ujesh.modi@ujjivan.com;jenish.lapsiwala@ujjivan.com</t>
  </si>
  <si>
    <t>4492-BARSHI ROAD</t>
  </si>
  <si>
    <t>4492</t>
  </si>
  <si>
    <t>west-barshiroad-branch@ujjivan.com;vidya.gandhi@ujjivan.com;sachin.suryawanshi@ujjivan.com</t>
  </si>
  <si>
    <t>4493-SHAHU CHOWK BRANCH</t>
  </si>
  <si>
    <t>4493</t>
  </si>
  <si>
    <t>shahuchowklatur@ujjivan.com;swarup.dhakne@ujjivan.com;sachin.suryawanshi@ujjivan.com</t>
  </si>
  <si>
    <t>4494-SOUTH NAGPUR</t>
  </si>
  <si>
    <t>4494</t>
  </si>
  <si>
    <t>west-south.nagpur@ujjivan.com;vishal.guntiwar@ujjivan.com;rajendra.chunarkar@ujjivan.com</t>
  </si>
  <si>
    <t>4495-North Nagpur</t>
  </si>
  <si>
    <t>4495</t>
  </si>
  <si>
    <t>west-north.nagpur@ujjivan.com;harshal.takwale@ujjivan.com;rajendra.chunarkar@ujjivan.com</t>
  </si>
  <si>
    <t>4496-East Nagpur</t>
  </si>
  <si>
    <t>4496</t>
  </si>
  <si>
    <t>west-east.nagpur@ujjivan.com;rohan.masar@ujjivan.com;rajendra.chunarkar@ujjivan.com</t>
  </si>
  <si>
    <t>4497-BHAVNAGAR EAST</t>
  </si>
  <si>
    <t>4497</t>
  </si>
  <si>
    <t>west-east.bhavnagar-branch@ujjivan.com;brij.kothadiya@ujjivan.com;dinesh.sonawane@ujjivan.com</t>
  </si>
  <si>
    <t>4498-BHAVNAGAR WEST</t>
  </si>
  <si>
    <t>4498</t>
  </si>
  <si>
    <t>west-west.bhavnagar-branch@ujjivan.com;rajesh.rupala@ujjivan.com;dinesh.sonawane@ujjivan.com</t>
  </si>
  <si>
    <t>4499-BOTAD</t>
  </si>
  <si>
    <t>4499</t>
  </si>
  <si>
    <t>west-botad-branch@ujjivan.com;gopal.muliya@ujjivan.com;dinesh.sonawane@ujjivan.com</t>
  </si>
  <si>
    <t>west-central.vadodara-branch@ujjivan.com;ccr-baroda-central@ujjivan.com;vikas.prajapati@ujjivan.com;rajay.nikam@ujjivan.com</t>
  </si>
  <si>
    <t>1126-HUBLI NORTH Branch Repeat GL Prospect Clients List</t>
  </si>
  <si>
    <t>1164-AMBUR Branch Repeat GL Prospect Clients List</t>
  </si>
  <si>
    <t>1167-VELLORE KATPADI Branch Repeat GL Prospect Clients List</t>
  </si>
  <si>
    <t>1194-KOCHI-PALLURATHY Branch Repeat GL Prospect Clients List</t>
  </si>
  <si>
    <t>1198-SATHYAMANGALAM Branch Repeat GL Prospect Clients List</t>
  </si>
  <si>
    <t>1616-WADAKANCHERY Branch Repeat GL Prospect Clients List</t>
  </si>
  <si>
    <t>1661-Chengalpattu Branch Repeat GL Prospect Clients List</t>
  </si>
  <si>
    <t>1662-Manjoor Branch Repeat GL Prospect Clients List</t>
  </si>
  <si>
    <t>1663-Tambaram Branch Repeat GL Prospect Clients List</t>
  </si>
  <si>
    <t>1664-Hunsur Branch Repeat GL Prospect Clients List</t>
  </si>
  <si>
    <t>2206-Sultanpuri Branch Repeat GL Prospect Clients List</t>
  </si>
  <si>
    <t>2207-Jahangirpuri Branch Repeat GL Prospect Clients List</t>
  </si>
  <si>
    <t>2210-Gaziabad Branch Repeat GL Prospect Clients List</t>
  </si>
  <si>
    <t>2211-Wazirpur Branch Repeat GL Prospect Clients List</t>
  </si>
  <si>
    <t>2223-Sawai Madhopur Branch Repeat GL Prospect Clients List</t>
  </si>
  <si>
    <t>2225-Bundi Branch Repeat GL Prospect Clients List</t>
  </si>
  <si>
    <t>2240-Hastsal Branch Repeat GL Prospect Clients List</t>
  </si>
  <si>
    <t>2267-Sirsa Haryana Branch Repeat GL Prospect Clients List</t>
  </si>
  <si>
    <t>2279-Sangur Branch Repeat GL Prospect Clients List</t>
  </si>
  <si>
    <t>2289-Kaithal Branch Repeat GL Prospect Clients List</t>
  </si>
  <si>
    <t>2290-Kurushetra Branch Repeat GL Prospect Clients List</t>
  </si>
  <si>
    <t>2335-Panipat Kishanpura Branch Repeat GL Prospect Clients List</t>
  </si>
  <si>
    <t>2336-Phagwara Branch Repeat GL Prospect Clients List</t>
  </si>
  <si>
    <t>2338-Sanganer Branch Repeat GL Prospect Clients List</t>
  </si>
  <si>
    <t>3324-Uluberia Branch Repeat GL Prospect Clients List</t>
  </si>
  <si>
    <t>3372-Lalganj Branch Repeat GL Prospect Clients List</t>
  </si>
  <si>
    <t>3552-Bishalghar Branch Repeat GL Prospect Clients List</t>
  </si>
  <si>
    <t>3569-Teliamura Branch Repeat GL Prospect Clients List</t>
  </si>
  <si>
    <t>3570-Kumarghat Branch Repeat GL Prospect Clients List</t>
  </si>
  <si>
    <t>4402-Pune North Branch Repeat GL Prospect Clients List</t>
  </si>
  <si>
    <t>4406-PCMC Branch Repeat GL Prospect Clients List</t>
  </si>
  <si>
    <t>4412-Thane Branch Repeat GL Prospect Clients List</t>
  </si>
  <si>
    <t>4414-Govandi Mankhurd Branch Repeat GL Prospect Clients List</t>
  </si>
  <si>
    <t>4421-Bhandup Branch Repeat GL Prospect Clients List</t>
  </si>
  <si>
    <t>4422-Mulund Branch Repeat GL Prospect Clients List</t>
  </si>
  <si>
    <t>4435-Borivali Branch Repeat GL Prospect Clients List</t>
  </si>
  <si>
    <t>4441-Navasari Branch Repeat GL Prospect Clients List</t>
  </si>
  <si>
    <t>4445-West Vadodara Branch Repeat GL Prospect Clients List</t>
  </si>
  <si>
    <t>4448-Ankleshwar Branch Repeat GL Prospect Clients List</t>
  </si>
  <si>
    <t>4450-Ahmed Nagar City Branch Repeat GL Prospect Clients List</t>
  </si>
  <si>
    <t>4451-Savedi Branch Repeat GL Prospect Clients List</t>
  </si>
  <si>
    <t>4454-Aurangabad City Branch Repeat GL Prospect Clients List</t>
  </si>
  <si>
    <t>4460-Sangli Branch Repeat GL Prospect Clients List</t>
  </si>
  <si>
    <t>4478-Jalgaon South Branch Repeat GL Prospect Clients List</t>
  </si>
  <si>
    <t>4481-Rajkot west Branch Repeat GL Prospect Clients List</t>
  </si>
  <si>
    <t>4485-Chikhalthana Branch Repeat GL Prospect Clients List</t>
  </si>
  <si>
    <t>4491-Vyara Branch Repeat GL Prospect Clients List</t>
  </si>
  <si>
    <t>4492-Barshi Road Branch Repeat GL Prospect Clients List</t>
  </si>
  <si>
    <t>4493-Shahu Chowk Branch Repeat GL Prospect Clients List</t>
  </si>
  <si>
    <t>4494-South Nagpur Branch Repeat GL Prospect Clients List</t>
  </si>
  <si>
    <t>4495-North Nagpur Branch Repeat GL Prospect Clients List</t>
  </si>
  <si>
    <t>4496-East Nagpur Branch Repeat GL Prospect Clients List</t>
  </si>
  <si>
    <t>4497-Bhavnagar East Branch Repeat GL Prospect Clients List</t>
  </si>
  <si>
    <t>4498-Bhavnagar West Branch Repeat GL Prospect Clients List</t>
  </si>
  <si>
    <t>4499-Botad Branch Repeat GL Prospect Clients List</t>
  </si>
  <si>
    <t>1664</t>
  </si>
  <si>
    <t>nandhakumar.m@ujjivan.com</t>
  </si>
  <si>
    <t>singh.dharmendra@ujjivan.com</t>
  </si>
  <si>
    <t>abhijit.dey@ujjivan.com</t>
  </si>
  <si>
    <t>ankur.verma@ujjivan.com</t>
  </si>
  <si>
    <t>anil.bhosle@ujjivan.com</t>
  </si>
  <si>
    <t>kuntal.patel@ujjivan.com</t>
  </si>
  <si>
    <t>dinesh.chandra@ujjivan.com</t>
  </si>
  <si>
    <t>gopal.muliya@ujjivan.com</t>
  </si>
  <si>
    <t>harshal.takwale@ujjivan.com</t>
  </si>
  <si>
    <t>kumar.ashok@ujjivan.com</t>
  </si>
  <si>
    <t>sanjib.dey@ujjivan.com</t>
  </si>
  <si>
    <t>prasanta.das@ujjivan.com</t>
  </si>
  <si>
    <t>mubarak.sardhar@ujjivan.com</t>
  </si>
  <si>
    <t>nitin.kumar@ujjivan.com</t>
  </si>
  <si>
    <t>rakesh.suman@ujjivan.com</t>
  </si>
  <si>
    <t>tn-ambasamudram-branch@ujjivan.com</t>
  </si>
  <si>
    <t>west-satara-branch@ujjivan.com;ccr-satara@ujjivan.com;sunil.jadhav@ujjivan.com;nikhil.mohite@ujjivan.com;abhijeet.patil@ujjivan.com</t>
  </si>
  <si>
    <t>west-navsari-branch@ujjivan.com;ccr-navsari@ujjivan.com;alpesh.surti@ujjivan.com;ruchira.patel@ujjivan.com</t>
  </si>
  <si>
    <t>Branch ID</t>
  </si>
  <si>
    <t>CRM</t>
  </si>
  <si>
    <t>CRM Emp id</t>
  </si>
  <si>
    <t>CRM Email</t>
  </si>
  <si>
    <t>AM-Email</t>
  </si>
  <si>
    <t>DM-Mail</t>
  </si>
  <si>
    <t>Total</t>
  </si>
  <si>
    <t>sanjib.nath@ujjivan.com</t>
  </si>
  <si>
    <t>sounak.saha@ujjivan.com</t>
  </si>
  <si>
    <t>tanmoy.pal@ujjivan.com</t>
  </si>
  <si>
    <t>prasenjit.datta@ujjivan.com</t>
  </si>
  <si>
    <t>manojit.sabui@ujjivan.com</t>
  </si>
  <si>
    <t>sanjoy.chakraborty@ujjivan.com</t>
  </si>
  <si>
    <t>sanatan.pal@ujjivan.com</t>
  </si>
  <si>
    <t>diptesh.biswas@ujjivan.com</t>
  </si>
  <si>
    <t>sujit.saha@ujjivan.com</t>
  </si>
  <si>
    <t>dipankar.lodh@ujjivan.com</t>
  </si>
  <si>
    <t>sajid.mondal@ujjivan.com</t>
  </si>
  <si>
    <t>mithun.chatterjee@ujjivan.com</t>
  </si>
  <si>
    <t>haren.talukdar@ujjivan.com</t>
  </si>
  <si>
    <t>naba.mazumdar@ujjivan.com</t>
  </si>
  <si>
    <t>rabindra.mishra@ujjivan.com</t>
  </si>
  <si>
    <t>sk.mohiuddin@ujjivan.com</t>
  </si>
  <si>
    <t>dinabandhu.saha@ujjivan.com</t>
  </si>
  <si>
    <t>manish.kr@ujjivan.com</t>
  </si>
  <si>
    <t>bidesh.mandal@ujjivan.com</t>
  </si>
  <si>
    <t>abhilash.joshi@ujjivan.com</t>
  </si>
  <si>
    <t>manoj.bera@ujjivan.com</t>
  </si>
  <si>
    <t>surendra.sethy@ujjivan.com</t>
  </si>
  <si>
    <t>sukhwant.singh@ujjivan.com</t>
  </si>
  <si>
    <t>vipulkumar.singh@ujjivan.com</t>
  </si>
  <si>
    <t>avay.kumar@ujjivan.com</t>
  </si>
  <si>
    <t>asmatali.khan@ujjivan.com</t>
  </si>
  <si>
    <t>saroj.singh@ujjivan.com</t>
  </si>
  <si>
    <t>sanjeev.kumar@ujjivan.com</t>
  </si>
  <si>
    <t>amitkumar.16636@ujjivan.com</t>
  </si>
  <si>
    <t>kundan.kumar@ujjivan.com</t>
  </si>
  <si>
    <t>pankaj.dubey@ujjivan.com</t>
  </si>
  <si>
    <t>pranay.das@ujjivan.com</t>
  </si>
  <si>
    <t>UJJ04784</t>
  </si>
  <si>
    <t>UJJ17105</t>
  </si>
  <si>
    <t>UJJ03114</t>
  </si>
  <si>
    <t>UJJ03816</t>
  </si>
  <si>
    <t>UJJ06842</t>
  </si>
  <si>
    <t>UJJ07062</t>
  </si>
  <si>
    <t>UJJ07214</t>
  </si>
  <si>
    <t>sachin.rewale@ujjivan.com</t>
  </si>
  <si>
    <t>UJJ15032</t>
  </si>
  <si>
    <t>UJJ15227</t>
  </si>
  <si>
    <t>UJJ18820</t>
  </si>
  <si>
    <t>UJJ06860</t>
  </si>
  <si>
    <t>nirav.vahalia@ujjivan.com</t>
  </si>
  <si>
    <t>UJJ08183</t>
  </si>
  <si>
    <t>UJJ06895</t>
  </si>
  <si>
    <t>UJJ17216</t>
  </si>
  <si>
    <t>UJJ17998</t>
  </si>
  <si>
    <t>vijay.katkar@ujjivan.com</t>
  </si>
  <si>
    <t>UJJ17445</t>
  </si>
  <si>
    <t>UJJ16457</t>
  </si>
  <si>
    <t>Arvind.Sable@ujjivan.com</t>
  </si>
  <si>
    <t>shreeram.walawe@ujjivan.com</t>
  </si>
  <si>
    <t>UJJ10395</t>
  </si>
  <si>
    <t>UJJ10392</t>
  </si>
  <si>
    <t>UJJ07212</t>
  </si>
  <si>
    <t>nilesh.girase@ujjivan.com</t>
  </si>
  <si>
    <t>UJJ11349</t>
  </si>
  <si>
    <t>UJJ16823</t>
  </si>
  <si>
    <t>somnath.bhusare@ujjivan.com</t>
  </si>
  <si>
    <t>UJJ17288</t>
  </si>
  <si>
    <t>UJJ11351</t>
  </si>
  <si>
    <t>UJJ14064</t>
  </si>
  <si>
    <t>UJJ07768</t>
  </si>
  <si>
    <t>UJJ14708</t>
  </si>
  <si>
    <t>UJJ18222</t>
  </si>
  <si>
    <t>UJJ15970</t>
  </si>
  <si>
    <t>UJJ04853</t>
  </si>
  <si>
    <t>sharvankumar.gupta@ujjivan.com</t>
  </si>
  <si>
    <t>manish.ranjan@ujjivan.com</t>
  </si>
  <si>
    <t>shalini.sengar@ujjivan.com</t>
  </si>
  <si>
    <t>kumar.vivek@ujjivan.com</t>
  </si>
  <si>
    <t>UJJ06618</t>
  </si>
  <si>
    <t>UJJ15059-Dharmendra Kumar Singh</t>
  </si>
  <si>
    <t>UJJ15059</t>
  </si>
  <si>
    <t>amit.kumar@ujjivan.com</t>
  </si>
  <si>
    <t>UJJ05120</t>
  </si>
  <si>
    <t>afzal.ali@ujjivan.com</t>
  </si>
  <si>
    <t>UJJ09079</t>
  </si>
  <si>
    <t>UJJ16919</t>
  </si>
  <si>
    <t>vivek.tiwari@ujjivan.com</t>
  </si>
  <si>
    <t>UJJ01510</t>
  </si>
  <si>
    <t>UJJ03016</t>
  </si>
  <si>
    <t>UJJ01848</t>
  </si>
  <si>
    <t>UJJ02278</t>
  </si>
  <si>
    <t>UJJ15846</t>
  </si>
  <si>
    <t>UJJ11100</t>
  </si>
  <si>
    <t>UJJ01847-Rakesh Kumar Suman</t>
  </si>
  <si>
    <t>UJJ01847</t>
  </si>
  <si>
    <t>UJJ04091</t>
  </si>
  <si>
    <t>maneet.kumar@ujjivan.com</t>
  </si>
  <si>
    <t>UJJ10958</t>
  </si>
  <si>
    <t>shanta.bhardwaj@ujjivan.com</t>
  </si>
  <si>
    <t>UJJ08899</t>
  </si>
  <si>
    <t>UJJ12535</t>
  </si>
  <si>
    <t>UJJ16221</t>
  </si>
  <si>
    <t>manish.kamboj@ujjivan.com</t>
  </si>
  <si>
    <t>UJJ11664</t>
  </si>
  <si>
    <t>UJJ10204</t>
  </si>
  <si>
    <t>sanjay.tiwari@ujjivan.com</t>
  </si>
  <si>
    <t>UJJ10202</t>
  </si>
  <si>
    <t>UJJ05516</t>
  </si>
  <si>
    <t>duli.chand@ujjivan.com</t>
  </si>
  <si>
    <t>rishi.walia@ujjivan.com</t>
  </si>
  <si>
    <t>UJJ08509</t>
  </si>
  <si>
    <t>puneet.kamra@ujjivan.com</t>
  </si>
  <si>
    <t>UJJ18511</t>
  </si>
  <si>
    <t>pradeep.rana@ujjivan.com</t>
  </si>
  <si>
    <t>UJJ01515</t>
  </si>
  <si>
    <t>UJJ06758</t>
  </si>
  <si>
    <t>ganesh.mandal@ujjivan.com</t>
  </si>
  <si>
    <t>UJJ10509</t>
  </si>
  <si>
    <t>UJJ08815</t>
  </si>
  <si>
    <t>UJJ08164</t>
  </si>
  <si>
    <t>ravi.thakur@ujjivan.com</t>
  </si>
  <si>
    <t>UJJ10512</t>
  </si>
  <si>
    <t>UJJ16667</t>
  </si>
  <si>
    <t>manoj.sawarkar@ujjivan.com</t>
  </si>
  <si>
    <t>UJJ01826</t>
  </si>
  <si>
    <t>UJJ07364</t>
  </si>
  <si>
    <t>ankit.sharma@ujjivan.com</t>
  </si>
  <si>
    <t>UJJ08732-Manish Kumar Singh</t>
  </si>
  <si>
    <t>UJJ08732</t>
  </si>
  <si>
    <t>manish.singh@ujjivan.com</t>
  </si>
  <si>
    <t>UJJ16410</t>
  </si>
  <si>
    <t>gaurav.mishra@ujjivan.com</t>
  </si>
  <si>
    <t>UJJ10501</t>
  </si>
  <si>
    <t>UJJ13573</t>
  </si>
  <si>
    <t>aashutosh.chourasia@ujjivan.com</t>
  </si>
  <si>
    <t>UJJ09959</t>
  </si>
  <si>
    <t>UJJ14802</t>
  </si>
  <si>
    <t>neeraj.sharma@ujjivan.com</t>
  </si>
  <si>
    <t>UJJ12258</t>
  </si>
  <si>
    <t>UJJ05528</t>
  </si>
  <si>
    <t>rakesh.chauhan@ujjivan.com</t>
  </si>
  <si>
    <t>UJJ14977</t>
  </si>
  <si>
    <t>UJJ04125</t>
  </si>
  <si>
    <t>UJJ04575</t>
  </si>
  <si>
    <t>shakti.shekhawat@ujjivan.com</t>
  </si>
  <si>
    <t>UJJ16728</t>
  </si>
  <si>
    <t>ravinder.kumar@ujjivan.com</t>
  </si>
  <si>
    <t>UJJ14979</t>
  </si>
  <si>
    <t>banta.singh@ujjivan.com</t>
  </si>
  <si>
    <t>UJJ14370-Dinesh Chandra Sharma</t>
  </si>
  <si>
    <t>UJJ14370</t>
  </si>
  <si>
    <t>arnab.sinha@ujjivan.com</t>
  </si>
  <si>
    <t>vijaykumar.g@ujjivan.com</t>
  </si>
  <si>
    <t>UJJ00343</t>
  </si>
  <si>
    <t>UJJ00664</t>
  </si>
  <si>
    <t>UJJ00719</t>
  </si>
  <si>
    <t>UJJ00072</t>
  </si>
  <si>
    <t>UJJ00452</t>
  </si>
  <si>
    <t>UJJ06179</t>
  </si>
  <si>
    <t>UJJ03721</t>
  </si>
  <si>
    <t>UJJ01475</t>
  </si>
  <si>
    <t>ramesh.munireddy@ujjivan.com</t>
  </si>
  <si>
    <t>UJJ00183</t>
  </si>
  <si>
    <t>UJJ00057</t>
  </si>
  <si>
    <t>UJJ07460</t>
  </si>
  <si>
    <t>jayeer.pasha@ujjivan.com</t>
  </si>
  <si>
    <t>UJJ11157</t>
  </si>
  <si>
    <t>UJJ09204</t>
  </si>
  <si>
    <t>UJJ00606</t>
  </si>
  <si>
    <t>UJJ10465</t>
  </si>
  <si>
    <t>UJJ00951</t>
  </si>
  <si>
    <t>UJJ00482</t>
  </si>
  <si>
    <t>UJJ11862</t>
  </si>
  <si>
    <t>UJJ02022</t>
  </si>
  <si>
    <t>UJJ03556</t>
  </si>
  <si>
    <t>UJJ01156</t>
  </si>
  <si>
    <t>UJJ00477</t>
  </si>
  <si>
    <t>UJJ14538</t>
  </si>
  <si>
    <t>UJJ13509</t>
  </si>
  <si>
    <t>UJJ03562</t>
  </si>
  <si>
    <t>UJJ11861</t>
  </si>
  <si>
    <t>UJJ11486</t>
  </si>
  <si>
    <t>UJJ16898</t>
  </si>
  <si>
    <t>babu.vinayakumar@ujjivan.com</t>
  </si>
  <si>
    <t>UJJ12156</t>
  </si>
  <si>
    <t>UJJ03564</t>
  </si>
  <si>
    <t>UJJ14382</t>
  </si>
  <si>
    <t>UJJ07747</t>
  </si>
  <si>
    <t>UJJ13786</t>
  </si>
  <si>
    <t>premnath.p@ujjivan.com</t>
  </si>
  <si>
    <t>UJJ07433</t>
  </si>
  <si>
    <t>UJJ11915-Sandes Kumar S</t>
  </si>
  <si>
    <t>UJJ11915</t>
  </si>
  <si>
    <t>UJJ04156</t>
  </si>
  <si>
    <t>UJJ11170</t>
  </si>
  <si>
    <t>alex.premkumar@ujjivan.com</t>
  </si>
  <si>
    <t>UJJ06459</t>
  </si>
  <si>
    <t>sivakumar.h@ujjivan.com</t>
  </si>
  <si>
    <t>UJJ06640</t>
  </si>
  <si>
    <t>UJJ04813-Naga Sankar Narayanan K</t>
  </si>
  <si>
    <t>UJJ04813</t>
  </si>
  <si>
    <t>nagasankar.narayanan@ujjivan.com</t>
  </si>
  <si>
    <t>UJJ05185</t>
  </si>
  <si>
    <t>UJJ16259</t>
  </si>
  <si>
    <t>saiju.sadasivan@ujjivan.com</t>
  </si>
  <si>
    <t>UJJ01154</t>
  </si>
  <si>
    <t>UJJ13480</t>
  </si>
  <si>
    <t>UJJ07420</t>
  </si>
  <si>
    <t>UJJ05941</t>
  </si>
  <si>
    <t>UJJ09205</t>
  </si>
  <si>
    <t>UJJ00481</t>
  </si>
  <si>
    <t>UJJ00287</t>
  </si>
  <si>
    <t>UJJ07746</t>
  </si>
  <si>
    <t>UJJ00732</t>
  </si>
  <si>
    <t>UJJ14687</t>
  </si>
  <si>
    <t>UJJ10967</t>
  </si>
  <si>
    <t>UJJ09864</t>
  </si>
  <si>
    <t>UJJ08584</t>
  </si>
  <si>
    <t>UJJ13411-Mallesha H N</t>
  </si>
  <si>
    <t>UJJ13411</t>
  </si>
  <si>
    <t>mallesha.hn@ujjivan.com</t>
  </si>
  <si>
    <t>UJJ10120</t>
  </si>
  <si>
    <t>UJJ02083</t>
  </si>
  <si>
    <t>UJJ13007</t>
  </si>
  <si>
    <t>UJJ04369-Syed Mushtak A</t>
  </si>
  <si>
    <t>UJJ04369</t>
  </si>
  <si>
    <t>UJJ14126</t>
  </si>
  <si>
    <t>UJJ15312</t>
  </si>
  <si>
    <t>UJJ11911</t>
  </si>
  <si>
    <t>UJJ11509</t>
  </si>
  <si>
    <t>;</t>
  </si>
  <si>
    <t>1664-Hunsur</t>
  </si>
  <si>
    <t>blr-hunsur-branch@ujjivan.com</t>
  </si>
  <si>
    <t>2337-Kathumar Branch Repeat GL Prospect Clients List</t>
  </si>
  <si>
    <t>2339-Devendra Nagar Branch Repeat GL Prospect Clients List</t>
  </si>
  <si>
    <t>del-wazirpur-branch@ujjivan.com</t>
  </si>
  <si>
    <t>2339</t>
  </si>
  <si>
    <t>2340</t>
  </si>
  <si>
    <t>2340-Aamapara Branch Repeat GL Prospect Clients List</t>
  </si>
  <si>
    <t>2341</t>
  </si>
  <si>
    <t>2341-Durg Branch Repeat GL Prospect Clients List</t>
  </si>
  <si>
    <t>2342</t>
  </si>
  <si>
    <t>2342-Bhillai Branch Repeat GL Prospect Clients List</t>
  </si>
  <si>
    <t>2343</t>
  </si>
  <si>
    <t>2343-Bilaspur Branch Repeat GL Prospect Clients List</t>
  </si>
  <si>
    <t>2344</t>
  </si>
  <si>
    <t>2344-Rajnandgaon Branch Repeat GL Prospect Clients List</t>
  </si>
  <si>
    <t xml:space="preserve">helpdesk@ujjivan.com; </t>
  </si>
  <si>
    <t xml:space="preserve">helpdeskdelhi@ujjivan.com; </t>
  </si>
  <si>
    <t xml:space="preserve">helpdeskkolkata@ujjivan.com; </t>
  </si>
  <si>
    <t xml:space="preserve">helpdeskwest@ujjivan.com; </t>
  </si>
  <si>
    <t>sanjib.sarkar@ujjivan.com</t>
  </si>
  <si>
    <t>UJJ04925-Sanjib Kumar Sarkar</t>
  </si>
  <si>
    <t>Branch Code</t>
  </si>
  <si>
    <t>E-mail</t>
  </si>
  <si>
    <t>shekhar.poojary@ujjivan.com</t>
  </si>
  <si>
    <t>kirankumar.ks@ujjivan.com</t>
  </si>
  <si>
    <t>vineethkumar.v@ujjivan.com</t>
  </si>
  <si>
    <t>umamaheswari.s@ujjivan.com</t>
  </si>
  <si>
    <t>anand.rajkumar@ujjivan.com</t>
  </si>
  <si>
    <t>ashwin.prakash@ujjivan.com</t>
  </si>
  <si>
    <t>suresh.poojary@ujjivan.com</t>
  </si>
  <si>
    <t>harshith.hn@ujjivan.com</t>
  </si>
  <si>
    <t>allisab.j@ujjivan.com</t>
  </si>
  <si>
    <t>shrungeshwara.cn@ujjivan.com</t>
  </si>
  <si>
    <t>sureshkumar.komali@ujjivan.com</t>
  </si>
  <si>
    <t>rajaguru.i@ujjivan.com</t>
  </si>
  <si>
    <t>muralidharan.n@ujjivan.com</t>
  </si>
  <si>
    <t>basantakumar.pasupalak@ujjivan.com</t>
  </si>
  <si>
    <t>yathisha.hb@ujjivan.com</t>
  </si>
  <si>
    <t>arasu.sokkalingam@ujjivan.com</t>
  </si>
  <si>
    <t>padmaprabha.gm@ujjivan.com</t>
  </si>
  <si>
    <t>naveen.upadhye@ujjvan.com</t>
  </si>
  <si>
    <t>kanakaraj.a@ujjivan.com</t>
  </si>
  <si>
    <t>boopathy.p@ujjivan.com</t>
  </si>
  <si>
    <t>anand.ravindran@ujjivan.com</t>
  </si>
  <si>
    <t>vijaya.prakash@ujjivan.com</t>
  </si>
  <si>
    <t>vijayakumar.kp@ujjivan.com</t>
  </si>
  <si>
    <t>jothy.vasagam@ujjivan.com</t>
  </si>
  <si>
    <t>balamurugan.subburaj@ujjivan.com</t>
  </si>
  <si>
    <t>srinath.r@ujjivan.com</t>
  </si>
  <si>
    <t>amudha.s@ujjivan.com</t>
  </si>
  <si>
    <t>p.rajasekar@ujjivan.com</t>
  </si>
  <si>
    <t>email1</t>
  </si>
  <si>
    <t>email2</t>
  </si>
  <si>
    <t>COM Mail ID</t>
  </si>
  <si>
    <t>AOM Mail ID</t>
  </si>
  <si>
    <t>amol.bhamre@ujjivan.com</t>
  </si>
  <si>
    <t>aniruddha.hande@ujjivan.com</t>
  </si>
  <si>
    <t>amit.kokare@ujjivan.com</t>
  </si>
  <si>
    <t>pravesh.jain@ujjivan.com</t>
  </si>
  <si>
    <t>dhanashri.kashalkar@ujjivan.com</t>
  </si>
  <si>
    <t>saroj.dariyani@ujjivan.com</t>
  </si>
  <si>
    <t>yogesh.lele@ujjivan.com</t>
  </si>
  <si>
    <t>rahul.waghmare@ujjivan.com</t>
  </si>
  <si>
    <t>arun.parmar@ujjivan.com</t>
  </si>
  <si>
    <t>chandresh.kharadi@ujjivan.com</t>
  </si>
  <si>
    <t>naresh.magnani@ujjivan.com</t>
  </si>
  <si>
    <t>nilesh.narwaney@ujjivan.com</t>
  </si>
  <si>
    <t>bhavik.pandya@ujjivan.com</t>
  </si>
  <si>
    <t>kartik.thakkar@ujjivan.com</t>
  </si>
  <si>
    <t>krushna.umarao@ujjivan.com</t>
  </si>
  <si>
    <t>abhijit.jadhav@ujjivan.com</t>
  </si>
  <si>
    <t>ramakrishnan.chandrasekaran@ujjivan.com</t>
  </si>
  <si>
    <t>pratik.parsana@ujjivan.com</t>
  </si>
  <si>
    <t>west-bilaspur-branch@ujjivan.com;kamlesh.rajpoot@ujjivan.com;aalok.tiwari@ujjivan.com;mohit.pilani@ujjivan.com</t>
  </si>
  <si>
    <t>west-rajnandgaon-branch;manish.madre@ujjivan.com;pradnyawant.patode@ujjivan.com;mohit.pilani@ujjivan.com</t>
  </si>
  <si>
    <t>west-devendranagar-branch@ujjivan.com;akhilesh.mishra@ujjivan.com;prabhash.jha@ujjivan.com;aalok.tiwari@ujjivan.com;mohit.pilani@ujjivan.com</t>
  </si>
  <si>
    <t>west-aamapara-branch@ujjivan.com;ayush.tiwari@ujjivan.com;aalok.tiwari@ujjivan.com;mohit.pilani@ujjivan.com</t>
  </si>
  <si>
    <t>west-durg-branch@ujjivan.com;virendra.dubey@ujjivan.com;pradnyawant.patode@ujjivan.com;mohit.pilani@ujjivan.com</t>
  </si>
  <si>
    <t>west-ankleshwar-branch@ujjivan.com;ccr.ankaleshwar@ujjivan.com;dharmesh.vaghela@ujjivan.com;barkatali.vadhvania@ujjivan.com;ashok.gosawi@ujjivan.com</t>
  </si>
  <si>
    <t>west-bhillai-branch@ujjivan.com;p.rambabu@ujjivan.com;pradnyawant.patode@ujjivan.com;mohit.pilani@ujjivan.com;sandeep.kumaryadav@ujjivan.com</t>
  </si>
  <si>
    <t>helpdeskwest@ujjivan.com;vijay.choudhary@ujjivan.com;shiv.thanvi@ujjivan.com</t>
  </si>
  <si>
    <t>ccr-akurdi@ujjivan.com;west-akurdi-branch@ujjivan.com;dinesh.bidkar@ujjivan.com;tushar.mali@ujjivan.com;anil.patil@ujjivan.com;amar.adiwarekar@ujjivan.com</t>
  </si>
  <si>
    <t>murali.mohan@ujjivan.com ;</t>
  </si>
  <si>
    <t xml:space="preserve"> deepak.duttatrey@ujjivan.com</t>
  </si>
  <si>
    <t>deepak.duttatrey@ujjivan.com</t>
  </si>
  <si>
    <t>rahul.singh@ujjivan.com</t>
  </si>
  <si>
    <t>dharmendra.sharma@ujjivan.com</t>
  </si>
  <si>
    <t>UJJ03683-Dharmendra Kumar Sharma</t>
  </si>
  <si>
    <t xml:space="preserve">ccr-hadapsar@ujjivan.com;anas.ahmad@ujjivan.com;parameshwari.suryavanshi@ujjivan.com;anita.musudage@ujjivan.com </t>
  </si>
  <si>
    <t>ccr-chakala@ujjivan.com;arun.jagtap@ujjivan.com;priya.gaikwad@ujjivan.com</t>
  </si>
  <si>
    <t>west-pimpri-branch@ujjivan.com;;ccr-pimpri@ujjivan.com;kunal.deokar@ujjivan.com;sandeep.gadre@ujjivan.com;yogesh.kamble@ujjivan.com</t>
  </si>
  <si>
    <t>west-punesouth-branch@ujjivan.com;ccr-swargate@ujjivan.com;pravin.singh@ujjivan.com;dinesh.fulambarkar@ujjivan.com;atul.mule@ujjivan.com;yogesh.kamble@ujjivan.com</t>
  </si>
  <si>
    <t>UJJ02471-Arindam  Mandal</t>
  </si>
  <si>
    <t>UJJ22181-Sanesh K T</t>
  </si>
  <si>
    <t>UJJ05949-Vishwanatha N V</t>
  </si>
  <si>
    <t>UJJ21025-Ashakiran T P</t>
  </si>
  <si>
    <t>ashakiran.tp@ujjivan.com</t>
  </si>
  <si>
    <t>bharath.m@ujjivan.com;sivakumar.h@ujjivan.com</t>
  </si>
  <si>
    <t>hitesh.borah@ujjivan.com</t>
  </si>
  <si>
    <t>UJJ12305</t>
  </si>
  <si>
    <t>santosh.haradi@ujjivan.com</t>
  </si>
  <si>
    <t>sunilkumar.shantinath@ujjivan.com;santosh.haradi@ujjivan.com</t>
  </si>
  <si>
    <t>west-navimumbai-branch@ujjivan.com;ccr-navimumbai@ujjivan.com;utkarsh.tawade@ujjivan.com;sumaiya.qureshi@ujjivan.com;manoj.bamne@ujjivan.com;gupta.mahesh@ujjivan.com;prashant.jadhav@ujjivan.com;jitendra.sodhi@ujjivan.com;sagar.chavan@ujjivan.com;tanveer.khan@ujjivan.com;kaveri.pawar@ujjivan.com;sunil.parab@ujjivan.com;</t>
  </si>
  <si>
    <t>west-thane-branch@ujjivan.com;ccr-thane@ujjivan.com;bhushan.belwale@ujjivan.com;gupta.mahesh@ujjivan.com;prashant.jadhav@ujjivan.com;gaurav.pawar@ujjivan.com;gaurav.oberoi@ujjivan.com;jitendra.sodhi@ujjivan.com;sagar.chavan@ujjivan.com;shekhar.jagtap@ujjivan.com;rahul.ghate@ujjivan.com;shekhar.jagtap@ujjivan.com;anil.gupta@ujjivan.com;sunil.parab@ujjivan.com;</t>
  </si>
  <si>
    <t>west-chembur-branch@ujjivan.com;ccr-chembur@ujjivan.com;amar.lagad@ujjivan.com;prashant.jadhav@ujjivan.com;jitendra.sodhi@ujjivan.com;mahesh.rane@ujjivan.com;mahesh.gupta@ujjivan.com;Sanjay.kalwar@ujjivan.com;amol.pawar@ujjivan.com;kailash.chaudhari@ujjivan.com ;rameshwar.chaudhari@ujjivan.com;amravati.kori@ujjivan.com;amravati.kori@ujjivan.com;nikul.bhandari@ujjivan.com;prashant.jadhav@ujjivan.com;yogesh.sanap@ujjivan.com;rupesh.khatri@ujjivan.com;amol.joshi@ujjivan.com;sachin.rewale@ujjivan.com;nilofer.khan@ujjivan.com;sunil.parab@ujjivan.com</t>
  </si>
  <si>
    <t>west-govandi-branch@ujjivan.com;ccr-mankhurd@ujjivan.com;pappu.saroj@ujjivan.com;hitesh.rohra@ujjivan.com;gupta.mahesh@ujjivan.com;rajesh.gurav@ujjivan.com;prashant.jadhav@ujjivan.com;jitendra.sodhi@ujjivan.com;mahesh.rane@ujjivan.com;Sanjay.kalwar@ujjivan.com;sandeep.yadav@ujjivan.com;gaurav.oberoi@ujjivan.com;kailas.gaikwad@ujjivan.com;kanchan.dalvi@ujjivan.com;akshay.gurav@ujjivan.com;sunil.parab@ujjivan.com;sachin.rewale@ujjivan.com;</t>
  </si>
  <si>
    <t>kalyan@ujjivan.com;ccr-kalyan@ujjivan.com;dipmala.jadhav@ujjivan.com;tanaji.bansode@ujjivan.com;rupesh.salunkh@ujjivan.com;gupta.mahesh@ujjivan.com;prashant.jadhav@ujjivan.com;gaurav.oberoi@ujjivan.com;jitendra.sodhi@ujjivan.com;Sanjay.kalwar@ujjivan.com;rahul.kushwaha@ujjivan.com;pravin.pargharmor@ujjivan.com;gunjan.singh@ujjivan.com;amit.sawant@ujjivan.com;amarnath.kumhar@ujjivan.com;sunil.parab@ujjivan.com;</t>
  </si>
  <si>
    <t>west-ambernath-branch@ujjivan.com;ccr-ambernath@ujjivan.com;soniya.bhagat@ujjivan.com;dhammapal.magare@ujjivan.com;yogesh.pawar@ujjivan.com;gupta.mahesh@ujjivan.com;rakesh.athavale@ujjivan.com;jitendra.sodhi@ujjivan.com;gupta.mahesh@ujjivan.com;Sanjay.kalwar@ujjivan.com;kavita.mahadik@ujjivan.com;kailash.chaudhari@ujjivan.com ;sandeep.yadav@ujjivan.com;sunil.parab@ujjivan.com;vinod.sonawane@ujjivan.com;</t>
  </si>
  <si>
    <t>west-kalwa-branch@ujjivan.com;ccr-kalwa@ujjivan.com;singh.vijay@ujjivan.com;kalpana.chavan@ujjivan.com;gupta.mahesh@ujjivan.com;yogesh.shinde@ujjivan.com;prashant.jadhav@ujjivan.com;vijay.bhalerao@ujjivan.com;gaurav.oberoi@ujjivan.com;jitendra.sodhi@ujjivan.com;Sanjay.kalwar@ujjivan.com;rahul.kushwaha@ujjivan.com;pravin.pargharmor@ujjivan.com;rahul.kushwaha@ujjivan.com;karan.ambavle@ujjivan.com;archana.shaha@ujjivan.com;sunil.parab@ujjivan.com;yogesh.nagargoje@ujjivan.com;</t>
  </si>
  <si>
    <t>west-mulund-branch@ujjivan.com;ccr.mulund@ujjivan.com;darshana.kumbhar@ujjivan.com;jayesh.vesvikar@ujjivan.com;sachin.mandavkar@ujjivan.com;hiren.karolia@ujjivan.com;yogesh.shinde@ujjivan.com;prashant.jadhav@ujjivan.com;tanveer.khan@ujjivan.com;jitendra.sodhi@ujjivan.com;mahesh.gupta@ujjivan.com;Sanjay.kalwar@ujjivan.com;nikul.bhandari@ujjivan.com;sandeep.yadav@ujjivan.com;Dilip.yadav@ujjivan.com;kaveri.pawar@ujjivan.com;shankar.jadhav@ujjivan.com;dipali.bhurke@ujjivan.com;sunil.parab@ujjivan.com;omkar.malwade@ujjivan.com;</t>
  </si>
  <si>
    <t>west-chakala-branch@ujjivan.com;west-chandivali-branch@ujjivan.com;ccr-chandivali@ujjivan.com;arun.jagtap@ujjivan.com;pandurang.shinde@ujjivan.com;vaishali.kamble@ujjivan.com;aniket.tamuche@ujjivan.com;hiren.karolia@ujjivan.com;umakant.yadav@ujjivan.com;prashant.jadhav@ujjivan.com;priya.gaikwad@ujjivan.com;tanveer.khan@ujjivan.com;jitendra.sodhi@ujjivan.com;gupta.mahesh@ujjivan.com;Sanjay.kalwar@ujjivan.com;aditya.tripathi@ujjivan.com;sunil.parab@ujjivan.com;</t>
  </si>
  <si>
    <t>west-goregaon-branch@ujjivan.com;ccr.goregaon@ujjivan.com;dadasaheb.ghode@ujjivan.com;dhanraj.more@ujjivan.com;amol.pawar@ujjivan.com;prashant.jadhav@ujjivan.com;santhosh.acharya@ujjivan.com;tanveer.khan@ujjivan.com;jitendra.sodhi@ujjivan.com;gupta.mahesh@ujjivan.com;Sanjay.kalwar@ujjivan.com;mahesh.rane@ujjivan.com;mahendra.nikam@ujjivan.com;sunil.parab@ujjivan.com;</t>
  </si>
  <si>
    <t>west-borivali-branch@ujjivan.com;ccr.borivali@ujjivan.com;anil.bhosle@ujjivan.com;kailas.gaikwad@ujjivan.com;amol.pawar@ujjivan.com;prashant.jadhav@ujjivan.com;jitendra.sodhi@ujjivan.com;gupta.mahesh@ujjivan.com;Sanjay.kalwar@ujjivan.com;mahesh.rane@ujjivan.com;abhijeet.das@ujjivan.com;kailash.chaudhari@ujjivan.com ;deepika.deori@ujjivan.com;yogesh.bodke@ujjivan.com;sunil.parab@ujjivan.com;</t>
  </si>
  <si>
    <t>west-wadala-branch@ujjivan.com;ccr-wadala@ujjivan.com;mahendra.kamble@ujjivan.com;meena. Jangate;narayan.thorat@ujjivan.com;hiren.karolia@ujjivan.com;mahesh.rane@ujjivan.com;prashant.jadhav@ujjivan.com;ameet.usakoyall@ujjivan.com;jitendra.sodhi@ujjivan.com;gupta.mahesh@ujjivan.com;Sanjay.kalwar@ujjivan.com;sagar.chavan@ujjivan.com;kailash.chaudhari@ujjivan.com ;rakesh.athavale@ujjivan.com;sanjay.kalwar@ujjivan.com;nandan.yadav@ujjivan.com;sunil.parab@ujjivan.com</t>
  </si>
  <si>
    <t>west-santacruz-branch@ujjivan.com;ccr.santacruz@ujjivan.com;daulat.jeliya@ujjivan.com;bhagyashri.garade@ujjivan.com;digambar.sharma@ujjivan.com;karishma.desai@ujjivan.com;hiren.karolia@ujjivan.com;umakant.yadav@ujjivan.com;tanveer.khan@ujjivan.com;jitendra.sodhi@ujjivan.com;gupta.mahesh@ujjivan.com;Sanjay.kalwar@ujjivan.com;santhosh.acharya@ujjivan.com;ravi.kakade@ujjivan.com;vinod.sonawane@ujjivan.com;sunil.parab@ujjivan.com;</t>
  </si>
  <si>
    <t>west-bhiwandi-branch@ujjivan.com;ccr-bhiwandi@ujjivan.com;prashant.wadkar@ujjivan.com ;rahul.lohar@ujjivan.com;shoeb.shaikh@ujjivan.com;yogesh.shinde@ujjivan.com;prashant.jadhav@ujjivan.com;vijay.bhalerao@ujjivan.com;gaurav.oberoi@ujjivan.com;jitendra.sodhi@ujjivan.com;gupta.mahesh@ujjivan.com;Sanjay.kalwar@ujjivan.com;rahul.kushwaha@ujjivan.com;kavita.mahadik@ujjivan.com;geeta.nora@ujjivan.com;sunil.parab@ujjivan.com;singh.vijay@ujjivan.com;</t>
  </si>
  <si>
    <t>west-panvel-branch@ujjivan.com;ccr-panvel@ujjivan.com;mukesh.k@ujjivan.com;ravindra.sonvalkar@ujjivan.com;hiren.karolia@ujjivan.com;amarnath.kumhar@ujjivan.com;prashant.jadhav@ujjivan.com;kanchan.dalvi@ujjivan.com;gaurav.oberoi@ujjivan.com;jitendra.sodhi@ujjivan.com;gupta.mahesh@ujjivan.com;Sanjay.kalwar@ujjivan.com;ccr-chembur@ujjivan.com;laxman.jetithor@ujjivan.com;amarnath.kumhar@ujjivan.com;sunil.parab@ujjivan.com;</t>
  </si>
  <si>
    <t>faisal.mahmood@ujjivan.com</t>
  </si>
  <si>
    <t>email3</t>
  </si>
  <si>
    <t>BR ID</t>
  </si>
  <si>
    <t>Branch Name</t>
  </si>
  <si>
    <t>Mail ID For Micro</t>
  </si>
  <si>
    <t>west-punenorth-branch@ujjivan.com;ccr-punenorth@ujjivan.com; arun.pawar@ujjivan.com;kailas.isale@ujjivan.com;shrikant.walunj@ujjivan.com;himanshu.mittal@ujjivan.com;hemant.awade@ujjivan.com;sameer.shaikh@ujjivan.com;sunil.khanekar@ujjivan.com;yogesh.vankar@ujjivan.com;abhijeet.bhadange@ujjivan.com;mangesh.waikar@ujjivan.com;</t>
  </si>
  <si>
    <t>4403-Swargate</t>
  </si>
  <si>
    <t>west-swargate-branch@ujjivan.com;ccr-swargate@ujjivan.com;dinesh.fulambarkar@ujjivan.com;atul.mule@ujjivan.com;tushar.upase@ujjivan.com;ramesh.kamble@ujjivan.com;hemant.awade@ujjivan.com;santosh.khaire@ujjivan.com;pravin.singh@ujjivan.com;sudhakar.ighare@ujjivan.com;abhijeet.bhadange@ujjivan.com;aba.kesbhat@ujjivan.com;bhagwat.shelke@ujjivan.com;kunal.devkar@ujjivan.com</t>
  </si>
  <si>
    <t>4404-Hadapsar</t>
  </si>
  <si>
    <t>west-hadapsar-branch@ujjivan.com;ccr-hadpsar@ujjivan.com;vishal.ingale@ujjivan.com;mangesh.waikar@ujjivan.com;hemant.awade@ujjivan.com;santosh.khaire@ujjivan.com;parameshwari.suryavanshi@ujjivan.com;anita.musudage@ujjivan.com;himanshu.mittal@ujjivan.com;anas.ahmad@ujjivan.com;abhijeet.bhadange@ujjivan.com;sudhakar.ighare@ujjivan.com</t>
  </si>
  <si>
    <t>4406-Akurdi</t>
  </si>
  <si>
    <t>west-akurdi-branch@ujjivan.com;ccr-akurdi@ujjivan.com;gajanan.bande@ujjivan.com;tushar.mali@ujjivan.com;anil.patil@ujjivan.com;himanshu.mittal@ujjivan.com;hemant.awade@ujjivan.com;ramesh.kamble@ujjivan.com;dinesh.bidkar@ujjivan.com;ravi.arkal@ujjivan.com;nikhil.patil@ujjivan.com;abhijeet.bhadange@ujjivan.com;rajesh.patil@ujjivan.com</t>
  </si>
  <si>
    <t>4407-Pimpri</t>
  </si>
  <si>
    <t>west-pimpri-branch@ujjivan.com;ccr-pimpri@ujjivan.com;sandeep.gadre@ujjivan.com;himanshu.mittal@ujjivan.com;hemant.awade@ujjivan.com;ramesh.kamble@ujjivan.com;abhijeet.bhadange@ujjivan.com;nikhil.patil@ujjivan.com;ashish.tiwari@ujjivan.com;tabassum.shaikh@ujjivan.com;makarand.mangle@ujjivan.com;rushikesh.yogi@ujjivan.com;himanshu.mittal@ujjivan.com; hemant.awade@ujjivan.com;ramesh.kamble@ujjivan.com;ravi.arkal@ujjivan.com;atul.mule@ujjivan.com;satish.dahikar@ujjivan.com;rajesh.patil@ujjivan.com;</t>
  </si>
  <si>
    <t>4408-Pune West</t>
  </si>
  <si>
    <t>west-punewest-branch@ujjivan.com;ccr.punewest@ujjivan.com;parshuram.kamble@ujjivan.com;prasad.bhavsar@ujjivan.com;mangesh.waikar@ujjivan.com;prasad.chavan@ujjivan.com;hemant.awade@ujjivan.com;rahul.devne@ujjivan.com;ravi.arkal@ujjivan.com;tushar.upase@ujjivan.com;abhijeet.bhadange@ujjivan.com;pravin.singh@ujjivan.com</t>
  </si>
  <si>
    <t>4409-Nashik Road</t>
  </si>
  <si>
    <t>west-nashikroad-branch@ujjivan.com;ccr-nashikroad@ujjivan.com;ananta.chaudhari@ujjivan.com;ravindra.avhad@ujjivan.com;gayatri.patil@ujjivan.com;deepak.jagtap@ujjivan.com;kausalya.sirgire@ujjivan.com;nitin.hemade@ujjivan.com;Ashok.gosawi@ujjivan.com;amar.patil@ujjivan.com;kabir.jadhav@ujjivan.com;somnath.dube@ujjivan.com;sunil.mali@ujjivan.com</t>
  </si>
  <si>
    <t>4410-Cidco</t>
  </si>
  <si>
    <t>west-cidco-branch@ujjivan.com;ccr-cidco@ujjivan.com;vaishali.charbhe@ujjivan.com;balu.andhale@ujjivan.com;santosh.mundhe@ujjivan.com;sameer.gadigaonkar@ujjivan.com;induben.jadav@ujjivan.com;kausalya.sirgire@ujjivan.com;nitin.hemade@ujjivan.com;Chandrakant.suryawanshi@ujjivan.com;amar.patil@ujjivan.com</t>
  </si>
  <si>
    <t>4411-Navi Mumbai</t>
  </si>
  <si>
    <t>4412-Thane</t>
  </si>
  <si>
    <t>west-thane-branch@ujjivan.com;ccr-thane@ujjivan.com;bhushan.belwale@ujjivan.com;gupta.mahesh@ujjivan.com;prashant.jadhav@ujjivan.com;gaurav.pawar@ujjivan.com;gaurav.oberoi@ujjivan.com;jitendra.sodhi@ujjivan.com;sagar.chavan@ujjivan.com;shekhar.jagtap@ujjivan.com;shekhar.jagtap@ujjivan.com;anil.gupta@ujjivan.com;sunil.parab@ujjivan.com;</t>
  </si>
  <si>
    <t>4413-Chembur</t>
  </si>
  <si>
    <t>4414-Govandi Mankhurd</t>
  </si>
  <si>
    <t>west-govandi-branch@ujjivan.com;ccr-mankhurd@ujjivan.com;pappu.saroj@ujjivan.com;gupta.mahesh@ujjivan.com;rajesh.gurav@ujjivan.com;prashant.jadhav@ujjivan.com;jitendra.sodhi@ujjivan.com;mahesh.rane@ujjivan.com;Sanjay.kalwar@ujjivan.com;sandeep.yadav@ujjivan.com;gaurav.oberoi@ujjivan.com; kanchan.dalvi@ujjivan.com;akshay.gurav@ujjivan.com;sunil.parab@ujjivan.com;sachin.rewale@ujjivan.com;</t>
  </si>
  <si>
    <t>4415-Katraj</t>
  </si>
  <si>
    <t>katraj@ujjivan.com;ccr-katraj@ujjivan.com;deepak.markad@ujjivan.com;tushar.upase@ujjivan.com;ramesh.kamble@ujjivan.com;hemant.awade@ujjivan.com;santosh.khaire@ujjivan.com;nikhil.patil@ujjivan.com;Vishal.Darvatkar@ujjivan.com;shahir.khandagale@ujjivan.com;abhijeet.bhadange@ujjivan.com;vikash.singh@ujjivan.com;mangesh.waikar@ujjivan.com</t>
  </si>
  <si>
    <t>4416-Kalyan</t>
  </si>
  <si>
    <t>kalyan@ujjivan.com;ccr-kalyan@ujjivan.com;dipmala.jadhav@ujjivan.com;tanaji.bansode@ujjivan.com;gupta.mahesh@ujjivan.com;prashant.jadhav@ujjivan.com;gaurav.oberoi@ujjivan.com;jitendra.sodhi@ujjivan.com;Sanjay.kalwar@ujjivan.com;rahul.kushwaha@ujjivan.com;pravin.pargharmor@ujjivan.com;gunjan.singh@ujjivan.com;amit.sawant@ujjivan.com;amarnath.kumhar@ujjivan.com;sunil.parab@ujjivan.com;</t>
  </si>
  <si>
    <t>4419-Ambernath</t>
  </si>
  <si>
    <t>4420-Kalwa</t>
  </si>
  <si>
    <t>west-kalwa-branch@ujjivan.com;ccr-kalwa@ujjivan.com;kalpana.chavan@ujjivan.com;gupta.mahesh@ujjivan.com;yogesh.shinde@ujjivan.com;prashant.jadhav@ujjivan.com;vijay.bhalerao@ujjivan.com;gaurav.oberoi@ujjivan.com;jitendra.sodhi@ujjivan.com;Sanjay.kalwar@ujjivan.com;rahul.kushwaha@ujjivan.com;pravin.pargharmor@ujjivan.com;rahul.kushwaha@ujjivan.com;archana.shaha@ujjivan.com;sunil.parab@ujjivan.com;yogesh.nagargoje@ujjivan.com;</t>
  </si>
  <si>
    <t>4422-Mulund</t>
  </si>
  <si>
    <t>4423-Nashik Central</t>
  </si>
  <si>
    <t>west-nashikcity-branch@ujjivan.com;ccr-nashikcity@ujjivan.com;kundan.patil@ujjivan.com;hemlata.pande@ujjivan.com;kausalya.sirgire@ujjivan.com;nitin.hemade@ujjivan.com;amar.patil@ujjivan.com;shital.satpute@ujjivan.com;nayan.thorat@ujjivan.com;Amol.ahirrao@ujjivan.com</t>
  </si>
  <si>
    <t>4424-Panchavati</t>
  </si>
  <si>
    <t>west-panchavati-branch@ujjivan.com;ccr-panchavati@ujjivan.com;harshada.patil@ujjivan.com;somnath.chaudhari@ujjivan.com;rekha.sanap@ujjivan.com;shekhar.pardeshi@ujjivan.com;kausalya.sirgire@ujjivan.com;nitin.hemade@ujjivan.com;Chandrakant.suryawanshi@ujjivan.com ;sunil.mali@ujjivan.com;amar.patil@ujjivan.com;vaibhav.wagh@ujjivan.com;</t>
  </si>
  <si>
    <t>4427-Chakala</t>
  </si>
  <si>
    <t>west-chakala-branch@ujjivan.com;west-chandivali-branch@ujjivan.com;ccr-chandivali@ujjivan.com;arun.jagtap@ujjivan.com;pandurang.shinde@ujjivan.com;vaishali.kamble@ujjivan.com;aniket.tamuche@ujjivan.com;hiren.karolia@ujjivan.com;umakant.yadav@ujjivan.com;prashant.jadhav@ujjivan.com;priya.gaikwad@ujjivan.com;tanveer.khan@ujjivan.com;jitendra.sodhi@ujjivan.com;gupta.mahesh@ujjivan.com;Sanjay.kalwar@ujjivan.com;aditya.tripathi@ujjivan.com;sunil.parab@ujjivan.com;ravindra.kharat@ujjivan.com;</t>
  </si>
  <si>
    <t>4428-Udhana</t>
  </si>
  <si>
    <t>west-udhana-branch@ujjivan.com;ccr-udhana@ujjivan.com;milan.tarsariya@ujjivan.com;bhautik.kanani@ujjivan.com;girish.gamit@ujjivan.com;sushil.patil@ujjivan.com;naresh.dolar@ujjivan.com;rajesh.khedkar@ujjivan.com;sumit.shrivastav@ujjivan.com;gaurang.sonigra@ujjivan.com;sumit.shrivastav@ujjivan.com;hitarth.trivedi@ujjivan.com;himanshu.chauhan@ujjivan.com;ekta.kanthariya@ujjivan.com;bhishma.mahajan@ujjivan.com;dharmesh.mahyavanshi@ujjivan.com;sagar.bavishi@ujjivan.com;jaydeep.ghaskata@ujjivan.com;rohan.shirsath@ujjivan.com;jaydeep.vaghasiya@ujjivan.com;ahmed.lathiya@ujjivan.com;manish.rana@ujjivan.com</t>
  </si>
  <si>
    <t>4430-Parvat Gam</t>
  </si>
  <si>
    <t>west-limbayat-branch@ujjivan.com;ccr-limbayat@ujjivan.com;rahulkumar.paghdal@ujjivan.com;alpesh.surti@ujjivan.com;dashrath.rabari@ujjivan.com;dhananjay.wagh@ujjivan.com;jenish.lapsiwala@ujjivan.com;rajesh.khedkar@ujjivan.com;bhavin.surani@ujjivan.com;Dharmesh.Patil@ujjivan.com;hitarth.trivedi@ujjivan.com;bhavtik.barvaliya@ujjivan.com;vivek.kheni@ujjivan.com;vishal.sandanshiv@ujjivan.com;manish.rana@ujjivan.com</t>
  </si>
  <si>
    <t>4431-Varachha</t>
  </si>
  <si>
    <t>west-varachha-branch@ujjivan.com;ccr.varachha@ujjivan.com;prakash.patel@ujjivan.com;vimal.bhalani@ujjivan.com;yogesh.chaudhari@ujjivan.com;prakash.bhitora@ujjivan.com;rajesh.khedkar@ujjivan.com;punit.patel@ujjivan.com;hitarth.trivedi@ujjivan.com;dnyaneshwar.wakadikar@ujjivan.com;naresh.parmar@ujjivan.com;denishkumar.bhandari@ujjivan.com;yashpal.jadhav@ujjivan.com;keval.moradiya@ujjivan.com;rajesh.khedkar@ujjivan.com;gaurang.sonigra@ujjivan.com;himanshu.chauhan@ujjivan.com;kalpesh.moradiya@ujjivan.com;denishkumar.bhandari@ujjivan.com;manish.rana@ujjivan.com</t>
  </si>
  <si>
    <t>4432-Chandan Nagar</t>
  </si>
  <si>
    <t>west-chandannagar-branch@ujjivan.com;ccr-west.chandannagar@ujjivan.com;prashant.kawade@ujjivan.com;narendra.ramteke@ujjivan.com;tanaji.motegaonkar@ujjivan.com;shrikant.walunj@ujjivan.com;himanshu.mittal@ujjivan.com;sudhakar.ighare@ujjivan.com;hemant.awade@ujjivan.com;rahul.devne@ujjivan.com;abhijeet.bhadange@ujjivan.com;poonam.selakoti@ujjivan.com</t>
  </si>
  <si>
    <t>4433-Goregaon</t>
  </si>
  <si>
    <t>west-goregaon-branch@ujjivan.com;ccr.goregaon@ujjivan.com;dadasaheb.ghode@ujjivan.com;dhanraj.more@ujjivan.com;amol.pawar@ujjivan.com;prashant.jadhav@ujjivan.com;santhosh.acharya@ujjivan.com;tanveer.khan@ujjivan.com;jitendra.sodhi@ujjivan.com;gupta.mahesh@ujjivan.com;Sanjay.kalwar@ujjivan.com;mahesh.rane@ujjivan.com;mahendra.nikam@ujjivan.com;sunil.parab@ujjivan.com;mahesh.gupta@ujjivan.com</t>
  </si>
  <si>
    <t>4435-Borivali</t>
  </si>
  <si>
    <t>west-borivali-branch@ujjivan.com;ccr.borivali@ujjivan.com;anil.bhosle@ujjivan.com;kailas.gaikwad@ujjivan.com;amol.pawar@ujjivan.com;prashant.jadhav@ujjivan.com;jitendra.sodhi@ujjivan.com;gupta.mahesh@ujjivan.com;Sanjay.kalwar@ujjivan.com;mahesh.rane@ujjivan.com;abhijeet.das@ujjivan.com;kailash.chaudhari@ujjivan.com ;deepika.deori@ujjivan.com;yogesh.bodke@ujjivan.com;sunil.parab@ujjivan.com;mahesh.gupta@ujjivan.com;</t>
  </si>
  <si>
    <t>4436-Wadala</t>
  </si>
  <si>
    <t>west-wadala-branch@ujjivan.com;ccr-wadala@ujjivan.com;mahendra.kamble@ujjivan.com;meena. Jangate;narayan.thorat@ujjivan.com;hiren.karolia@ujjivan.com;mahesh.rane@ujjivan.com;prashant.jadhav@ujjivan.com;ameet.usakoyall@ujjivan.com;jitendra.sodhi@ujjivan.com;gupta.mahesh@ujjivan.com;sagar.chavan@ujjivan.com;kailash.chaudhari@ujjivan.com ;rakesh.athavale@ujjivan.com;sanjay.kalwar@ujjivan.com;nandan.yadav@ujjivan.com;sunil.parab@ujjivan.com</t>
  </si>
  <si>
    <t>4438-Santacruz</t>
  </si>
  <si>
    <t>4441-Navasari</t>
  </si>
  <si>
    <t>west-navsari-branch@ujjivan.com;ccr-navsari@ujjivan.com;alpesh.surti@ujjivan.com;bhoomika.khamkar@ujjivan.com;manoj.parekh@ujjivan.com;surendra.rajput@ujjivan.com;ruchira.patel@ujjivan.com;rajesh.khedkar@ujjivan.com;himanshu.chauhan@ujjivan.com;hitarth.trivedi@ujjivan.com;ekta.kanthariya@ujjivan.com;dnyaneshwar.wakadikar@ujjivan.com;dipak.patil@ujjivan.com;manish.rana@ujjivan.com;vivek.mistry@ujjivan.com</t>
  </si>
  <si>
    <t>4442-Harni Road</t>
  </si>
  <si>
    <t>west-north.vadodara-branch@ujjivan.com;ccr-baroda-north@ujjivan.com; bhautik.vekariya@ujjivan.com;anish.malik@ujjivan.com;samir.shah@ujjivan.com;rajay.nikam@ujjivan.com;nirav.vahalia@ujjivan.com;vijay.rohit@ujjivan.com;nikhil.kulshretsha@ujjivan.com;rajnikant.parmar@ujjivan.com;hitarth.trivedi@ujjivan.com;agarwal prashant@ujjivan.com;sumeet.parmar@ujjivan.com;anish.malik@ujjivan.com;daxesh.bariya@ujjivan.com;amit.thakur@ujjivan.com;pravin.parmar@ujjivan.com;manish.rana@ujjivan.com;agarwal.prashant@ujjivan.com</t>
  </si>
  <si>
    <t>4443-Makarpura Road</t>
  </si>
  <si>
    <t>west-south.vadodara-branch@ujjivan;ccr-baroda-south@ujjivan.com;sunita.rohit@ujjivan.com;snehal.shah@ujjivan.com;jitendra.sharma@ujjivan.com;nirav.vahalia@ujjivan.com;vijay.rohit@ujjivan.com;amit.thakur@ujjivan.com;mayur.dindorkar@ujjivan.com;hitarth.trivedi@ujjivan.com;gaurav.agrawal@ujjivan.com;akshay.joshi@ujjivan.com;bhautik.vekariya@ujjivan.com;manish.rana@ujjivan.com</t>
  </si>
  <si>
    <t>4445-West Vadodara</t>
  </si>
  <si>
    <t>west-west.vadodara-branch@ujjivan.com;ccr-baroda-west@ujjivan.com;manish.helaiya@ujjivan.com;kushal.parmar@ujjivan.com;hitesh.gangwani@ujjivan.com;hiten.patel@ujjivan.com;nirav.vahalia@ujjivan.com;vijay.rohit@ujjivan.com;amit.thakur@ujjivan.com;hitarth.trivedi@ujjivan.com;nilesh.parmar@ujjivan.com;daxesh.bariya@ujjivan.com;mayur.dindorkar@ujjivan.com;vijayshankar.rajput@ujjivan.com;manish.rana@ujjivan.com</t>
  </si>
  <si>
    <t>4447-Central Vadodara</t>
  </si>
  <si>
    <t>west-central.vadodara-branch@ujjivan.com;ccr-baroda-central@ujjivan.com;pravin.parmar@ujjivan.com;vikas.prajapati@ujjivan.com;kuntal.patel@ujjivan.com;kalidas.solanki@ujjivan.com;vijay.rohit@ujjivan.com;amit.thakur@ujjivan.com;nikhil.kulshretsha@ujjivan.com;hitarth.trivedi@ujjivan.com;vinod.khristi@ujjivan.com;hiten.patel@ujjivan.com;manish.rana@ujjivan.com;vijaykumar.rohit@ujjivan.com</t>
  </si>
  <si>
    <t>4448-Ankleshwar</t>
  </si>
  <si>
    <t>west-ankleshwar-branch@ujjivan.com;ccr.ankaleshwar@ujjivan.com;sushil.vijayvargiya@ujjivan.com;barkatali.vadhvania@ujjivan.com;nirav.vahalia@ujjivan.com;vijay.rohit@ujjivan.com;amit.thakur@ujjivan.com;hitarth.trivedi@ujjivan.com;dharmesh.vaghela@ujjivan.com;atul.patel@ujjivan.com;natvar.vasava@ujjivan.com;indrajeet.shirke@ujjivan.com;manish.rana@ujjivan.com;</t>
  </si>
  <si>
    <t>4449-Bharuch</t>
  </si>
  <si>
    <t>west-bharuch-branch@ujjivan.com;ccr-bharuch@ujjivan.com;bipinkumar.chauhan@ujjivan.com;dharmesh.vaghela@ujjivan.com;vivek.anand@ujjivan.com;nirav.vahalia@ujjivan.com;vijay.rohit@ujjivan.com;amit.thakur@ujjivan.com;hitarth.trivedi@ujjivan.com;vinod.khristi@ujjivan.com;atul.patel@ujjivan.com;shehjad.mistry@ujjivan.com;manish.rana@ujjivan.com</t>
  </si>
  <si>
    <t>4450-Ahmed Nagar</t>
  </si>
  <si>
    <t>west-ahmednagarcity-branch@ujjivan.com;ccr-ahmednagarcity@ujjivan.com;shrikant.rokade@ujjivan.com;nandkishor.wagh@ujjivan.com;amarpratap.singh@ujjivan.com;nitin.hemade@ujjivan.com;navnath.pendpale@ujjivan.com;jayant.kulkarni@ujjivan.com;santosh.khaire@ujjivan.com;aarti.sanga@ujjivan.com;vaibhav.dudhekar@ujjivan.com;shashi.ghorpade@ujjivan.com;somnath.dhamal@ujjivan.com;mali.ravi@ujjivan.com;amol.sonawane@ujjivan.com</t>
  </si>
  <si>
    <t>4452-Satara</t>
  </si>
  <si>
    <t>west-satara-branch@ujjivan.com;ccr-satara@ujjivan.com;rohit.sawant@ujjivan.com;dnyaneshwar.kulkarni@ujjivan.com;tushar.upase@ujjivan.com;amit.salunkhe@ujjivan.com;ramesh.chavan@ujjivan.com;hemant.awade@ujjivan.com;shivraj.more@ujjivan.com;ganesh.salunke@ujjivan.com;amar.jadhav@ujjivan.com;kedar.dahale@ujjivan.com;</t>
  </si>
  <si>
    <t>west-karad-branch@ujjivan.com;ccr-karad@ujjivan.com;amar.babar@ujjivan.com;milesh.patil@ujjivan.com;pankajkumar.tate@ujjivan.com;ganesh.salunke@ujjivan.com;ajay.patil@ujjivan.com;dnyaneshwar.kulkarni@ujjivan.com;tushar.upase@ujjivan.com;amit.salunkhe@ujjivan.com;ramesh.chavan@ujjivan.com;hemant.awade@ujjivan.com;rushiraj.hinukale@ujjivan.com;vikram.jadhav@ujjivan.com</t>
  </si>
  <si>
    <t>4454-Aurangabad City</t>
  </si>
  <si>
    <t>west-aurangabadcity-branch@ujjivan.com;ccr-aurangabadcity-branch@ujjivan.com;akash.kolshetwar@ujjivan.com;santosh.bahire@ujjivan.com;ranjeet.mali@ujjivan.com;paras.chaudhari@ujjivan.com;vaibhav.dudhekar@ujjivan.com;santosh.bhalerao@ujjivan.com;vinod.deshmukh@ujjivan.com;aditya.das@ujjivan.com</t>
  </si>
  <si>
    <t>4455-Aurangabad Cbs</t>
  </si>
  <si>
    <t>west-aurangabadcbs-branch@ujjivan.com;ccr-aurangabadcbs-branch@ujjivan.com;prafull.nirbhavane@ujjivan.com;sandip.dhole@ujjivan.com;kailash.bhoite@ujjivan.com;paras.chaudhari@ujjivan.com;vaibhav.dudhekar@ujjivan.com;ranjeet.mali@ujjivan.com;yogesh.bomble@ujjivan.com;vishal.jagdale@ujjivan.com</t>
  </si>
  <si>
    <t>4456-Bhivandi</t>
  </si>
  <si>
    <t>west-bhiwandi-branch@ujjivan.com;ccr-bhiwandi@ujjivan.com;rahul.lohar@ujjivan.com;yogesh.shinde@ujjivan.com;prashant.jadhav@ujjivan.com;vijay.bhalerao@ujjivan.com;gaurav.oberoi@ujjivan.com;jitendra.sodhi@ujjivan.com;gupta.mahesh@ujjivan.com;Sanjay.kalwar@ujjivan.com;rahul.kushwaha@ujjivan.com;kavita.mahadik@ujjivan.com;geeta.nora@ujjivan.com;sunil.parab@ujjivan.com;singh.vijay@ujjivan.com;</t>
  </si>
  <si>
    <t>4457-Vapi Daman</t>
  </si>
  <si>
    <t>west-vapi-branch@ujjivan.com;ccr-vapi@ujjivan.com;hitesh.chaudhari@ujjivan.com;manoj.mali@ujjivan.com;semalkumar.patel@ujjivan.com;sarfaraz.hussain@ujjivan.com;rajesh.khedkar@ujjivan.com;himanshu.chauhan@ujjivan.com;suraj.shah@ujjivan.com;hitarth.trivedi@ujjivan.com;dnyaneshwar.wakadikar@ujjivan.com;kiran.damare@ujjivan.com;manish.rana@ujjivan.com</t>
  </si>
  <si>
    <t>4458-South Solapur</t>
  </si>
  <si>
    <t>west-solapursouth-branch@ujjivan.com;ccr-solapursouth@ujjivan.com;pramod.pandit@ujjivan.com;sarika.patil@ujjivan.com;sachin.suryawanshi@ujjivan.com;abhijeet.bhadange@ujjivan.com;Sandeep.deshmukh@ujjivan.com;sameer.shaikh@ujjivan.com;benjamin.gaikwad@ujjivan.com;shreeram.walawe@ujjivan.com;pravin.ghule@ujjivan.com;mahamad.yaquob@ujjivan.com</t>
  </si>
  <si>
    <t>4459-North Solapur</t>
  </si>
  <si>
    <t>west-solapurnorth-branch@ujjivan.com;ccr-solapurnorth@ujjivan.com;arvind.sable@ujjivan.com;balkrishna.koukuntla@ujjivan.com;sachin.suryawanshi@ujjivan.com;abhijeet.bhadange@ujjivan.com;Sandeep.deshmukh@ujjivan.com;nasrin.jartarghar@ujjivan.com;benjamin.gaikwad@ujjivan.com;shreeram.walawe@ujjivan.com</t>
  </si>
  <si>
    <t>4460-Sangli</t>
  </si>
  <si>
    <t>west-sangli-branch@ujjivan.com;ccr-sangli@ujjivan.com;kiran.phalke@ujjivan.com;pradnya.waghmare@ujjivan.com;vijay.dudhale@ujjivan.com;riyazahamad.makandar@ujjivan.com;shreeram.walawe@ujjivan.com;amit.salunkhe@ujjivan.com;swarup.patil@ujjivan.com;hemant.awade@ujjivan.com;samadhan.sawant@ujjivan.com;vishal.kamble@ujjivan.com;santosh.suryawanshi@ujjivan.com;mustak.mujawar@ujjivan.com;naganesaurabh@ujjivan.com;</t>
  </si>
  <si>
    <t>4462-Panvel  Kalamboli</t>
  </si>
  <si>
    <t>west-panvel-branch@ujjivan.com;ccr-panvel@ujjivan.com;mukesh.k@ujjivan.com;ravindra.sonvalkar@ujjivan.com;hiren.karolia@ujjivan.com;amarnath.kumhar@ujjivan.com;prashant.jadhav@ujjivan.com;kanchan.dalvi@ujjivan.com;gaurav.oberoi@ujjivan.com;jitendra.sodhi@ujjivan.com;gupta.mahesh@ujjivan.com;Sanjay.kalwar@ujjivan.com;laxman.jetithor@ujjivan.com;sunil.parab@ujjivan.com;</t>
  </si>
  <si>
    <t>4463-Nadiad</t>
  </si>
  <si>
    <t>west-nadiad-branch@ujjivan.com;ccr-nadiad-branch@ujjivan.com;rafik.vohra@ujjivan.com;alpesh.prajapati@ujjivan.com;nilesh.patel@ujjivan.com;hiten.patel@ujjivan.com;nirav.vahalia@ujjivan.com;vijay.rohit@ujjivan.com;nikhil.kulshretsha@ujjivan.com;mayur.dindorkar@ujjivan.com;hitarth.trivedi@ujjivan.com;bhautik.vekariya@ujjivan.com;denish.parmar@ujjivan.com;praful.sodha@ujjivan.com;manish.rana@ujjivan.com;vijayshankar.rajput@ujjivan.com</t>
  </si>
  <si>
    <t>4464-Shahupuri</t>
  </si>
  <si>
    <t>west-shahupuri-branch@ujjivan.com;ccr-shahupuri@ujjivan.com;bajirao.patil@ujjivan.com;javed.bijapure@ujjivan.com;shreeram.walawe@ujjivan.com;prakash.karade@ujjivan.com;santosh.khot@ujjivan.com;hemant.awade@ujjivan.com;rajesh.patil@ujjivan.com;patil.abhijeet@ujjivan.com; kapil.katkar@ujjivan.com;rahul.lade@ujjivan.com;abhijeet.patil@ujjivan.com;nitin.nair@ujjivan.com;digvijay.bhandari@ujjivan.com;</t>
  </si>
  <si>
    <t>4465-Nava Vadaj</t>
  </si>
  <si>
    <t>west-navavadaj@ujjivan.com;ccr-navavadaj@ujjivan.com;hanny.rajawat@ujjivan.com;lokpal.rathod@ujjivan.com;raghu.mudaliar@ujjivan.com;satish.ankola@ujjivan.com;nirav.kanojiya@ujjivan.com;ranjit.jadhav@ujjivan.com;sanjay.rathod@ujjivan.com;hitarth.trivedi@ujjivan.com;vinod.khristi@ujjivan.com;sanjay.rathod@ujjivan.com;vijay.dodia@ujjivan.com;rajesh.rupala@ujjivan.com;manish.rana@ujjivan.com</t>
  </si>
  <si>
    <t>4467-Naroda</t>
  </si>
  <si>
    <t>west-naroda@ujjivan.com;ccr-naroda@ujjivan.com;jayendra.zala@ujjivan.com;alpesh.patel@ujjivan.com;milankumar.devmurari@ujjivan.com;satish.ankola@ujjivan.com;nirav.kanojiya@ujjivan.com;ranjit.jadhav@ujjivan.com;hitarth.trivedi@ujjivan.com;biren.shah@ujjivan.com;arpit.panchal@ujjivan.com;manish.rana@ujjivan.com</t>
  </si>
  <si>
    <t>4468-Ctm</t>
  </si>
  <si>
    <t>west-ctm@ujjivan.com;ccr-ctm@ujjivan.com;praful.sodha@ujjivan.com;satish.ankola@ujjivan.com;nirav.kanojiya@ujjivan.com;ranjit.jadhav@ujjivan.com;mrugesh.patel@ujjivan.com;hitarth.trivedi@ujjivan.com;biren.shah@ujjivan.com;salins.christian@ujjivan.com;ranjit.jadhav@ujjivan.com;west-isanpur@ujjivan.com;ganesh.badgujar@ujjivan.com;ccr-isanpur@ujjivan.com;vijay.nathani@ujjivan.com;mrugesh.patel@ujjivan.com;manish.rana@ujjivan.com</t>
  </si>
  <si>
    <t>4469-Rankala</t>
  </si>
  <si>
    <t>west-rankala-branch@ujjivan.com;ccr-rankala@ujjivan.com;pandurang.giri@ujjivan.com;digvijay.bhandari@ujjivan.com;abhijeet.patil@ujjivan.com;shreeram.walawe@ujjivan.com;prakash.karade@ujjivan.com;hemant.awade@ujjivan.com;hemant.phadatre@ujjivan.com;</t>
  </si>
  <si>
    <t>4470-Ichalkaranji</t>
  </si>
  <si>
    <t>west-ichalkaranji-branch@ujjivan.com;ccr-ichalkaranji@ujjivan.com;swapnil.patil@ujjivan.com;uttam.vakale@ujjivan.com;rahul.kadole@ujjivan.com;sandip.gavali@ujjivan.com;shreeram.walawe@ujjivan.com;nitin.nair@ujjivan.com;prakash.karade@ujjivan.com;hemant.awade@ujjivan.com;anant.udagave@ujjivan.com;vijay.dudhale@ujjivan.com;nitin.nair@ujjivan.com;</t>
  </si>
  <si>
    <t>4472-Bardoli</t>
  </si>
  <si>
    <t>west-bardoli@ujjivan.com;ccr-bardoli@ujjivan.com;sudip.khokhar@ujjivan.com;rajesh.khedkar@ujjivan.com;himanshu.chauhan@ujjivan.com;vivek.mistry@ujjivan.com;hitarth.trivedi@ujjivan.com;bhishma.mahajan@ujjivan.com;keval.moradiya@ujjivan.com;manish.rana@ujjivan.com;dharmesh.mahyavanshi@ujjivan.com;bhavtik.barvaliya@ujjivan.com</t>
  </si>
  <si>
    <t>4473-Valsad</t>
  </si>
  <si>
    <t>west-valsad@ujjivan.com;ccr-valsad@ujjivan.com;pragnesh.saidane@ujjivan.com;nilesh.girase@ujjivan.com;bhagwan.patil@ujjivan.com;sarfaraz.hussain@ujjivan.com;rajesh.khedkar@ujjivan.com;himanshu.chauhan@ujjivan.com;suraj.shah@ujjivan.com;hitarth.trivedi@ujjivan.com;gautam.panpatil@ujjivan.com;manish.rana@ujjivan.com</t>
  </si>
  <si>
    <t>4474-Jalgaon North</t>
  </si>
  <si>
    <t>west-jalgaon-north@ujjivan.com;ccr-jalgaonnorth@ujjivan.com;pravin.Ingale@ujjivan.com;dipaksingh.rajput@ujjivan.com;amit.jadhav@ujjivan.com;kausalya.sirgire@ujjivan.com;paras.chaudhari@ujjivan.com;samadhan.janjal@ujjivan.com;yadnesh.chaudhari@ujjivan.com</t>
  </si>
  <si>
    <t>4475-Bhusawal</t>
  </si>
  <si>
    <t>west-bhusawal@ujjivan.com;ccr-bhusaval@ujjivan.com;hemangi.hambardikar@ujjivan.com;mahesh.jagtap@ujjivan.com;somnath.bhusare@ujjivan.com;prashant.shimpi@ujjivan.com;amit.jadhav@ujjivan.com;kausalya.sirgire@ujjivan.com;paras.chaudhari@ujjivan.com;yadnesh.chaudhari@ujjivan.com</t>
  </si>
  <si>
    <t>4478-Jalgaon South</t>
  </si>
  <si>
    <t>west-jalgaon-south@ujjivan.com;ccr-jalgaonsouth@ujjivan.com;mangesh.kulkarni@ujjivan.com;kishor.sonar@ujjivan.com;amit.jadhav@ujjivan.com;kausalya.sirgire@ujjivan.com;paras.chaudhari@ujjivan.com;dinesh.sonar@ujjivan.com;mukesh.chaudhari@ujjivan.com;yadnesh.chaudhari@ujjivan.com</t>
  </si>
  <si>
    <t>4479-Mehsana</t>
  </si>
  <si>
    <t>west-mehsana-branch@ujjivan.com;tahir.bahelim@ujjivan.com;alpesh.thakor@ujjivan.com;ashutosh.saxena@ujjivan.com;satish.ankola@ujjivan.com;ranjit.jadhav@ujjivan.com;nirav.kanojiya@ujjivan.com;hitarth.trivedi@ujjivan.com;vinod.khristi@ujjivan.com;arpit.panchal@ujjivan.com;manish.rana@ujjivan.com;chandrakant.patel@ujjivan.com</t>
  </si>
  <si>
    <t>4480-Himmatnagar</t>
  </si>
  <si>
    <t>west-himmatnagar-branch@ujjivan.com;arpit.panchal@ujjivan.com;satish.ankola@ujjivan.com;nirav.kanojiya@ujjivan.com;ranjit.jadhav@ujjivan.com;rushabh.mehta@ujjivan.com;hitarth.trivedi@ujjivan.com;nilesh.parmar@ujjivan.com;parth.joshi@ujjivan.com;jigar.panchal@ujjivan.com;bhavesh.patel@ujjivan.com;manish.rana@ujjivan.com;chandrakant.patel@ujjivan.com</t>
  </si>
  <si>
    <t>4482-Rajkot South</t>
  </si>
  <si>
    <t>rajkot-south@ujjivan.com;ccr-rajkot-south@ujjivan.com;chirag.mehta@ujjivan.com;natubhai.desai@ujjivan.com;kishor.rathod@ujjivan.com;rushabh.mehta@ujjivan.com;hitarth.trivedi@ujjivan.com;sanjay.korat@ujjivan.com;dinesh.parmar@ujjivan.com;natubhai.desai@ujjivan.com;vinod.khristi@ujjivan.com;jayshri.chavda@ujjivan.com;harpal.dedaniya@ujjivan.com</t>
  </si>
  <si>
    <t>4483-Rajkot North</t>
  </si>
  <si>
    <t>rajkot-north@ujjivan.com;ccr-rajkot-north@ujjivan.com;irfan.aibani@ujjivan.com;natubhai.desai@ujjivan.com;kishor.rathod@ujjivan.com;rushabh.mehta@ujjivan.com;hitarth.trivedi@ujjivan.com;virendra.jadeja@ujjivan.com;natubhai.desai@ujjivan.com;prakash.ramoliya@ujjivan.com;nirav.vyas@ujjivan.com</t>
  </si>
  <si>
    <t>4485-Chikhalthana</t>
  </si>
  <si>
    <t>west-chikalthana-branch@ujjivan.com;ccr-chikalthana@ujjivan.com;yogesh.bomble@ujjivan.com;sandeep.ugale@ujjivan.com;paras.chaudhari@ujjivan.com;vaibhav.dudhekar@ujjivan.com;dilip.kharde@ujjivan.com;vishal.jagdale@ujjivan.com;krushna.pawar@ujjivan.com;vinod.deshmukh@ujjivan.com</t>
  </si>
  <si>
    <t>4490-Rajpipala</t>
  </si>
  <si>
    <t>west-rajpipla-branch@ujjivan.com;nirmalsharan.barot@ujjivan.com;vivek.anand@ujjivan.com;nirav.vahalia@ujjivan.com;vijay.rohit@ujjivan.com;hitarth.trivedi@ujjivan.com;mayur.dindorkar@ujjivan.com;balvantsinh.chauhan@ujjivan.com;vijaykumar.rohit@ujjivan.com</t>
  </si>
  <si>
    <t>4491-Vyara</t>
  </si>
  <si>
    <t>west-vyara-branch@ujjivan.com;ccr-vyara@ujjivan.com;mehul.rana@ujjivan.com;ujesh.modi@ujjivan.com;prakash.bhitora@ujjivan.com;rajesh.khedkar@ujjivan.com;himanshu.chauhan@ujjivan.com;vivek.mistry@ujjivan.com;namdeo.patil@ujjivan.com;hitarth.trivedi@ujjivan.com;ccr-vyara@ujjivan.com;bhojraj.prajapati@ujjivan.com;ruchira.patel@ujjivan.com;manish.rana@ujjivan.com</t>
  </si>
  <si>
    <t>4493-Shahu Chowk Branch</t>
  </si>
  <si>
    <t>shahuchowk-latur@ujjivan.com;swarup.dhakne@ujjivan.com;sachin.suryawanshi@ujjivan.com;abhijeet.bhadange@ujjivan.com;Sandeep.deshmukh@ujjivan.com;shreeram.walawe@ujjivan.com;</t>
  </si>
  <si>
    <t>west-north.nagpur@ujjivan.com;harshal.takwale@ujjivan.com;rajendra.chunarkar@ujjivan.com;ashish.kale@ujjivan.com;vaibhav.dudhekar@ujjivan.com;abhijeet.bhadange@ujjivan.com;shama.siddique@ujjivan.com;</t>
  </si>
  <si>
    <t>4496-C A Road</t>
  </si>
  <si>
    <t>west-east.nagpur@ujjivan.com;hitesh.bhoyar@ujjivan.com;rajendra.chunarkar@ujjivan.com;ashish.kale@ujjivan.com;vaibhav.dudhekar@ujjivan.com;abhijeet.bhadange@ujjivan.com</t>
  </si>
  <si>
    <t>4498-Bhavnagar West</t>
  </si>
  <si>
    <t>west-west.bhavnagar-branch@ujjivan.com;rajesh.rupala@ujjivan.com;dinesh.sonawane@ujjivan.com;rushabh.mehta@ujjivan.com;hitarth.trivedi@ujjivan.com;brij.kothadiya@ujjivan.com;dinesh.sonawane@ujjivan.com;parth.rajyaguru@ujjivan.com;rushabh.mehta@ujjivan.com;jaydeepsinh.bagsadiya@ujjivan.com;jigna.pandit@ujjivan.com;vikrambhai.aalgotar@ujjivan.com</t>
  </si>
  <si>
    <t>4499-Botad</t>
  </si>
  <si>
    <t>west-botad-branch@ujjivan.com;gopal.muliya@ujjivan.com;dinesh.sonawane@ujjivan.com;rushabh.mehta@ujjivan.com;hitarth.trivedi@ujjivan.com;parth.rajyaguru@ujjivan.com</t>
  </si>
  <si>
    <t>niranjan.mohite@ujjivan.com</t>
  </si>
  <si>
    <t>west-karad-branch@ujjivan.com;ccr-karad@ujjivan.com;amar.babar@ujjivan.com;ajay.patil@ujjivan.com;dnyaneshwar.kulkarni@ujjivan.com;tushar.upase@ujjivan.com;ramesh.chavan@ujjivan.com;hemant.awade@ujjivan.com;rushiraj.hinukale@ujjivan.com;vikram.jadhav@ujjivan.com;swapnil.shinkar@ujjivan.com</t>
  </si>
  <si>
    <t>west-south.vadodara-branch@ujjivan;ccr-baroda-south@ujjivan.com;sunita.rohit@ujjivan.com;snehal.shah@ujjivan.com;jitendra.sharma@ujjivan.com;Akshay.joshi@ujjivan.com; gaurav.agrawal@ujjivan.com; viral.patel@ujjivan.com;sunita.rohit@ujjivan.com;west-south.vadodara-branch@ujjivan.com</t>
  </si>
  <si>
    <t>subhankar.chakraborty@ujjivan.com;krishna.basumatary@ujjivan.com;mantu.kalita@ujjivan.com</t>
  </si>
  <si>
    <t>thiyagu.basavaraj@ujjivan.com;bharath.m@ujjivan.com</t>
  </si>
  <si>
    <t>pranjal.borah@ujjivan.com</t>
  </si>
  <si>
    <t>suman.chakraborty@ujjivan.com</t>
  </si>
  <si>
    <t>kabir.sarkar@ujjivan.com</t>
  </si>
  <si>
    <t>prashanta.thakur@ujjivan.com</t>
  </si>
  <si>
    <t>ashish.daga@ujjivan.com</t>
  </si>
  <si>
    <t>krishna.yadav@ujjivan.com</t>
  </si>
  <si>
    <t>west-goregaon-branch@ujjivan.com;ccr.goregaon@ujjivan.com;jyotsna.chipte@ujjivan.com;rameshwar.chaudhari@ujjivan.com;krishna.yadav@ujjivan.com;bhakti.nena@ujjivan.com</t>
  </si>
  <si>
    <t>jyotirmoy.mahanta@ujjivan.com</t>
  </si>
  <si>
    <t>sahin.basuniya@ujjivan.com</t>
  </si>
  <si>
    <t>nagesh.ganapati@ujjivan.com</t>
  </si>
  <si>
    <t>UJJ26215-V  Mohan</t>
  </si>
  <si>
    <t>UJJ17385-Raghavendra  P</t>
  </si>
  <si>
    <t>UJJ20487-Vijayakumar  A P</t>
  </si>
  <si>
    <t>UJJ00343-Shymala Ramesh K R</t>
  </si>
  <si>
    <t>UJJ00664-Satish  M</t>
  </si>
  <si>
    <t>UJJ00719-Siddappa  S</t>
  </si>
  <si>
    <t xml:space="preserve">UJJ07207-Shivaprasad   </t>
  </si>
  <si>
    <t>UJJ08818-Abdul  Azeez</t>
  </si>
  <si>
    <t>UJJ24862-Beulah  P</t>
  </si>
  <si>
    <t>UJJ00072-Meena  M</t>
  </si>
  <si>
    <t>UJJ06179-Muthaiah  D</t>
  </si>
  <si>
    <t>UJJ03721-Ramesh  R</t>
  </si>
  <si>
    <t>UJJ01475-Ramesh  Munireddy</t>
  </si>
  <si>
    <t>UJJ00183-Kumara  K S</t>
  </si>
  <si>
    <t>UJJ11499-Sridhar  R</t>
  </si>
  <si>
    <t>UJJ20454-Shivakumar  S</t>
  </si>
  <si>
    <t>UJJ07460-Jayeer  Pasha</t>
  </si>
  <si>
    <t>UJJ25823-Somanath  Jakkannavar</t>
  </si>
  <si>
    <t>UJJ26278-Amit Babu Chandaragi</t>
  </si>
  <si>
    <t>UJJ05377-Karunakaran  R</t>
  </si>
  <si>
    <t>UJJ00606-Prakash  K</t>
  </si>
  <si>
    <t>UJJ02988-Anjineya  V</t>
  </si>
  <si>
    <t>UJJ26737-Sakthivelu  Subramani</t>
  </si>
  <si>
    <t>UJJ00951-Narasimhappa  K</t>
  </si>
  <si>
    <t>UJJ00482-Vinoda  V</t>
  </si>
  <si>
    <t>UJJ21075-Mallappa Shivappa Uppunasi</t>
  </si>
  <si>
    <t>UJJ03136-Sreenivasa B B</t>
  </si>
  <si>
    <t xml:space="preserve">UJJ00477-Khajavali   </t>
  </si>
  <si>
    <t>UJJ26549-Anandhan  Pachiyappan</t>
  </si>
  <si>
    <t>UJJ12429-Anil Kumar H</t>
  </si>
  <si>
    <t>UJJ26757-Eranna Vemanna Mudenoor</t>
  </si>
  <si>
    <t>UJJ23744-Emmanuel  Gnanaseelan</t>
  </si>
  <si>
    <t>UJJ07420-Chandrashekar  K</t>
  </si>
  <si>
    <t>UJJ09001-Thrinesh Kumar K</t>
  </si>
  <si>
    <t>UJJ20483-Gopinath  B S</t>
  </si>
  <si>
    <t>UJJ25887-Mallappa  Balaraddi</t>
  </si>
  <si>
    <t>UJJ08306-Kiran Kumar B S</t>
  </si>
  <si>
    <t>UJJ23282-M K Prabakaran</t>
  </si>
  <si>
    <t>UJJ23284-M Gokula Kannan</t>
  </si>
  <si>
    <t>UJJ06640-Nandhakumar  M</t>
  </si>
  <si>
    <t>UJJ29709-Mahakrishnan  A</t>
  </si>
  <si>
    <t xml:space="preserve">UJJ11861-Hanumanthaiah   </t>
  </si>
  <si>
    <t>UJJ16898-Babu  V</t>
  </si>
  <si>
    <t>UJJ25003-Mohamed Husen Thasthageer</t>
  </si>
  <si>
    <t>UJJ25006-Mohankumar  Ramasamy</t>
  </si>
  <si>
    <t>UJJ21667-Ramamoorthy  K</t>
  </si>
  <si>
    <t>UJJ27002-Kathirvel  Sagadevan</t>
  </si>
  <si>
    <t>UJJ03562-Srinivasan  P</t>
  </si>
  <si>
    <t>UJJ03579-Manikandan  N</t>
  </si>
  <si>
    <t>UJJ25856-Dalvin Dhanasingh R</t>
  </si>
  <si>
    <t>UJJ13509-Nagarajan  P</t>
  </si>
  <si>
    <t>UJJ28566-Siva Karuppiah</t>
  </si>
  <si>
    <t>UJJ05629-Sunil C J</t>
  </si>
  <si>
    <t>UJJ13786-Premnath  P</t>
  </si>
  <si>
    <t>UJJ12389-Venkatesh  M</t>
  </si>
  <si>
    <t>UJJ22935-K  Mahesvaran</t>
  </si>
  <si>
    <t>UJJ14382-Prabakaran  C</t>
  </si>
  <si>
    <t>UJJ20761-Anvar Ali M</t>
  </si>
  <si>
    <t>UJJ14436-Ranjith Kumar S</t>
  </si>
  <si>
    <t>UJJ11170-Vadivelan  N</t>
  </si>
  <si>
    <t>UJJ06459-Vino  J</t>
  </si>
  <si>
    <t>UJJ09454-Sijomon T M</t>
  </si>
  <si>
    <t>UJJ07592-Beer Sulthan H</t>
  </si>
  <si>
    <t>UJJ23473-Nivedh E S</t>
  </si>
  <si>
    <t>UJJ16259-Saiju  Sadasivan</t>
  </si>
  <si>
    <t>UJJ25004-Vishnu  K</t>
  </si>
  <si>
    <t>UJJ01588-Geeta  Anil</t>
  </si>
  <si>
    <t>UJJ13486-Madavan  R</t>
  </si>
  <si>
    <t>UJJ13480-Kosumani  E</t>
  </si>
  <si>
    <t>UJJ03556-Puttaswamy  R</t>
  </si>
  <si>
    <t>UJJ05941-Ravi  A</t>
  </si>
  <si>
    <t>UJJ12156-Xavier  I</t>
  </si>
  <si>
    <t>UJJ00481-Theertha Kumar I R</t>
  </si>
  <si>
    <t>UJJ13474-Raja  M</t>
  </si>
  <si>
    <t>UJJ00287-Chandrashekar  G C</t>
  </si>
  <si>
    <t>UJJ25835-Rajesh  R</t>
  </si>
  <si>
    <t>UJJ21076-Nagesh Ganapati Achari</t>
  </si>
  <si>
    <t>UJJ09655-Ramakrishnan  S</t>
  </si>
  <si>
    <t>UJJ14687-Karthik  C</t>
  </si>
  <si>
    <t>UJJ10967-Shantharaju  G</t>
  </si>
  <si>
    <t>UJJ09864-Sreejith  J</t>
  </si>
  <si>
    <t>UJJ08584-Bhakiyaraj  K</t>
  </si>
  <si>
    <t>UJJ01734-Rajesh  Chaluvaiah</t>
  </si>
  <si>
    <t>UJJ29259-Mayilsamy  Chinnagoundar</t>
  </si>
  <si>
    <t>UJJ23481-Alaguraja  Solai</t>
  </si>
  <si>
    <t>UJJ25855-Mahesh  V</t>
  </si>
  <si>
    <t>UJJ18545-Ashok Kumar M</t>
  </si>
  <si>
    <t>UJJ22487-S  Achuthaneyan</t>
  </si>
  <si>
    <t>UJJ23369-P  Sivaprakash</t>
  </si>
  <si>
    <t>UJJ14567-Chithiraikkani  I</t>
  </si>
  <si>
    <t>UJJ25453-Gladson Devadoss Sam Vethachalam</t>
  </si>
  <si>
    <t>UJJ15312-Raja Kumar R</t>
  </si>
  <si>
    <t>UJJ14126-Ramakrishnan  T</t>
  </si>
  <si>
    <t>UJJ10204-Sanjay  Tiwari</t>
  </si>
  <si>
    <t>UJJ06618-Ashok  Kumar</t>
  </si>
  <si>
    <t>UJJ21920-Shubham  Chauhan</t>
  </si>
  <si>
    <t>UJJ05120-Mohd. Afzal Ali</t>
  </si>
  <si>
    <t>UJJ15832-Rahul  Singh</t>
  </si>
  <si>
    <t>UJJ14082-Birender  Singh</t>
  </si>
  <si>
    <t>UJJ21911-Gajendra Kumar Sharma</t>
  </si>
  <si>
    <t>UJJ01510-Gordhan  Choudhary</t>
  </si>
  <si>
    <t>UJJ03016-Kiran  Singh</t>
  </si>
  <si>
    <t>UJJ15492-Akshat  Sharma</t>
  </si>
  <si>
    <t>UJJ21733-Vijay Pal Chauhan</t>
  </si>
  <si>
    <t>UJJ11100-Himanshu  Kala</t>
  </si>
  <si>
    <t>UJJ04577-Shri  Kant</t>
  </si>
  <si>
    <t>UJJ21278-Avinash  Kumar</t>
  </si>
  <si>
    <t>UJJ10501-Sandeep  Singh</t>
  </si>
  <si>
    <t>UJJ02404-Shubham  Sunaria</t>
  </si>
  <si>
    <t>UJJ04091-Maneet  Kumar</t>
  </si>
  <si>
    <t>UJJ04094-Suraj  Pal</t>
  </si>
  <si>
    <t>UJJ17667-Chandra Kant Sharma</t>
  </si>
  <si>
    <t>UJJ14088-Gopesh  .</t>
  </si>
  <si>
    <t>UJJ20990-Saurabh Kumar Singh</t>
  </si>
  <si>
    <t>UJJ21061-Satish  Chandra</t>
  </si>
  <si>
    <t>UJJ15846-Mayank  Suryavanshi</t>
  </si>
  <si>
    <t>UJJ07275-Anil  Kumar</t>
  </si>
  <si>
    <t>UJJ08967-Surjit  Singh</t>
  </si>
  <si>
    <t>UJJ04125-Harkesh  Kumar</t>
  </si>
  <si>
    <t>UJJ05135-Manoj  Yadav</t>
  </si>
  <si>
    <t>UJJ11664-Shashank  Goel</t>
  </si>
  <si>
    <t>UJJ16919-Vivek  Tiwari</t>
  </si>
  <si>
    <t>UJJ10202-Rakesh  Kumar</t>
  </si>
  <si>
    <t>UJJ13354-Rameshwar  Shukla</t>
  </si>
  <si>
    <t>UJJ10085-Vivek  Acharya</t>
  </si>
  <si>
    <t>UJJ05516-Duli  Chand</t>
  </si>
  <si>
    <t>UJJ15009-Surjeet  Yadav</t>
  </si>
  <si>
    <t>UJJ04838-Hasim  Ali</t>
  </si>
  <si>
    <t>UJJ16221-Manish  Kamboj</t>
  </si>
  <si>
    <t>UJJ13143-Vikas  Bedi</t>
  </si>
  <si>
    <t>UJJ15518-Dhananjay Kumar Singh</t>
  </si>
  <si>
    <t>UJJ07364-Ankit  Sharma</t>
  </si>
  <si>
    <t>UJJ18199-Ranjeet Singh Parihar</t>
  </si>
  <si>
    <t>UJJ18839-Sandeep  Singh</t>
  </si>
  <si>
    <t>UJJ17906-Rohit  Kumar</t>
  </si>
  <si>
    <t>UJJ08923-Lalit  Kumar</t>
  </si>
  <si>
    <t>UJJ06758-Ganesh  .</t>
  </si>
  <si>
    <t>UJJ12030-Amit Singh Verma</t>
  </si>
  <si>
    <t>UJJ02196-Satyanarayan  Savlia</t>
  </si>
  <si>
    <t>UJJ08164-Ravi  Kumar</t>
  </si>
  <si>
    <t>UJJ05177-Raj  Kumar</t>
  </si>
  <si>
    <t>UJJ14802-Neeraj  Sharma</t>
  </si>
  <si>
    <t>UJJ11547-Mrityunjay  Gorana</t>
  </si>
  <si>
    <t>UJJ15658-Jaynarayan  Malhare</t>
  </si>
  <si>
    <t>UJJ16667-Manoj  Sawarkar</t>
  </si>
  <si>
    <t>UJJ22439-Chandrani  Gautam</t>
  </si>
  <si>
    <t>UJJ05528-Rakesh  .</t>
  </si>
  <si>
    <t>UJJ07480-Parveen  Kumar</t>
  </si>
  <si>
    <t>UJJ17985-Aseem  Sachdeva</t>
  </si>
  <si>
    <t>UJJ17147-Vijendra Kumar Sharma</t>
  </si>
  <si>
    <t>UJJ04575-Shakti  Singh</t>
  </si>
  <si>
    <t>UJJ10512-Anirudh  .</t>
  </si>
  <si>
    <t>UJJ10063-Mohit  Chauhan</t>
  </si>
  <si>
    <t>UJJ09079-Vinod  Verma</t>
  </si>
  <si>
    <t>UJJ16410-Gaurav  Mishra</t>
  </si>
  <si>
    <t>UJJ11127-Sandeep  Kumar</t>
  </si>
  <si>
    <t>UJJ13573-Aashutosh  Chourasia</t>
  </si>
  <si>
    <t>UJJ21910-Priyanshu  Jaiswal</t>
  </si>
  <si>
    <t>UJJ09544-Vipin  Kumar</t>
  </si>
  <si>
    <t>UJJ16728-Ravinder  Kumar</t>
  </si>
  <si>
    <t>UJJ05782-Sharvan  Kumar</t>
  </si>
  <si>
    <t>UJJ12258-Dinesh  Malviya</t>
  </si>
  <si>
    <t>UJJ15008-Sandeep  Kumar</t>
  </si>
  <si>
    <t>UJJ04325-Bijender  Kumar</t>
  </si>
  <si>
    <t>UJJ14298-Vishnu  Singh</t>
  </si>
  <si>
    <t>UJJ09959-Saurabh  Shrivastava</t>
  </si>
  <si>
    <t>UJJ18511-Pardeep  .</t>
  </si>
  <si>
    <t>UJJ14977-Abneesh  Pachauri</t>
  </si>
  <si>
    <t>UJJ09662-Ankaj  Kumar</t>
  </si>
  <si>
    <t>UJJ01524-Mukesh Kumar Kasotiya</t>
  </si>
  <si>
    <t>UJJ14369-Sant  Lal</t>
  </si>
  <si>
    <t>UJJ10169-Diptesh  Biswas</t>
  </si>
  <si>
    <t>UJJ11539-Arijit  Das</t>
  </si>
  <si>
    <t>UJJ16844-Arnab  Sinha</t>
  </si>
  <si>
    <t>UJJ00258-Prabir  Chowdhury</t>
  </si>
  <si>
    <t>UJJ00751-Susanta  Sur</t>
  </si>
  <si>
    <t>UJJ09970-Ranju  Mondal</t>
  </si>
  <si>
    <t>UJJ12704-Sanatan  Pal</t>
  </si>
  <si>
    <t>UJJ05491-Sudip  Das</t>
  </si>
  <si>
    <t>UJJ02798-Ujjal  Dhar</t>
  </si>
  <si>
    <t>UJJ11184-Shubham  Tiwari</t>
  </si>
  <si>
    <t>UJJ00797-Bapi  Das</t>
  </si>
  <si>
    <t>UJJ00432-Rabindranath  Sarkar</t>
  </si>
  <si>
    <t>UJJ01808-Monodip  Das</t>
  </si>
  <si>
    <t>UJJ02470-Sanjib Kumar Nath</t>
  </si>
  <si>
    <t>UJJ00744-Pabitra  Biswas</t>
  </si>
  <si>
    <t>UJJ01939-Manajit  Sabui</t>
  </si>
  <si>
    <t>UJJ04190-Swarup  Sukul</t>
  </si>
  <si>
    <t>UJJ10416-Tridib Kumar Tapadar</t>
  </si>
  <si>
    <t>UJJ23143-Mangalampalli  Srinivas</t>
  </si>
  <si>
    <t>UJJ05290-Ashok Kumar Gupta</t>
  </si>
  <si>
    <t>UJJ01544-Abhijit  Pramanik</t>
  </si>
  <si>
    <t>UJJ03046-Manab Kumar Gayen</t>
  </si>
  <si>
    <t>UJJ12318-Santu Kumar Kundu</t>
  </si>
  <si>
    <t>UJJ00591-Sanjoy Kr. Mondal</t>
  </si>
  <si>
    <t>UJJ04462-Nagina Krishan Kumar</t>
  </si>
  <si>
    <t>UJJ05928-Manish  Kumar</t>
  </si>
  <si>
    <t>UJJ21904-Kavita  Swain</t>
  </si>
  <si>
    <t>UJJ01922-Sabir Ali Mirdda Sk</t>
  </si>
  <si>
    <t>UJJ07112-Laxmikanta  Panda</t>
  </si>
  <si>
    <t>UJJ21909-Kumar  Sonu</t>
  </si>
  <si>
    <t>UJJ15548-Suman  Chakraborty</t>
  </si>
  <si>
    <t>UJJ12691-Piyush  Kumar</t>
  </si>
  <si>
    <t>UJJ01713-Ashish Kumar Mandal</t>
  </si>
  <si>
    <t>UJJ10155-Avay Kumar Yadav</t>
  </si>
  <si>
    <t>UJJ16636-Amit  Kumar</t>
  </si>
  <si>
    <t>UJJ01417-Kumar Rao S</t>
  </si>
  <si>
    <t>UJJ13670-Surendranath  Sethy</t>
  </si>
  <si>
    <t>UJJ02527-Manoj  Kumar</t>
  </si>
  <si>
    <t>UJJ02897-Sanjeev  Kumar</t>
  </si>
  <si>
    <t>UJJ01370-Ram Prasad Mondal</t>
  </si>
  <si>
    <t>UJJ02362-Prasenjit  Datta</t>
  </si>
  <si>
    <t>UJJ03479-Chandi Das Madhukar</t>
  </si>
  <si>
    <t>UJJ06221-Pradeep Kumar Tiwari</t>
  </si>
  <si>
    <t>UJJ12724-Dinabandhu  Saha</t>
  </si>
  <si>
    <t>UJJ06206-Debjyoti  Ghosh</t>
  </si>
  <si>
    <t>UJJ12750-Tanmoy  Pal</t>
  </si>
  <si>
    <t>UJJ04664-Sanjoy  Chakraborty</t>
  </si>
  <si>
    <t>UJJ25553-Abhijit  Saha</t>
  </si>
  <si>
    <t>UJJ02220-Diler  Kumar</t>
  </si>
  <si>
    <t>UJJ21192-Sunil Kumar Singh</t>
  </si>
  <si>
    <t>UJJ22744-Abhinaw  Kumar</t>
  </si>
  <si>
    <t>UJJ02378-Mani Sankar Banerjee</t>
  </si>
  <si>
    <t>UJJ17936-Sukhwant  Singh</t>
  </si>
  <si>
    <t>UJJ03203-Uma Kanta Mohanty</t>
  </si>
  <si>
    <t>UJJ04479-Braja Dulal Baug</t>
  </si>
  <si>
    <t>UJJ11581-Mohiuddin  SK</t>
  </si>
  <si>
    <t>UJJ12316-Sunil Kumar Mahato</t>
  </si>
  <si>
    <t>UJJ05700-Manoj  Bera</t>
  </si>
  <si>
    <t>UJJ00332-Arup Kumar Samajdar</t>
  </si>
  <si>
    <t>UJJ12398-Sajid  Mondal</t>
  </si>
  <si>
    <t>UJJ22855-Abhishek  Kumar</t>
  </si>
  <si>
    <t>UJJ24764-Shylok kumar Singh</t>
  </si>
  <si>
    <t>UJJ01941-Bidesh  Mandal</t>
  </si>
  <si>
    <t>UJJ05872-Anirban  Biswas</t>
  </si>
  <si>
    <t>UJJ03202-Sudhir Kumar Sahu</t>
  </si>
  <si>
    <t>UJJ19314-Jyoti Ranjan Tripathy</t>
  </si>
  <si>
    <t>UJJ11191-Kanchan  Das</t>
  </si>
  <si>
    <t>UJJ11129-Dipankar  Lodh</t>
  </si>
  <si>
    <t>UJJ04256-Suvankar  Chaudhury</t>
  </si>
  <si>
    <t>UJJ12714-Ram Dayal Roy</t>
  </si>
  <si>
    <t>UJJ12745-Mithun  Chatterjee</t>
  </si>
  <si>
    <t>UJJ21591-Prashanta  Thakur</t>
  </si>
  <si>
    <t>UJJ18722-Krishna  Basumatary</t>
  </si>
  <si>
    <t>UJJ20744-Jyotirmoy  Mahanta</t>
  </si>
  <si>
    <t>UJJ09998-Biplab  Roy</t>
  </si>
  <si>
    <t>UJJ07068-Santa  Chettri</t>
  </si>
  <si>
    <t>UJJ18368-Sazid  Khan</t>
  </si>
  <si>
    <t>UJJ17937-Abhilash  Joshi</t>
  </si>
  <si>
    <t>UJJ06605-Saroj Kumar Mohapatra</t>
  </si>
  <si>
    <t>UJJ05072-Dablu Kumar Thakur</t>
  </si>
  <si>
    <t>UJJ05669-Mukesh  Kumar</t>
  </si>
  <si>
    <t>UJJ02512-Jitendra  Kumar</t>
  </si>
  <si>
    <t>UJJ14512-Mohan  Routh</t>
  </si>
  <si>
    <t>UJJ21901-Sourav  Chakraborty</t>
  </si>
  <si>
    <t>UJJ27553-LEKHAN  KONWAR</t>
  </si>
  <si>
    <t>UJJ12712-Sudip  Manna</t>
  </si>
  <si>
    <t>UJJ06929-Chandan Kumar Mishra</t>
  </si>
  <si>
    <t>UJJ24916-Ashish  Kumar</t>
  </si>
  <si>
    <t>UJJ25929-Nayan Moni Borah</t>
  </si>
  <si>
    <t>UJJ15053-Haren  Talukdar</t>
  </si>
  <si>
    <t>UJJ02365-Indrajit  De</t>
  </si>
  <si>
    <t>UJJ02902-Saroj Kumar Singh</t>
  </si>
  <si>
    <t>UJJ17205-Pankaj Kumar Murli Dubey</t>
  </si>
  <si>
    <t>UJJ08821-Kundan  Kumar</t>
  </si>
  <si>
    <t>UJJ26871-Vikrant  Kumar</t>
  </si>
  <si>
    <t>UJJ03241-Vipul Kumar Singh</t>
  </si>
  <si>
    <t>UJJ17875-Abdul  Rahim</t>
  </si>
  <si>
    <t>UJJ10170-Kamanasish  Purkayastha</t>
  </si>
  <si>
    <t>UJJ09608-Joyanta  Kundu</t>
  </si>
  <si>
    <t>UJJ10263-Prasanta  Das</t>
  </si>
  <si>
    <t>UJJ17311-Sanjib  Dey</t>
  </si>
  <si>
    <t>UJJ11151-Debasis  Das</t>
  </si>
  <si>
    <t>UJJ21520-Sanjeet  Kumar</t>
  </si>
  <si>
    <t>UJJ13604-Amit  Kumar</t>
  </si>
  <si>
    <t>UJJ27138-Rajnish  Kumar</t>
  </si>
  <si>
    <t>UJJ26906-Pradip  Das</t>
  </si>
  <si>
    <t>UJJ23754-Pranjal  Borah</t>
  </si>
  <si>
    <t>UJJ04408-Champak  Talukdar</t>
  </si>
  <si>
    <t>UJJ04945-Naba  Mazumdar</t>
  </si>
  <si>
    <t>UJJ14165-Sumiron  Boruah</t>
  </si>
  <si>
    <t>UJJ19327-Hiren  Das</t>
  </si>
  <si>
    <t>UJJ24825-Manoj  Sarmah</t>
  </si>
  <si>
    <t>UJJ12305-Hitesh  Borah</t>
  </si>
  <si>
    <t>UJJ22093-Dibyajyoti  Borah</t>
  </si>
  <si>
    <t>UJJ22549-Kabir  Sarkar</t>
  </si>
  <si>
    <t>UJJ04784-Dinesh  Fulambarkar</t>
  </si>
  <si>
    <t>UJJ10861-Samadhan  Sawant</t>
  </si>
  <si>
    <t>UJJ30293-Sopan Raosaheb Avhad</t>
  </si>
  <si>
    <t>UJJ17105-Prasad  Bhawsar</t>
  </si>
  <si>
    <t>UJJ16823-Somnath  Bhusare</t>
  </si>
  <si>
    <t>UJJ03114-Sameer  Ghadigaonkar</t>
  </si>
  <si>
    <t>UJJ06860-Vinod  Sonawane</t>
  </si>
  <si>
    <t>UJJ27796-Akhtar Ali Akbar Ali Qureshi</t>
  </si>
  <si>
    <t>UJJ06842-Deepak  Markad</t>
  </si>
  <si>
    <t>UJJ07062-Dipmala  Jadhav</t>
  </si>
  <si>
    <t>UJJ21097-Yogesh  Nagargoje</t>
  </si>
  <si>
    <t>UJJ20177-Dhanraj  More</t>
  </si>
  <si>
    <t>UJJ07212-Nilesh  Girase</t>
  </si>
  <si>
    <t>UJJ21924-Poonam  .</t>
  </si>
  <si>
    <t>UJJ21172-Krishna  Yadav</t>
  </si>
  <si>
    <t>UJJ18820-Mahendra  Kamble</t>
  </si>
  <si>
    <t>UJJ08183-Anish  Malik</t>
  </si>
  <si>
    <t>UJJ20410-Gaurav  Agrawal</t>
  </si>
  <si>
    <t>UJJ06895-Kuntal  Patel</t>
  </si>
  <si>
    <t>UJJ05766-Nilesh Patel Baldevbhai</t>
  </si>
  <si>
    <t>UJJ21922-Swapnil Mahendra Shinkar</t>
  </si>
  <si>
    <t>UJJ17107-Niranjan  Mohite</t>
  </si>
  <si>
    <t>UJJ17216-Kailash Arjunrao Bhoite</t>
  </si>
  <si>
    <t>UJJ15032-Ankur  Verma</t>
  </si>
  <si>
    <t>UJJ16163-Ankush  Marathe</t>
  </si>
  <si>
    <t>UJJ16457-Arvind  Sable</t>
  </si>
  <si>
    <t>UJJ10217-Tanaji  Bansode</t>
  </si>
  <si>
    <t>UJJ10395-Alpesh  Prajapati</t>
  </si>
  <si>
    <t>UJJ10392-Chintamani  Adurkar</t>
  </si>
  <si>
    <t>UJJ14057-Mrugeshkumar  Patel</t>
  </si>
  <si>
    <t>UJJ19814-Salins  Christian</t>
  </si>
  <si>
    <t>UJJ30505-Prabhat Rajaram Sovani</t>
  </si>
  <si>
    <t>UJJ06785-Yashpal  Jadhav</t>
  </si>
  <si>
    <t>UJJ12107-Bhagwan  Patil</t>
  </si>
  <si>
    <t>UJJ11349-Dipaksingh  Rajput</t>
  </si>
  <si>
    <t>UJJ21269-Mukesh  Chaudhari</t>
  </si>
  <si>
    <t>UJJ16005-Jigar  Panchal</t>
  </si>
  <si>
    <t>UJJ20571-Bhavesh  Patel</t>
  </si>
  <si>
    <t>UJJ21257-Rupesh  Vaghela</t>
  </si>
  <si>
    <t>UJJ11351-Chirag  Mehta</t>
  </si>
  <si>
    <t>UJJ17288-Akhilesh  Mishra</t>
  </si>
  <si>
    <t>UJJ07768-Nirmalsharan  Barot</t>
  </si>
  <si>
    <t>UJJ27282-Manjunath  Daivadnya</t>
  </si>
  <si>
    <t>UJJ07607-Rajesh  S</t>
  </si>
  <si>
    <t xml:space="preserve">UJJ11509-Mubarak   </t>
  </si>
  <si>
    <t>UJJ04156-Sijil Babu K</t>
  </si>
  <si>
    <t>UJJ22904-Rubickraja  V</t>
  </si>
  <si>
    <t>UJJ14753-Soundhararajan  D</t>
  </si>
  <si>
    <t>UJJ14649-Premadass  T</t>
  </si>
  <si>
    <t>UJJ13230-Shishir  Tripathi</t>
  </si>
  <si>
    <t>UJJ01848-Swatantra  Nama</t>
  </si>
  <si>
    <t>UJJ00329-Gopal  Singh</t>
  </si>
  <si>
    <t>UJJ11124-Vikram  Singh</t>
  </si>
  <si>
    <t>UJJ14806-Rishi  Walia</t>
  </si>
  <si>
    <t>UJJ10509-Nitin  Kumar</t>
  </si>
  <si>
    <t>UJJ08509-Puneet  Kamra</t>
  </si>
  <si>
    <t>UJJ01515-Vinod  Kumar</t>
  </si>
  <si>
    <t>UJJ15787-Abhijit  Dey</t>
  </si>
  <si>
    <t>UJJ17206-Pranay  Das</t>
  </si>
  <si>
    <t>UJJ29248-BISHU  PAUL</t>
  </si>
  <si>
    <t>UJJ21291-Shivraj  More</t>
  </si>
  <si>
    <t>UJJ19922-Tushar  Mali</t>
  </si>
  <si>
    <t>UJJ03816-Bhushan  Belwale</t>
  </si>
  <si>
    <t>UJJ07214-Sachin  Rewale</t>
  </si>
  <si>
    <t>UJJ19693-Amol  Pawar</t>
  </si>
  <si>
    <t>UJJ15227-Anil  Bhosle</t>
  </si>
  <si>
    <t>UJJ21119-Sandeep  Mewara</t>
  </si>
  <si>
    <t>UJJ06289-Barkatali  Vadhavania</t>
  </si>
  <si>
    <t>UJJ17998-Vijay  Katkar</t>
  </si>
  <si>
    <t>UJJ17445-Santoshkumar  Bahire</t>
  </si>
  <si>
    <t>UJJ14064-Kamlesh  Singh</t>
  </si>
  <si>
    <t>UJJ14544-Sanjaykumar  Kondabattini</t>
  </si>
  <si>
    <t>UJJ06881-Shrikant  Rokade</t>
  </si>
  <si>
    <t>UJJ14708-Harshal  Takwale</t>
  </si>
  <si>
    <t>UJJ18222-Hitesh  Bhoyar</t>
  </si>
  <si>
    <t>UJJ20411-Jaydeepsinh  Bagsadiya</t>
  </si>
  <si>
    <t>UJJ15970-Gopal  Muliya</t>
  </si>
  <si>
    <t>UJJ14979-Banta  Singh</t>
  </si>
  <si>
    <t xml:space="preserve">Please find attached list of prospect clients for REPEAT GL-LOANS (clients who have taken earlier an GL Loan) for you branch.
Thanks &amp; Regards,
MIS Team
</t>
  </si>
  <si>
    <t>Dear</t>
  </si>
  <si>
    <t>a</t>
  </si>
  <si>
    <t>b</t>
  </si>
  <si>
    <t>c</t>
  </si>
  <si>
    <t>ACRM</t>
  </si>
  <si>
    <t>v.mohan@ujjivan.com</t>
  </si>
  <si>
    <t>raghavendra.puttaswamy@ujjivan.com</t>
  </si>
  <si>
    <t>vijayakumar.ap@ujjivan.com</t>
  </si>
  <si>
    <t>shivaprasad.br@ujjivan.com</t>
  </si>
  <si>
    <t>abdul.azeez@ujjivan.com</t>
  </si>
  <si>
    <t>beulah.p@ujjivan.com</t>
  </si>
  <si>
    <t>sridhar.raghuramaiah@ujjivan.com</t>
  </si>
  <si>
    <t>Shivakumar.saraguru@ujjivan.com</t>
  </si>
  <si>
    <t>somanath.jakkannavar@ujjivan.com</t>
  </si>
  <si>
    <t>amit.chandaragi@ujjivan.com</t>
  </si>
  <si>
    <t>karunakaran.r@ujjivan.com</t>
  </si>
  <si>
    <t>vishwanatha.nv@ujjivan.com</t>
  </si>
  <si>
    <t>anjineya.v@ujjivan.com</t>
  </si>
  <si>
    <t>sakthivelu.subramani@ujjivan.com</t>
  </si>
  <si>
    <t>mallappa.uppunasi@ujjivan.com</t>
  </si>
  <si>
    <t>anandhan.pachiyappan@ujjivan.com</t>
  </si>
  <si>
    <t>anilkumar.hanumantaraya@ujjivan.com</t>
  </si>
  <si>
    <t>eranna.mudenoor@ujjivan.com</t>
  </si>
  <si>
    <t>emmanuel.gnanaseelan@ujjivan.com</t>
  </si>
  <si>
    <t>thrinesh.kumar@ujjivan.com</t>
  </si>
  <si>
    <t>gopinath.bs@ujjivan.com</t>
  </si>
  <si>
    <t>mallappa.balaraddi@ujjivan.com</t>
  </si>
  <si>
    <t>shivanand.deshanur@ujjivan.com</t>
  </si>
  <si>
    <t>kiran.kumar@ujjivan.com</t>
  </si>
  <si>
    <t>prabakaran.mk@ujjivan.com</t>
  </si>
  <si>
    <t>gokula.kannan@ujjivan.com</t>
  </si>
  <si>
    <t>mahakrishnan.a@ujjivan.com</t>
  </si>
  <si>
    <t>mohamed.thasthageer@ujjivan.com</t>
  </si>
  <si>
    <t>mohankumar.ramasamy@ujjivan.com</t>
  </si>
  <si>
    <t>ramamoorthy.k@ujjivan.com</t>
  </si>
  <si>
    <t>-</t>
  </si>
  <si>
    <t>manikandan.n@ujjivan.com</t>
  </si>
  <si>
    <t>dalvin.r@ujjivan.com</t>
  </si>
  <si>
    <t>siva.karuppiah@ujjivan.com</t>
  </si>
  <si>
    <t>sunil.cj@ujjivan.com</t>
  </si>
  <si>
    <t>venkatesh.mani@ujjivan.com</t>
  </si>
  <si>
    <t>mahesvaran.k@ujjivan.com</t>
  </si>
  <si>
    <t>sanesh.kt@ujjivan.com</t>
  </si>
  <si>
    <t>anvar.ali@ujjivan.com</t>
  </si>
  <si>
    <t>ranjithkumar.s@ujjivan.com</t>
  </si>
  <si>
    <t>sijomon.tm@ujjivan.com</t>
  </si>
  <si>
    <t>beersulthan.h@ujjivan.com</t>
  </si>
  <si>
    <t>nivedh.e@ujjivan.com</t>
  </si>
  <si>
    <t>vishnu.k@ujjivan.com</t>
  </si>
  <si>
    <t>geeta.anil@ujjivan.com</t>
  </si>
  <si>
    <t>madavan.r@ujjivan.com</t>
  </si>
  <si>
    <t>raja.maruthappa@ujjivan.com</t>
  </si>
  <si>
    <t>rajesh.r@ujjivan.com</t>
  </si>
  <si>
    <t>rama.krishnan@ujjivan.com</t>
  </si>
  <si>
    <t>rajesh.chaluvaiah@ujjivan.com</t>
  </si>
  <si>
    <t>mayilsamy@ujjivan.com</t>
  </si>
  <si>
    <t>alaguraja.solai@ujjivan.com</t>
  </si>
  <si>
    <t>mahesh.v@ujjivan.com</t>
  </si>
  <si>
    <t>ashokkumar.janardhana@ujjivan.com</t>
  </si>
  <si>
    <t>s.achuthaneyan@ujjivan.com</t>
  </si>
  <si>
    <t>p.sivaprakash@ujjivan.com</t>
  </si>
  <si>
    <t>chithiraikkani.i@ujjivan.com</t>
  </si>
  <si>
    <t>gladson.vethachalam@ujjivan.com</t>
  </si>
  <si>
    <t>shubham.chauhan@ujjivan.com</t>
  </si>
  <si>
    <t>birender.singh@ujjivan.com</t>
  </si>
  <si>
    <t>gajendra.sharma@ujjivan.com</t>
  </si>
  <si>
    <t>kiran.singh@ujjivan.com</t>
  </si>
  <si>
    <t>akshat.sharma@ujjivan.com</t>
  </si>
  <si>
    <t>vijay.chauhan@ujjivan.com</t>
  </si>
  <si>
    <t>shrikant.shandilya@ujjivan.com</t>
  </si>
  <si>
    <t>shubham.sunaria@ujjivan.com</t>
  </si>
  <si>
    <t>pal.suraj@ujjivan.com</t>
  </si>
  <si>
    <t>chandrakant.sharma@ujjivan.com</t>
  </si>
  <si>
    <t>gopesh.raj@ujjivan.com</t>
  </si>
  <si>
    <t>saurabh.singh@ujjivan.com</t>
  </si>
  <si>
    <t>satish.chandra@ujjivan.com</t>
  </si>
  <si>
    <t>mayank.suryavanshi@ujjivan.com</t>
  </si>
  <si>
    <t>anil.diwedi@ujjivan.com</t>
  </si>
  <si>
    <t>surjit.singh@ujjivan.com</t>
  </si>
  <si>
    <t>manoj.yadav@ujjivan.com</t>
  </si>
  <si>
    <t>rameshwar.shukla@ujjivan.com</t>
  </si>
  <si>
    <t>vivek.acharya@ujjivan.com</t>
  </si>
  <si>
    <t>surjeet.yadav@ujjivan.com</t>
  </si>
  <si>
    <t>hasim.ali@ujjivan.com</t>
  </si>
  <si>
    <t>vikas.bedi@ujjivan.com</t>
  </si>
  <si>
    <t>singh.dhananjay@ujjivan.com</t>
  </si>
  <si>
    <t>ranjeet.parihar@ujjivan.com</t>
  </si>
  <si>
    <t>sandeepsingh.18839@ujjivan.com</t>
  </si>
  <si>
    <t>rohit.sevta@ujjivan.com</t>
  </si>
  <si>
    <t>lalit.kumar@ujjivan.com</t>
  </si>
  <si>
    <t>amit.verma@ujjivan.com</t>
  </si>
  <si>
    <t>satyanarayan.savlia@ujjivan.com</t>
  </si>
  <si>
    <t>raj.nagiyan@ujjivan.com</t>
  </si>
  <si>
    <t>mrityunjay.gorana@ujjivan.com</t>
  </si>
  <si>
    <t>jaynarayan.malhare@ujjivan.com</t>
  </si>
  <si>
    <t>chandrani.gautam@ujjivan.com</t>
  </si>
  <si>
    <t>parveen.lohat@ujjivan.com</t>
  </si>
  <si>
    <t>aseem.sachdeva@ujjivan.com</t>
  </si>
  <si>
    <t>vijendra.sharma@ujjivan.com</t>
  </si>
  <si>
    <t>mohit.chauhan@ujjivan.com</t>
  </si>
  <si>
    <t>kumar.sandeep@ujjivan.com</t>
  </si>
  <si>
    <t>priyanshu.jaiswal@ujjivan.com</t>
  </si>
  <si>
    <t>vipin.tyagi@ujjivan.com</t>
  </si>
  <si>
    <t>mp-sanawad-branch@ujjivan.com</t>
  </si>
  <si>
    <t>sandeepkumar.phor@ujjivan.com</t>
  </si>
  <si>
    <t>bijender.tanwar@ujjivan.com</t>
  </si>
  <si>
    <t>vishnu.singh@ujjivan.com</t>
  </si>
  <si>
    <t>ankaj.dhiman@ujjivan.com</t>
  </si>
  <si>
    <t>mukesh.kasotiya@ujjivan.com</t>
  </si>
  <si>
    <t>santlal.verma@ujjivan.com</t>
  </si>
  <si>
    <t>arijit.das@ujjivan.com</t>
  </si>
  <si>
    <t>ranju.mondal@ujjivan.com</t>
  </si>
  <si>
    <t>shubham.tiwari@ujjivan.com</t>
  </si>
  <si>
    <t>monodip.das@ujjivan.com</t>
  </si>
  <si>
    <t>cal-chakdaha-branch@ujjivan.com</t>
  </si>
  <si>
    <t>swarup.sukul@ujjivan.com</t>
  </si>
  <si>
    <t>tridib.kr@ujjivan.com</t>
  </si>
  <si>
    <t>mangalampalli.srinivas@ujjivan.com</t>
  </si>
  <si>
    <t>avijit.pramanik@ujjivan.com</t>
  </si>
  <si>
    <t>santu.kundu@ujjivan.com</t>
  </si>
  <si>
    <t>kavita.swain@ujjivan.com</t>
  </si>
  <si>
    <t>sabir.mirdda@ujjivan.com</t>
  </si>
  <si>
    <t>kumar.sonu@ujjivan.com</t>
  </si>
  <si>
    <t>piyush.kumar@ujjivan.com</t>
  </si>
  <si>
    <t>pradeep.tiwari@ujjivan.com</t>
  </si>
  <si>
    <t>abhijit.saha@ujjivan.com</t>
  </si>
  <si>
    <t>diler.kumar@ujjivan.com</t>
  </si>
  <si>
    <t>sunil.singh@ujjivan.com</t>
  </si>
  <si>
    <t>abhinaw.kumar@ujjivan.com</t>
  </si>
  <si>
    <t>manisankar.banerjee@ujjivan.com</t>
  </si>
  <si>
    <t>sunil.mahato@ujjivan.com</t>
  </si>
  <si>
    <t>abhishek.kumar855@ujjivan.com</t>
  </si>
  <si>
    <t>shylok.singh@ujjivan.com</t>
  </si>
  <si>
    <t>jyoti.tripathy@ujjivan.com</t>
  </si>
  <si>
    <t>kanchan.das@ujjivan.com</t>
  </si>
  <si>
    <t>ramdayal.roy@ujjivan.com</t>
  </si>
  <si>
    <t>krishna.basumatary@ujjivan.com</t>
  </si>
  <si>
    <t>santa.chettri@ujjivan.com</t>
  </si>
  <si>
    <t>khan.sazid@ujjivan.com</t>
  </si>
  <si>
    <t>dablu.kumar@ujjivan.com</t>
  </si>
  <si>
    <t>sourav.chakraborty@ujjivan.com</t>
  </si>
  <si>
    <t>lekhan.konwar@ujjivan.com</t>
  </si>
  <si>
    <t>sudip.manna@ujjivan.com</t>
  </si>
  <si>
    <t>chandan.mishra@ujjivan.com</t>
  </si>
  <si>
    <t>ashish.kumar916@ujjivan.com</t>
  </si>
  <si>
    <t>nayan.borah@ujjivan.com</t>
  </si>
  <si>
    <t>indrajit.de@ujjivan.com</t>
  </si>
  <si>
    <t>vikrant.kumar871@ujjivan.com</t>
  </si>
  <si>
    <t>abdul.rahim@ujjivan.com</t>
  </si>
  <si>
    <t>sanjeet.kumar@ujjivan.com</t>
  </si>
  <si>
    <t>amit.kumar2@ujjivan.com</t>
  </si>
  <si>
    <t>rajnish.kumar138@ujjivan.com</t>
  </si>
  <si>
    <t>pradip.das@ujjivan.com</t>
  </si>
  <si>
    <t>hiren.das@ujjivan.com</t>
  </si>
  <si>
    <t>manoj.sarmah@ujjivan.com</t>
  </si>
  <si>
    <t>dibyajyoti.borah@ujjivan.com</t>
  </si>
  <si>
    <t>samadhan.sawant@ujjivan.com</t>
  </si>
  <si>
    <t>sopan.avhad@ujjivan.com</t>
  </si>
  <si>
    <t>prasad.bhawsar@ujjivan.com</t>
  </si>
  <si>
    <t>akhtar.ali@ujjivan.com</t>
  </si>
  <si>
    <t>yogesh.nagargoje@ujjivan.com</t>
  </si>
  <si>
    <t>dhanraj.more@ujjivan.com</t>
  </si>
  <si>
    <t>Poonam.selakoti@ujjivan.com</t>
  </si>
  <si>
    <t>mahendra.kamble@ujjivan.com</t>
  </si>
  <si>
    <t>gaurav.agrawal@ujjivan.com</t>
  </si>
  <si>
    <t>nilesh.patel.baldevbhai@ujjivan.com</t>
  </si>
  <si>
    <t>Swapnil.shinkar@ujjivan.com</t>
  </si>
  <si>
    <t>kailash.bhoite@ujjivan.com</t>
  </si>
  <si>
    <t>ankush.marathe@ujjivan.com</t>
  </si>
  <si>
    <t>tanaji.bansode@ujjivan.com</t>
  </si>
  <si>
    <t>mrugesh.patel@ujjivan.com</t>
  </si>
  <si>
    <t>salins.christian@ujjivan.com</t>
  </si>
  <si>
    <t>prabhat.sovani@ujjivan.com</t>
  </si>
  <si>
    <t>yashpal.jadhav@ujjivan.com</t>
  </si>
  <si>
    <t>bhagwan.patil@ujjivan.com</t>
  </si>
  <si>
    <t>Mukesh.Chaudhari@ujjivan.com</t>
  </si>
  <si>
    <t>jigar.panchal@ujjivan.com</t>
  </si>
  <si>
    <t>bhavesh.patel@ujjivan.com</t>
  </si>
  <si>
    <t>rupesh.vaghela@ujjivan.com</t>
  </si>
  <si>
    <t>akhilesh.mishra@ujjivan.com</t>
  </si>
  <si>
    <t>manjunath.daivadnya@ujjivan.com</t>
  </si>
  <si>
    <t>rajesh.s607@ujjivan.com</t>
  </si>
  <si>
    <t>sijil.babu@ujjivan.com</t>
  </si>
  <si>
    <t>rubickraja.v@ujjivan.com</t>
  </si>
  <si>
    <t>soundhararajan.d@ujjivan.com</t>
  </si>
  <si>
    <t>premadass.t@ujjivan.com</t>
  </si>
  <si>
    <t>shishir.tripathi@ujjivan.com</t>
  </si>
  <si>
    <t>gopal.singh@ujjivan.com</t>
  </si>
  <si>
    <t>bishu.paul@ujjivan.com</t>
  </si>
  <si>
    <t>Shivraj.More@ujjivan.com</t>
  </si>
  <si>
    <t>tushar.mali@ujjivan.com</t>
  </si>
  <si>
    <t>amol.pawar@ujjivan.com</t>
  </si>
  <si>
    <t>sandeep.mewara@ujjivan.com</t>
  </si>
  <si>
    <t>barkatali.vadhvania@ujjivan.com</t>
  </si>
  <si>
    <t>santosh.bahire@ujjivan.com</t>
  </si>
  <si>
    <t>kamlesh.rajpoot@ujjivan.com</t>
  </si>
  <si>
    <t>sanjaykumar.kondabattini@ujjivan.com</t>
  </si>
  <si>
    <t>shrikant.rokade@ujjivan.com</t>
  </si>
  <si>
    <t>hitesh.bhoyar@ujjivan.com</t>
  </si>
  <si>
    <t>jaydeepsinh.bagsadiya@ujjivan.com</t>
  </si>
  <si>
    <t>UJJ01370</t>
  </si>
  <si>
    <t>UJJ01922</t>
  </si>
  <si>
    <t>UJJ02470</t>
  </si>
  <si>
    <t>UJJ04190</t>
  </si>
  <si>
    <t>UJJ00591</t>
  </si>
  <si>
    <t>UJJ16844</t>
  </si>
  <si>
    <t>UJJ12750</t>
  </si>
  <si>
    <t>UJJ02362</t>
  </si>
  <si>
    <t>UJJ01939</t>
  </si>
  <si>
    <t>UJJ00751</t>
  </si>
  <si>
    <t>UJJ02378</t>
  </si>
  <si>
    <t>UJJ01544</t>
  </si>
  <si>
    <t>UJJ04664</t>
  </si>
  <si>
    <t>UJJ00258</t>
  </si>
  <si>
    <t>UJJ11539</t>
  </si>
  <si>
    <t>UJJ02471</t>
  </si>
  <si>
    <t>UJJ09970</t>
  </si>
  <si>
    <t>UJJ02798</t>
  </si>
  <si>
    <t>UJJ06206</t>
  </si>
  <si>
    <t>UJJ04479</t>
  </si>
  <si>
    <t>UJJ10416</t>
  </si>
  <si>
    <t>UJJ03046</t>
  </si>
  <si>
    <t>UJJ12704</t>
  </si>
  <si>
    <t>UJJ10169</t>
  </si>
  <si>
    <t>UJJ15787</t>
  </si>
  <si>
    <t>UJJ00744</t>
  </si>
  <si>
    <t>UJJ00797</t>
  </si>
  <si>
    <t>UJJ01808</t>
  </si>
  <si>
    <t>UJJ11184</t>
  </si>
  <si>
    <t>UJJ00432</t>
  </si>
  <si>
    <t>UJJ05491</t>
  </si>
  <si>
    <t>UJJ12318</t>
  </si>
  <si>
    <t>UJJ09998</t>
  </si>
  <si>
    <t>UJJ11191</t>
  </si>
  <si>
    <t>UJJ20744</t>
  </si>
  <si>
    <t>UJJ02365</t>
  </si>
  <si>
    <t>UJJ11129</t>
  </si>
  <si>
    <t>UJJ04256</t>
  </si>
  <si>
    <t>UJJ12398</t>
  </si>
  <si>
    <t>UJJ12714</t>
  </si>
  <si>
    <t>UJJ12745</t>
  </si>
  <si>
    <t>UJJ00332</t>
  </si>
  <si>
    <t>UJJ25929</t>
  </si>
  <si>
    <t>UJJ04945</t>
  </si>
  <si>
    <t>UJJ27553</t>
  </si>
  <si>
    <t>UJJ04925</t>
  </si>
  <si>
    <t>UJJ21591</t>
  </si>
  <si>
    <t>UJJ21901</t>
  </si>
  <si>
    <t>UJJ18722</t>
  </si>
  <si>
    <t>UJJ23754</t>
  </si>
  <si>
    <t>UJJ04408</t>
  </si>
  <si>
    <t>UJJ07068</t>
  </si>
  <si>
    <t>UJJ15053</t>
  </si>
  <si>
    <t>UJJ26906</t>
  </si>
  <si>
    <t>UJJ14165</t>
  </si>
  <si>
    <t>UJJ19327</t>
  </si>
  <si>
    <t>UJJ24825</t>
  </si>
  <si>
    <t>UJJ22093</t>
  </si>
  <si>
    <t>UJJ22549</t>
  </si>
  <si>
    <t>UJJ01417</t>
  </si>
  <si>
    <t>UJJ25553</t>
  </si>
  <si>
    <t>UJJ23143</t>
  </si>
  <si>
    <t>UJJ03202</t>
  </si>
  <si>
    <t>UJJ04462</t>
  </si>
  <si>
    <t>UJJ02527</t>
  </si>
  <si>
    <t>UJJ01713</t>
  </si>
  <si>
    <t>UJJ06221</t>
  </si>
  <si>
    <t>UJJ03479</t>
  </si>
  <si>
    <t>UJJ05928</t>
  </si>
  <si>
    <t>UJJ12691</t>
  </si>
  <si>
    <t>UJJ11581</t>
  </si>
  <si>
    <t>UJJ05290</t>
  </si>
  <si>
    <t>UJJ12724</t>
  </si>
  <si>
    <t>UJJ21909</t>
  </si>
  <si>
    <t>UJJ19314</t>
  </si>
  <si>
    <t>UJJ18368</t>
  </si>
  <si>
    <t>UJJ21904</t>
  </si>
  <si>
    <t>UJJ11151</t>
  </si>
  <si>
    <t>UJJ01941</t>
  </si>
  <si>
    <t>UJJ17937</t>
  </si>
  <si>
    <t>UJJ12316</t>
  </si>
  <si>
    <t>UJJ05700</t>
  </si>
  <si>
    <t>UJJ15548</t>
  </si>
  <si>
    <t>UJJ06605</t>
  </si>
  <si>
    <t>UJJ13670</t>
  </si>
  <si>
    <t>UJJ17936</t>
  </si>
  <si>
    <t>UJJ03203</t>
  </si>
  <si>
    <t>UJJ07112</t>
  </si>
  <si>
    <t>UJJ12712</t>
  </si>
  <si>
    <t>UJJ05872</t>
  </si>
  <si>
    <t>UJJ26871</t>
  </si>
  <si>
    <t>UJJ03241</t>
  </si>
  <si>
    <t>UJJ02512</t>
  </si>
  <si>
    <t>UJJ27138</t>
  </si>
  <si>
    <t>UJJ10155</t>
  </si>
  <si>
    <t>UJJ17205</t>
  </si>
  <si>
    <t>UJJ02220</t>
  </si>
  <si>
    <t>UJJ22744</t>
  </si>
  <si>
    <t>UJJ21192</t>
  </si>
  <si>
    <t>UJJ06929</t>
  </si>
  <si>
    <t>UJJ02897</t>
  </si>
  <si>
    <t>UJJ24916</t>
  </si>
  <si>
    <t>UJJ05669</t>
  </si>
  <si>
    <t>UJJ02902</t>
  </si>
  <si>
    <t>UJJ22855</t>
  </si>
  <si>
    <t>UJJ21520</t>
  </si>
  <si>
    <t>UJJ16636</t>
  </si>
  <si>
    <t>UJJ14512</t>
  </si>
  <si>
    <t>UJJ08821</t>
  </si>
  <si>
    <t>UJJ13604</t>
  </si>
  <si>
    <t>UJJ05072</t>
  </si>
  <si>
    <t>UJJ24764</t>
  </si>
  <si>
    <t>UJJ17875</t>
  </si>
  <si>
    <t>UJJ10170</t>
  </si>
  <si>
    <t>UJJ09608</t>
  </si>
  <si>
    <t>UJJ10263</t>
  </si>
  <si>
    <t>UJJ17311</t>
  </si>
  <si>
    <t>UJJ17206</t>
  </si>
  <si>
    <t>UJJ29248</t>
  </si>
  <si>
    <t>UJJ21291</t>
  </si>
  <si>
    <t>UJJ10861</t>
  </si>
  <si>
    <t>UJJ19922</t>
  </si>
  <si>
    <t>UJJ30293</t>
  </si>
  <si>
    <t>UJJ27796</t>
  </si>
  <si>
    <t>UJJ21097</t>
  </si>
  <si>
    <t>UJJ19693</t>
  </si>
  <si>
    <t>UJJ20177</t>
  </si>
  <si>
    <t>UJJ21924</t>
  </si>
  <si>
    <t>UJJ21172</t>
  </si>
  <si>
    <t>UJJ21119</t>
  </si>
  <si>
    <t>UJJ20410</t>
  </si>
  <si>
    <t>UJJ06289</t>
  </si>
  <si>
    <t>UJJ05766</t>
  </si>
  <si>
    <t>UJJ21922</t>
  </si>
  <si>
    <t>UJJ17107</t>
  </si>
  <si>
    <t>UJJ16163</t>
  </si>
  <si>
    <t>UJJ10217</t>
  </si>
  <si>
    <t>UJJ14057</t>
  </si>
  <si>
    <t>UJJ19814</t>
  </si>
  <si>
    <t>UJJ30505</t>
  </si>
  <si>
    <t>UJJ06785</t>
  </si>
  <si>
    <t>UJJ12107</t>
  </si>
  <si>
    <t>UJJ21269</t>
  </si>
  <si>
    <t>UJJ16005</t>
  </si>
  <si>
    <t>UJJ20571</t>
  </si>
  <si>
    <t>UJJ21257</t>
  </si>
  <si>
    <t>UJJ06352</t>
  </si>
  <si>
    <t>UJJ14544</t>
  </si>
  <si>
    <t>UJJ06881</t>
  </si>
  <si>
    <t>UJJ20411</t>
  </si>
  <si>
    <t>UJJ13230</t>
  </si>
  <si>
    <t>UJJ21920</t>
  </si>
  <si>
    <t>UJJ15832</t>
  </si>
  <si>
    <t>UJJ14082</t>
  </si>
  <si>
    <t>UJJ21911</t>
  </si>
  <si>
    <t>UJJ15492</t>
  </si>
  <si>
    <t>UJJ21733</t>
  </si>
  <si>
    <t>UJJ04577</t>
  </si>
  <si>
    <t>UJJ21278</t>
  </si>
  <si>
    <t>UJJ02404</t>
  </si>
  <si>
    <t>UJJ04094</t>
  </si>
  <si>
    <t>UJJ00329</t>
  </si>
  <si>
    <t>UJJ17667</t>
  </si>
  <si>
    <t>UJJ14088</t>
  </si>
  <si>
    <t>UJJ20990</t>
  </si>
  <si>
    <t>UJJ21061</t>
  </si>
  <si>
    <t>UJJ07275</t>
  </si>
  <si>
    <t>UJJ08967</t>
  </si>
  <si>
    <t>UJJ05135</t>
  </si>
  <si>
    <t>UJJ13354</t>
  </si>
  <si>
    <t>UJJ10085</t>
  </si>
  <si>
    <t>UJJ11124</t>
  </si>
  <si>
    <t>UJJ15009</t>
  </si>
  <si>
    <t>UJJ04838</t>
  </si>
  <si>
    <t>UJJ13143</t>
  </si>
  <si>
    <t>UJJ15518</t>
  </si>
  <si>
    <t>UJJ18199</t>
  </si>
  <si>
    <t>UJJ14806</t>
  </si>
  <si>
    <t>UJJ18839</t>
  </si>
  <si>
    <t>UJJ17906</t>
  </si>
  <si>
    <t>UJJ08923</t>
  </si>
  <si>
    <t>UJJ12030</t>
  </si>
  <si>
    <t>UJJ02196</t>
  </si>
  <si>
    <t>UJJ05177</t>
  </si>
  <si>
    <t>UJJ11547</t>
  </si>
  <si>
    <t>UJJ15658</t>
  </si>
  <si>
    <t>UJJ22439</t>
  </si>
  <si>
    <t>UJJ03683</t>
  </si>
  <si>
    <t>UJJ07480</t>
  </si>
  <si>
    <t>UJJ17985</t>
  </si>
  <si>
    <t>UJJ17147</t>
  </si>
  <si>
    <t>UJJ10063</t>
  </si>
  <si>
    <t>UJJ11127</t>
  </si>
  <si>
    <t>UJJ21910</t>
  </si>
  <si>
    <t>UJJ09544</t>
  </si>
  <si>
    <t>UJJ05782</t>
  </si>
  <si>
    <t>UJJ15008</t>
  </si>
  <si>
    <t>UJJ04325</t>
  </si>
  <si>
    <t>UJJ14298</t>
  </si>
  <si>
    <t>UJJ09662</t>
  </si>
  <si>
    <t>UJJ01524</t>
  </si>
  <si>
    <t>UJJ14369</t>
  </si>
  <si>
    <t>UJJ26215</t>
  </si>
  <si>
    <t>UJJ17385</t>
  </si>
  <si>
    <t>UJJ20487</t>
  </si>
  <si>
    <t>UJJ07207</t>
  </si>
  <si>
    <t>UJJ08818</t>
  </si>
  <si>
    <t>UJJ24862</t>
  </si>
  <si>
    <t>UJJ11499</t>
  </si>
  <si>
    <t>UJJ20454</t>
  </si>
  <si>
    <t>UJJ25823</t>
  </si>
  <si>
    <t>UJJ27282</t>
  </si>
  <si>
    <t>UJJ26278</t>
  </si>
  <si>
    <t>UJJ05377</t>
  </si>
  <si>
    <t>UJJ05949</t>
  </si>
  <si>
    <t>UJJ02988</t>
  </si>
  <si>
    <t>UJJ26737</t>
  </si>
  <si>
    <t>UJJ21025</t>
  </si>
  <si>
    <t>UJJ21075</t>
  </si>
  <si>
    <t>UJJ03136</t>
  </si>
  <si>
    <t>UJJ26549</t>
  </si>
  <si>
    <t>UJJ12429</t>
  </si>
  <si>
    <t>UJJ26757</t>
  </si>
  <si>
    <t>UJJ23744</t>
  </si>
  <si>
    <t>UJJ09001</t>
  </si>
  <si>
    <t>UJJ20483</t>
  </si>
  <si>
    <t>UJJ25887</t>
  </si>
  <si>
    <t>UJJ07607</t>
  </si>
  <si>
    <t>UJJ08306</t>
  </si>
  <si>
    <t>UJJ23282</t>
  </si>
  <si>
    <t>UJJ23284</t>
  </si>
  <si>
    <t>UJJ29709</t>
  </si>
  <si>
    <t>UJJ25003</t>
  </si>
  <si>
    <t>UJJ25006</t>
  </si>
  <si>
    <t>UJJ21667</t>
  </si>
  <si>
    <t>UJJ27002</t>
  </si>
  <si>
    <t>UJJ03579</t>
  </si>
  <si>
    <t>UJJ25856</t>
  </si>
  <si>
    <t>UJJ28566</t>
  </si>
  <si>
    <t>UJJ05629</t>
  </si>
  <si>
    <t>UJJ12389</t>
  </si>
  <si>
    <t>UJJ22935</t>
  </si>
  <si>
    <t>UJJ22181</t>
  </si>
  <si>
    <t>UJJ20761</t>
  </si>
  <si>
    <t>UJJ14436</t>
  </si>
  <si>
    <t>UJJ09454</t>
  </si>
  <si>
    <t>UJJ07592</t>
  </si>
  <si>
    <t>UJJ23473</t>
  </si>
  <si>
    <t>UJJ25004</t>
  </si>
  <si>
    <t>UJJ01588</t>
  </si>
  <si>
    <t>UJJ13486</t>
  </si>
  <si>
    <t>UJJ13474</t>
  </si>
  <si>
    <t>UJJ25835</t>
  </si>
  <si>
    <t>UJJ21076</t>
  </si>
  <si>
    <t>UJJ09655</t>
  </si>
  <si>
    <t>UJJ01734</t>
  </si>
  <si>
    <t>UJJ29259</t>
  </si>
  <si>
    <t>UJJ23481</t>
  </si>
  <si>
    <t>UJJ25855</t>
  </si>
  <si>
    <t>UJJ18545</t>
  </si>
  <si>
    <t>UJJ22487</t>
  </si>
  <si>
    <t>UJJ23369</t>
  </si>
  <si>
    <t>UJJ14567</t>
  </si>
  <si>
    <t>UJJ25453</t>
  </si>
  <si>
    <t>UJJ22904</t>
  </si>
  <si>
    <t>UJJ14753</t>
  </si>
  <si>
    <t>UJJ14649</t>
  </si>
  <si>
    <t>fatik.shaikh@ujjivan.com</t>
  </si>
  <si>
    <t>sudipto.mondal@ujjivan.com</t>
  </si>
  <si>
    <t>mukesh.sahu@ujjivan.com</t>
  </si>
  <si>
    <t>tarun.ghosh@ujjivan.com</t>
  </si>
  <si>
    <t>amarkumar.guha@ujjivan.com</t>
  </si>
  <si>
    <t>samir.roy@ujjivan.com</t>
  </si>
  <si>
    <t>prakash.ghosh@ujjivan.com</t>
  </si>
  <si>
    <t>ranjit.bhandary@ujjivan.com</t>
  </si>
  <si>
    <t>subhankar.saha@ujjivan.com</t>
  </si>
  <si>
    <t>milan.biswas@ujjivan.com</t>
  </si>
  <si>
    <t>abhijit.biswas@ujjivan.com</t>
  </si>
  <si>
    <t>balaram.seth@ujjivan.com</t>
  </si>
  <si>
    <t>dipu.das@ujjivan.com</t>
  </si>
  <si>
    <t>ashim.biswas@ujjivan.com</t>
  </si>
  <si>
    <t>kunal.naskar@ujjivan.com</t>
  </si>
  <si>
    <t>subrata.modak@ujjivan.com</t>
  </si>
  <si>
    <t>binoy.debnath@ujjivan.com</t>
  </si>
  <si>
    <t>rabin.mandal@ujjivan.com</t>
  </si>
  <si>
    <t>nirmal.ghosh@ujjivan.com</t>
  </si>
  <si>
    <t>satyajit.ghatak@ujjivan.com</t>
  </si>
  <si>
    <t>tamijul.islam@ujjivan.com</t>
  </si>
  <si>
    <t>cal-thakurpukur-branch@ujjivan.com</t>
  </si>
  <si>
    <t>avik.ghosh@ujjivan.com</t>
  </si>
  <si>
    <t>sujit.halder@ujjivan.com</t>
  </si>
  <si>
    <t>abhijit.santra@ujjivan.com</t>
  </si>
  <si>
    <t>snehasish.biswas@ujjivan.com</t>
  </si>
  <si>
    <t>joydeb.karmakar@ujjivan.com</t>
  </si>
  <si>
    <t>das.utpal@ujjivan.com</t>
  </si>
  <si>
    <t>bimal.nayak@ujjivan.com</t>
  </si>
  <si>
    <t>narayan.biswas@ujjivan.com</t>
  </si>
  <si>
    <t>rajib.bairagi@ujjivan.com</t>
  </si>
  <si>
    <t>cal-habra-branch@ujjivan.com</t>
  </si>
  <si>
    <t>ratan.sarkar@ujjivan.com</t>
  </si>
  <si>
    <t>nirmalendu.saha@ujjivan.com</t>
  </si>
  <si>
    <t>shankar.jha@ujjivan.com</t>
  </si>
  <si>
    <t>chandan.ray@ujjivan.com</t>
  </si>
  <si>
    <t>prasenjit.laskar@ujjivan.com</t>
  </si>
  <si>
    <t>sudeb.das@ujjivan.com</t>
  </si>
  <si>
    <t>suman.kundu@ujjivan.com</t>
  </si>
  <si>
    <t>krishna.adhikari@ujjivan.com</t>
  </si>
  <si>
    <t>surojit.das@ujjivan.com</t>
  </si>
  <si>
    <t>papu.kalita@ujjivan.com</t>
  </si>
  <si>
    <t>mustafa.hussain@ujjivan.com</t>
  </si>
  <si>
    <t>nayanjyoti.kalita@ujjivan.com</t>
  </si>
  <si>
    <t>tarique.aziz@ujjivan.com</t>
  </si>
  <si>
    <t>nabab.ahmed@ujjivan.com</t>
  </si>
  <si>
    <t>kryshanskhem.laloo@ujjivan.com</t>
  </si>
  <si>
    <t>gopal.pradhan@ujjivan.com</t>
  </si>
  <si>
    <t>rakesh.singh@ujjivan.com</t>
  </si>
  <si>
    <t>sen.sandip@ujjivan.com</t>
  </si>
  <si>
    <t>sumitra.sahu@ujjivan.com</t>
  </si>
  <si>
    <t>deepak.kumar@ujjivan.com</t>
  </si>
  <si>
    <t>mukesh.kr@ujjivan.com</t>
  </si>
  <si>
    <t>chandan.mahato@ujjivan.com</t>
  </si>
  <si>
    <t>jha-ghatsilabranch@ujjivan.com</t>
  </si>
  <si>
    <t>samir.pandey@ujjivan.com</t>
  </si>
  <si>
    <t>sarfaraz.ahmad@ujjivan.com</t>
  </si>
  <si>
    <t>r.kumar@ujjivan.com</t>
  </si>
  <si>
    <t>laxmikant.roy@ujjivan.com</t>
  </si>
  <si>
    <t>sujan.chakraborty@ujjivan.com</t>
  </si>
  <si>
    <t>krishna.agarwal@ujjivan.com</t>
  </si>
  <si>
    <t>anand.pathak@ujjivan.com</t>
  </si>
  <si>
    <t>bharat.shaw@ujjivan.com</t>
  </si>
  <si>
    <t>narayan.mishra@ujjivan.com</t>
  </si>
  <si>
    <t>ccr.samantarapur@ujjivan.com</t>
  </si>
  <si>
    <t>cal-sutahata-branch@ujjivan.com</t>
  </si>
  <si>
    <t>manas.roul@ujjivan.com</t>
  </si>
  <si>
    <t>pintu.rahaman@ujjivan.com</t>
  </si>
  <si>
    <t>abhijit.maity@ujjivan.com</t>
  </si>
  <si>
    <t>monoranjan.debnath@ujjivan.com</t>
  </si>
  <si>
    <t>rajkishor.behera@ujjivan.com</t>
  </si>
  <si>
    <t>sanatan.sethy@ujjivan.com</t>
  </si>
  <si>
    <t>manas.sasmal@ujjivan.com</t>
  </si>
  <si>
    <t>kishore.lenka@ujjivan.com</t>
  </si>
  <si>
    <t>sudarshan.duyari@ujjivan.com</t>
  </si>
  <si>
    <t>animesh.nayak@ujjivan.com</t>
  </si>
  <si>
    <t>ramesh.sah@ujjivan.com</t>
  </si>
  <si>
    <t>kumar.sanjay@ujjivan.com</t>
  </si>
  <si>
    <t>deepak.kumar646@ujjivan.com</t>
  </si>
  <si>
    <t>sudhir.kumar266@ujjivan.com</t>
  </si>
  <si>
    <t>amber.raj@ujjivan.com</t>
  </si>
  <si>
    <t>prakash.bhanu@ujjivan.com</t>
  </si>
  <si>
    <t>marshal.raj@ujjivan.com</t>
  </si>
  <si>
    <t>shivkant.kumar@ujjivan.com</t>
  </si>
  <si>
    <t>mahesh.singh@ujjivan.com</t>
  </si>
  <si>
    <t>vishalkumar.sinha@ujjivan.com</t>
  </si>
  <si>
    <t>harishchandra.kumar@ujjivan.com</t>
  </si>
  <si>
    <t>rajeevranjan.kumar@ujjivan.com</t>
  </si>
  <si>
    <t>amit.arya@ujjivan.com</t>
  </si>
  <si>
    <t>amitkumar.04903@ujjivan.com</t>
  </si>
  <si>
    <t>mohan.paswan@ujjivan.com</t>
  </si>
  <si>
    <t>amar.sharma@ujjivan.com</t>
  </si>
  <si>
    <t>sakaldip.sharma@ujjivan.com</t>
  </si>
  <si>
    <t>partha.debnath@ujjivan.com</t>
  </si>
  <si>
    <t>goutam.debnath@ujjivan.com</t>
  </si>
  <si>
    <t>sushanta.deb@ujjivan.com</t>
  </si>
  <si>
    <t>jabed.hossain@ujjivan.com</t>
  </si>
  <si>
    <t>biswajit.acharjee@ujjivan.com</t>
  </si>
  <si>
    <t>yogesh.vankar@ujjivan.com</t>
  </si>
  <si>
    <t>kunal.devkar@ujjivan.com</t>
  </si>
  <si>
    <t>anita.musudage@ujjivan.com</t>
  </si>
  <si>
    <t>swapnil.vibhute@ujjivan.com</t>
  </si>
  <si>
    <t>tabassum.shaikh@ujjivan.com</t>
  </si>
  <si>
    <t>Kaustubh.Tiwari@ujjivan.com</t>
  </si>
  <si>
    <t>tushar.badale@ujjivan.com</t>
  </si>
  <si>
    <t>sachin.mandavkar@ujjivan.com</t>
  </si>
  <si>
    <t>ravi.kakade@ujjivan.com</t>
  </si>
  <si>
    <t>amol.joshi@ujjivan.com</t>
  </si>
  <si>
    <t>pappu.saroj@ujjivan.com</t>
  </si>
  <si>
    <t>Prasad.Chavan@ujjivan.com</t>
  </si>
  <si>
    <t>sandeep.nagare@ujjivan.com</t>
  </si>
  <si>
    <t>soniya.bhagat@ujjivan.com</t>
  </si>
  <si>
    <t>archana.shaha@ujjivan.com</t>
  </si>
  <si>
    <t>amravati.kori@ujjivan.com</t>
  </si>
  <si>
    <t>hemlata.pande@ujjivan.com</t>
  </si>
  <si>
    <t>pandurang.shinde@ujjivan.com</t>
  </si>
  <si>
    <t>girish.gamit@ujjivan.com</t>
  </si>
  <si>
    <t>sagar.bavishi@ujjivan.com</t>
  </si>
  <si>
    <t>prakash.patel@ujjivan.com</t>
  </si>
  <si>
    <t>kavita.pawar@ujjivan.com</t>
  </si>
  <si>
    <t>dievijay.jadhav@ujjivan.com</t>
  </si>
  <si>
    <t>bhakti.nena@ujjivan.com</t>
  </si>
  <si>
    <t>sumaiya.qureshi@ujjivan.com</t>
  </si>
  <si>
    <t>dadasaheb.ghode@ujjivan.com</t>
  </si>
  <si>
    <t>bhoomika.khamkar@ujjivan.com</t>
  </si>
  <si>
    <t>sumeet.parmar@ujjivan.com</t>
  </si>
  <si>
    <t>sunita.rohit@ujjivan.com</t>
  </si>
  <si>
    <t>milan.tarsariya@ujjivan.com</t>
  </si>
  <si>
    <t>kalpeshkumar.rathod@ujjivan.com</t>
  </si>
  <si>
    <t>kedar.dahale@ujjivan.com</t>
  </si>
  <si>
    <t>ajay.patil@ujjivan.com</t>
  </si>
  <si>
    <t>sonali.ebitkar@ujjivan.com</t>
  </si>
  <si>
    <t>santosh.bhalerao@ujjivan.com</t>
  </si>
  <si>
    <t>rahul.lohar@ujjivan.com</t>
  </si>
  <si>
    <t>manoj.mali@ujjivan.com</t>
  </si>
  <si>
    <t>mahamad.yaquob@ujjivan.com</t>
  </si>
  <si>
    <t>akram.makandar@ujjivan.com</t>
  </si>
  <si>
    <t>laxman.jetithor@ujjivan.com</t>
  </si>
  <si>
    <t>hemant.phadatre@ujjivan.com</t>
  </si>
  <si>
    <t>naresh.parmar@ujjivan.com</t>
  </si>
  <si>
    <t>hitesh.yadav@ujjivan.com</t>
  </si>
  <si>
    <t>ganesh.badgujar@ujjivan.com</t>
  </si>
  <si>
    <t>rajkumar.patil@ujjivan.com</t>
  </si>
  <si>
    <t>yogesh.chaudhari@ujjivan.com</t>
  </si>
  <si>
    <t>kiran.damare@ujjivan.com</t>
  </si>
  <si>
    <t>samadhan.janjal@ujjivan.com</t>
  </si>
  <si>
    <t>ghansham.fegade@ujjivan.com</t>
  </si>
  <si>
    <t>govind.nirmal@ujjivan.com</t>
  </si>
  <si>
    <t>rafik.vohra@ujjivan.com</t>
  </si>
  <si>
    <t>priteshkumar@ujjivan.com</t>
  </si>
  <si>
    <t>nirav.vyas@ujjivan.com</t>
  </si>
  <si>
    <t>prakash.ramoliya@ujjivan.com</t>
  </si>
  <si>
    <t>sachin.mishra203@ujjivan.com</t>
  </si>
  <si>
    <t>lalaramyadav@ujjivan.com</t>
  </si>
  <si>
    <t>balvantsinh.chauhan@ujjivan.com</t>
  </si>
  <si>
    <t>dharmeshkumar.chaudhari@ujjivan.com</t>
  </si>
  <si>
    <t>somnath.dhamal@ujjivan.com</t>
  </si>
  <si>
    <t>banty.pilankar@ujjivan.com</t>
  </si>
  <si>
    <t>ghanshyambhai.parmar@ujjivan.com</t>
  </si>
  <si>
    <t>yuvrajsinh.vaghela@ujjivan.com</t>
  </si>
  <si>
    <t>narendra.sinha@ujjivan.com</t>
  </si>
  <si>
    <t>ombeer.sharma@ujjivan.com</t>
  </si>
  <si>
    <t>neeraj.kumar@ujjivan.com</t>
  </si>
  <si>
    <t>manoj.tiwari@ujjivan.com</t>
  </si>
  <si>
    <t>arif.khan@ujjivan.com</t>
  </si>
  <si>
    <t>manoj.sharma@ujjivan.com</t>
  </si>
  <si>
    <t>hitesh.vimal@ujjivan.com</t>
  </si>
  <si>
    <t>manojkumar.baghel@ujjivan.com</t>
  </si>
  <si>
    <t>prabin.devedi@ujjivan.com</t>
  </si>
  <si>
    <t>sudhir.panwar@ujjivan.com</t>
  </si>
  <si>
    <t>mohd.arslaan@ujjivan.com</t>
  </si>
  <si>
    <t>bhagwan.rawat@ujjivan.com</t>
  </si>
  <si>
    <t>sharma.pankaj@ujjivan.com</t>
  </si>
  <si>
    <t>ghanshyam.verma@ujjivan.com</t>
  </si>
  <si>
    <t>sharma.anil@ujjivan.com</t>
  </si>
  <si>
    <t>vijay.shankar@ujjivan.com</t>
  </si>
  <si>
    <t>pratibha.tiwari@ujjivan.com</t>
  </si>
  <si>
    <t>deepak.magavanshi@ujjivan.com</t>
  </si>
  <si>
    <t>sachin.patwal@ujjivan.com</t>
  </si>
  <si>
    <t>vikas.thakur959@ujjivan.com</t>
  </si>
  <si>
    <t>jogendra.kumar@ujjivan.com</t>
  </si>
  <si>
    <t>deda.ram@ujjivan.com</t>
  </si>
  <si>
    <t>pankaj.kumar642@ujjivan.com</t>
  </si>
  <si>
    <t>deepakbhati@ujjivan.com</t>
  </si>
  <si>
    <t>ram.prasad@ujjivan.com</t>
  </si>
  <si>
    <t>sanjeev.gondwall@ujjivan.com</t>
  </si>
  <si>
    <t>atul.prakash@ujjivan.com</t>
  </si>
  <si>
    <t>satpal.shrivastav@ujjivan.com</t>
  </si>
  <si>
    <t>Vikas.tanwar@ujjivan.com</t>
  </si>
  <si>
    <t>amit.saraswat@ujjivan.com</t>
  </si>
  <si>
    <t>gaurav.gautam@ujjivan.com</t>
  </si>
  <si>
    <t>jagdeep.kumar@ujjivan.com</t>
  </si>
  <si>
    <t>sonu.sagar@ujjivan.com</t>
  </si>
  <si>
    <t>amit.maheshwari@ujjivan.com</t>
  </si>
  <si>
    <t>sandeep.bhardwaj@ujjivan.com</t>
  </si>
  <si>
    <t>anup.ruhil@ujjivan.com</t>
  </si>
  <si>
    <t>ramkishan.yadav@ujjivan.com</t>
  </si>
  <si>
    <t>lokesh.sen@ujjivan.com</t>
  </si>
  <si>
    <t>mohd.imran@ujjivan.com</t>
  </si>
  <si>
    <t>pankaj.singh@ujjivan.com</t>
  </si>
  <si>
    <t>avtar.singh@ujjivan.com</t>
  </si>
  <si>
    <t>nareshkumar.chhimpa@ujjivan.com</t>
  </si>
  <si>
    <t>deepak.dalal@ujjivan.com</t>
  </si>
  <si>
    <t>gurvinder.singh@ujjivan.com</t>
  </si>
  <si>
    <t>bhuvnesh.kumar@ujjivan.com</t>
  </si>
  <si>
    <t>karan.singh@ujjivan.com</t>
  </si>
  <si>
    <t>kamal.sharma@ujjivan.com</t>
  </si>
  <si>
    <t>deepesh.kumar@ujjivan.com</t>
  </si>
  <si>
    <t>satnam.singh@ujjivan.com</t>
  </si>
  <si>
    <t>deepak.k@ujjivan.com</t>
  </si>
  <si>
    <t>arun.nama@ujjivan.com</t>
  </si>
  <si>
    <t>parth.sehgal@ujjivan.com</t>
  </si>
  <si>
    <t>ccr.rishikesh@ujjivan.com</t>
  </si>
  <si>
    <t>jitendra.Yadav@ujjivan.com</t>
  </si>
  <si>
    <t>hari.mewada@ujjivan.com</t>
  </si>
  <si>
    <t>omprakash.meghwal@ujjivan.com</t>
  </si>
  <si>
    <t>sanjeev.kumar604@ujjivan.com</t>
  </si>
  <si>
    <t>subash.majoka@ujjivan.com</t>
  </si>
  <si>
    <t>sanjeev.joshi@ujjivan.com</t>
  </si>
  <si>
    <t>rajinder.kumar@ujjivan.com</t>
  </si>
  <si>
    <t>narvir.singh@ujjivan.com</t>
  </si>
  <si>
    <t>suman.shakur@ujjivan.com</t>
  </si>
  <si>
    <t>ccr.khandwa@ujjivan.com</t>
  </si>
  <si>
    <t>kalu.ram@ujjivan.com</t>
  </si>
  <si>
    <t>raja.ram@ujjivan.com</t>
  </si>
  <si>
    <t>amrik.singh@ujjivan.com</t>
  </si>
  <si>
    <t>yash.pal@ujjivan.com</t>
  </si>
  <si>
    <t>naresh.saini@ujjivan.com</t>
  </si>
  <si>
    <t>arvindkumar.singh@ujjivan.com</t>
  </si>
  <si>
    <t>Vikash.bansal@ujjivan.com</t>
  </si>
  <si>
    <t>hari.kaushik@ujjivan.com</t>
  </si>
  <si>
    <t>anand.choudhary@ujjivan.com</t>
  </si>
  <si>
    <t>bharat.singh@ujjivan.com</t>
  </si>
  <si>
    <t>sandeep.pandey@ujjivan.com</t>
  </si>
  <si>
    <t>monu.kumar@ujjivan.com</t>
  </si>
  <si>
    <t>gurpreet.singh814@ujjivan.com</t>
  </si>
  <si>
    <t>ashutosh.singh@ujjivan.com</t>
  </si>
  <si>
    <t>satpalsingh.jangra@ujjivan.com</t>
  </si>
  <si>
    <t>sanjeev.kumar720@ujjivan.com</t>
  </si>
  <si>
    <t>ramandeep.singh@ujjivan.com</t>
  </si>
  <si>
    <t>rahul.aryan@ujjivan.com</t>
  </si>
  <si>
    <t>eshwar.sharma@ujjivan.com</t>
  </si>
  <si>
    <t>anil.kumar162@ujjivan.com</t>
  </si>
  <si>
    <t>fatehsingh.yogi@ujjivan.com</t>
  </si>
  <si>
    <t>hariom.modi@ujjivan.com</t>
  </si>
  <si>
    <t>thilakavathi.d@ujjivan.com</t>
  </si>
  <si>
    <t>bhanupriya.am@ujjivan.com</t>
  </si>
  <si>
    <t>ramakrishna.k@ujjivan.com</t>
  </si>
  <si>
    <t>hemavathi.narayanappa@ujjivan.com</t>
  </si>
  <si>
    <t>manjunath.bhat@ujjivan.com</t>
  </si>
  <si>
    <t>mahesh.puttaraju@ujjivan.com</t>
  </si>
  <si>
    <t>manjula@ujjivan.com</t>
  </si>
  <si>
    <t>muniraja.muniyappa@ujjivan.com</t>
  </si>
  <si>
    <t>yogesha.sh@ujjivan.com</t>
  </si>
  <si>
    <t>manoj.n@ujjivan.com</t>
  </si>
  <si>
    <t>muni.krishnappa@ujjivan.com</t>
  </si>
  <si>
    <t>harish.babu@ujjivan.com</t>
  </si>
  <si>
    <t>nagesh.appaiah@ujjivan.com</t>
  </si>
  <si>
    <t>latha.mk@ujjivan.com</t>
  </si>
  <si>
    <t>manjunatha.narayana@ujjivan.com</t>
  </si>
  <si>
    <t>ramesha.ponnuswamy@ujjivan.com</t>
  </si>
  <si>
    <t>virupakshi.h@ujjivan.com</t>
  </si>
  <si>
    <t>shivaprakash.sivam@ujjivan.com</t>
  </si>
  <si>
    <t>nagaraj.p@ujjivan.com</t>
  </si>
  <si>
    <t>dasar.yr@ujjivan.com</t>
  </si>
  <si>
    <t>sankar.arumugam@ujjivan.com</t>
  </si>
  <si>
    <t>ravi.naik@ujjivan.com</t>
  </si>
  <si>
    <t>nagaraja.kk@ujjivan.com</t>
  </si>
  <si>
    <t>gowdra.prahalada@ujjivan.com</t>
  </si>
  <si>
    <t>nagaraj.naik@ujjivan.com</t>
  </si>
  <si>
    <t>muthuraman.a@ujjivan.com</t>
  </si>
  <si>
    <t>balanayaka.m@ujjivan.com</t>
  </si>
  <si>
    <t>sandeepkumar.bs@ujjivan.com</t>
  </si>
  <si>
    <t>naveen.malleshappa@ujjivan.com</t>
  </si>
  <si>
    <t>baskaracharya.km@ujjivan.com</t>
  </si>
  <si>
    <t>raju.rangappa@ujjivan.com</t>
  </si>
  <si>
    <t>dayananda.narasappa@ujjivan.com</t>
  </si>
  <si>
    <t>rajiv.gandhi@ujjivan.com</t>
  </si>
  <si>
    <t>manohara.gr@ujjivan.com</t>
  </si>
  <si>
    <t>gnanesh.chandrashekar@ujjivan.com</t>
  </si>
  <si>
    <t>basavaraju.md@ujjivan.com</t>
  </si>
  <si>
    <t>suresh.murugan@ujjivan.com</t>
  </si>
  <si>
    <t>prahallad.k@ujjivan.com</t>
  </si>
  <si>
    <t>measak.kirubhakaran@ujjivan.com</t>
  </si>
  <si>
    <t>shankar.hg@ujjivan.com</t>
  </si>
  <si>
    <t>ramajayam.b@ujjivan.com</t>
  </si>
  <si>
    <t>nagendrappa.thippeshappa@ujjivan.com</t>
  </si>
  <si>
    <t>ramesh.dasar@ujjivan.com</t>
  </si>
  <si>
    <t>tamilselvan.g@ujjivan.com</t>
  </si>
  <si>
    <t>sabanna.telasang@ujjivan.com</t>
  </si>
  <si>
    <t>kumaresan.p@ujjivan.com</t>
  </si>
  <si>
    <t>kamala.v@ujjivan.com</t>
  </si>
  <si>
    <t>sornadevi.murugesan@ujjivan.com</t>
  </si>
  <si>
    <t>parvathraj.t@ujjivan.com</t>
  </si>
  <si>
    <t>alagesan.marimuthu@ujjivan.com</t>
  </si>
  <si>
    <t>manjunatha.ca@ujjivan.com</t>
  </si>
  <si>
    <t>prashanth.hn@ujjivan.com</t>
  </si>
  <si>
    <t>uday.morkar@ujjivan.com</t>
  </si>
  <si>
    <t>vijai.subramani@ujjivan.com</t>
  </si>
  <si>
    <t>krishnamurthy.chinnan@ujjivan.com</t>
  </si>
  <si>
    <t>kalaigan.a@ujjivan.com</t>
  </si>
  <si>
    <t>sathiskumar.r@ujjivan.com</t>
  </si>
  <si>
    <t>ashok.lakshmanaswamy@ujjivan.com</t>
  </si>
  <si>
    <t>selva.ganapathi@ujjivan.com</t>
  </si>
  <si>
    <t>elavarasan.k@ujjivan.com</t>
  </si>
  <si>
    <t>karthik.d@ujjivan.com</t>
  </si>
  <si>
    <t>siva.gurunath@ujjivan.com</t>
  </si>
  <si>
    <t>jinesh.mohanan@ujjivan.com</t>
  </si>
  <si>
    <t>andriosan.kf@ujjivan.com</t>
  </si>
  <si>
    <t>g.suresh@ujjivan.com</t>
  </si>
  <si>
    <t>pandiyan.c@ujjivan.com</t>
  </si>
  <si>
    <t>nantha.gopal@ujjivan.com</t>
  </si>
  <si>
    <t>varatha.rajan@ujjivan.com</t>
  </si>
  <si>
    <t>anju.udayan@ujjivan.com</t>
  </si>
  <si>
    <t>sarath.chandran@ujjivan.com</t>
  </si>
  <si>
    <t>easwaran.palanisamy@ujjivan.com</t>
  </si>
  <si>
    <t>bastin.savariraj@ujjivan.com</t>
  </si>
  <si>
    <t>thomas.jebaraj@ujjivan.com</t>
  </si>
  <si>
    <t>rajanandham.chithamparam@ujjivan.com</t>
  </si>
  <si>
    <t>kannan.b@ujjivan.com</t>
  </si>
  <si>
    <t>ramkumar.vijayan@ujjivan.com</t>
  </si>
  <si>
    <t>paramasivam.halan@ujjivan.com</t>
  </si>
  <si>
    <t>rajesh.rajendran@ujjivan.com</t>
  </si>
  <si>
    <t>sreejith.p@ujjivan.com</t>
  </si>
  <si>
    <t>jayakumar.d@ujjivan.com</t>
  </si>
  <si>
    <t>rajesh.ramachandran@ujjivan.com</t>
  </si>
  <si>
    <t>ravichandra.hk@ujjivan.com</t>
  </si>
  <si>
    <t>shanthakumari.cb@ujjivan.com</t>
  </si>
  <si>
    <t>daniel.raj@ujjivan.com</t>
  </si>
  <si>
    <t>karunakarn.saradha@ujjivan.com</t>
  </si>
  <si>
    <t>manjunatha.r@ujjivan.com</t>
  </si>
  <si>
    <t>mahadevaswamy.jadeswamy@ujjivan.com</t>
  </si>
  <si>
    <t>pradeep.iggalore@ujjivan.com</t>
  </si>
  <si>
    <t>munikumar.bn@ujjivan.com</t>
  </si>
  <si>
    <t>nagasimha@ujjivan.com</t>
  </si>
  <si>
    <t>shyam.prasad@ujjivan.com</t>
  </si>
  <si>
    <t>velu.sami@ujjivan.com</t>
  </si>
  <si>
    <t>indhrakumar.t@ujjivan.com</t>
  </si>
  <si>
    <t>manjunatha.ramaswamy@ujjivan.com</t>
  </si>
  <si>
    <t>arun.krishnan@ujjivan.com</t>
  </si>
  <si>
    <t>neppoliyan.s@ujjivan.com</t>
  </si>
  <si>
    <t>Mahesh.nanjappa@ujjivan.com</t>
  </si>
  <si>
    <t>selvakumar.m@ujjivan.com</t>
  </si>
  <si>
    <t>suman.mahadeva@ujjivan.com</t>
  </si>
  <si>
    <t>arun.r@ujjivan.com</t>
  </si>
  <si>
    <t>guruvaraj.sogusa@ujjivan.com</t>
  </si>
  <si>
    <t>ponmari@ujjivan.com</t>
  </si>
  <si>
    <t>kalidass.b@ujjivan.com</t>
  </si>
  <si>
    <t>venkatesh.dm@ujjivan.com</t>
  </si>
  <si>
    <t>kannan.m@ujjivan.com</t>
  </si>
  <si>
    <t>krishna.kumar@ujjivan.com</t>
  </si>
  <si>
    <t>ramar@ujjivan.com</t>
  </si>
  <si>
    <t>ganeshkumar.k@ujjivan.com</t>
  </si>
  <si>
    <t>marimuthu.v@ujjivan.com</t>
  </si>
  <si>
    <t>saravanakumar.m@ujjivan.com</t>
  </si>
  <si>
    <t>Sunitha.somashekar@ujjivan.com</t>
  </si>
  <si>
    <t>karthik.kathir@ujjivan.com</t>
  </si>
  <si>
    <t>maadhu.abimannan@ujjivan.com</t>
  </si>
  <si>
    <t>kumar.abinash@ujjivan.com</t>
  </si>
  <si>
    <t>UJJ02155</t>
  </si>
  <si>
    <t>UJJ02155-Abinash  Kumar</t>
  </si>
  <si>
    <t>ravichandra@ujjivan.com</t>
  </si>
  <si>
    <t>atul.kumar@ujjivan.com</t>
  </si>
  <si>
    <t>abhishek.srivastava@ujjivan.com</t>
  </si>
  <si>
    <t>ganesh.thakur@ujjivan.com</t>
  </si>
  <si>
    <t>indrajit.deka@ujjivan.com</t>
  </si>
  <si>
    <t>jatin.deka@ujjivan.com</t>
  </si>
  <si>
    <t>alakesh.pathak@ujjivan.com</t>
  </si>
  <si>
    <t>debasish.kakoty@ujjivan.com</t>
  </si>
  <si>
    <t>natish.saha@ujjivan.com</t>
  </si>
  <si>
    <t>Shashi Bhusan Choubey &lt;shashi.choubey@ujjivan.com&gt;</t>
  </si>
  <si>
    <t>sunilkumar.paswan@ujjivan.com</t>
  </si>
  <si>
    <t>himanshu.mittal@ujjivan.com;vaibhav.dudhekar@ujjivan.com</t>
  </si>
  <si>
    <t>shiv.kumar971@ujjivan.com</t>
  </si>
  <si>
    <t xml:space="preserve">sarveshpratap.singh@ujjivan.com </t>
  </si>
  <si>
    <t>rajesh.kr@ujjivan.com</t>
  </si>
  <si>
    <t>mahendra.panchariya@ujjivan.com</t>
  </si>
  <si>
    <t>dulal.bhowmik@ujjivan.com</t>
  </si>
  <si>
    <t>balwan.singh@ujjivan.com</t>
  </si>
  <si>
    <t>adityakumar.mishra@ujjivan.com</t>
  </si>
  <si>
    <t>santha.kumar@ujjivan.com</t>
  </si>
  <si>
    <t>kirubanandakumar.v@ujjivan.com</t>
  </si>
  <si>
    <t>balamurugan.pattiyan@ujjivan.com</t>
  </si>
  <si>
    <t>tushar.bhaip@ujjivan.com</t>
  </si>
  <si>
    <t>ratnesh.mishra@ujjivan.com</t>
  </si>
  <si>
    <t>anshul.vishwakrma@ujjivan.com</t>
  </si>
  <si>
    <t>UJJ19922-Tushar Mali</t>
  </si>
  <si>
    <t>nandeesh.o@ujjivan.com</t>
  </si>
  <si>
    <t>varalakshmi.k@ujjivan.com</t>
  </si>
  <si>
    <t>ravikumar.venkatappa@ujjivan.com</t>
  </si>
  <si>
    <t>siddappa.kanthi@ujjivan.com</t>
  </si>
  <si>
    <t>vasanth.h@ujjivan.com</t>
  </si>
  <si>
    <t>shivananda.sv@ujjivan.com</t>
  </si>
  <si>
    <t>vijay.sudharshan@ujjivan.com</t>
  </si>
  <si>
    <t>prashant.hattiholi@ujjivan.com</t>
  </si>
  <si>
    <t>gomathi.thangaraj@ujjivan.com</t>
  </si>
  <si>
    <t>ramakrishnan.r@ujjivan.com</t>
  </si>
  <si>
    <t>thirupathi.p@ujjivan.com</t>
  </si>
  <si>
    <t>anbazhagan.g@ujjivan.com</t>
  </si>
  <si>
    <t>ravi.chandran@ujjivan.com</t>
  </si>
  <si>
    <t>prasanth@ujjivan.com</t>
  </si>
  <si>
    <t>senthilkumar@ujjivan.com</t>
  </si>
  <si>
    <t>tamilmani.m@ujjivan.com</t>
  </si>
  <si>
    <t>azhagesan.k@ujjivan.com</t>
  </si>
  <si>
    <t>udhayakumar.murugan@ujjivan.com</t>
  </si>
  <si>
    <t>prasanna.r@ujjivan.com</t>
  </si>
  <si>
    <t>shanmuga.s@ujjivan.com</t>
  </si>
  <si>
    <t>saravanan.g@ujjivan.com</t>
  </si>
  <si>
    <t>sathisha.m@ujjivan.com</t>
  </si>
  <si>
    <t>sivamani.r@ujjivan.com</t>
  </si>
  <si>
    <t>mahesha.n@ujjivan.com</t>
  </si>
  <si>
    <t>mantu.kumar@ujjivan.com</t>
  </si>
  <si>
    <t>susanta.banerjee@ujjivan.com</t>
  </si>
  <si>
    <t>joydev.roy@ujjivan.com</t>
  </si>
  <si>
    <t>suryakanta.bai@ujjivan.com</t>
  </si>
  <si>
    <t>satish.kumar@ujjivan.com</t>
  </si>
  <si>
    <t>sudipta.nandi@ujjivan.com</t>
  </si>
  <si>
    <t>surendra.kumar@ujjivan.com</t>
  </si>
  <si>
    <t>sheela.devi@ujjivan.com</t>
  </si>
  <si>
    <t>awinashkumar.sharma@ujjivan.com</t>
  </si>
  <si>
    <t>debarun.chatterjee@ujjivan.com</t>
  </si>
  <si>
    <t>sangram.dash@ujjivan.com</t>
  </si>
  <si>
    <t>sumankundu@ujjivan.com</t>
  </si>
  <si>
    <t>mojjamil.hoque@ujjivan.com</t>
  </si>
  <si>
    <t>kyrshanskhem.laloo@ujjivan.com</t>
  </si>
  <si>
    <t>lambodara.bhoi@ujjivan.com</t>
  </si>
  <si>
    <t>lovely.kumari@ujjivan.com</t>
  </si>
  <si>
    <t>das.pranjal@ujjivan.com</t>
  </si>
  <si>
    <t>sunil.mazumdar@ujjivan.com</t>
  </si>
  <si>
    <t>alok.kumar899@ujjivan.com</t>
  </si>
  <si>
    <t>shashi.ranjan@ujjivan.com</t>
  </si>
  <si>
    <t>nitish.kumar@ujjivan.com</t>
  </si>
  <si>
    <t>dinesh.swain@ujjivan.com</t>
  </si>
  <si>
    <t>krishna.boro@ujjivan.com</t>
  </si>
  <si>
    <t>hirak.gogoi@ujjivan.com</t>
  </si>
  <si>
    <t>parikhit.hazarika@ujjivan.com</t>
  </si>
  <si>
    <t>bedabrat.gogoi@ujjivan.com</t>
  </si>
  <si>
    <t>santosh.karad@ujjivan.com</t>
  </si>
  <si>
    <t>vaishali.gaikwad@ujjivan.com</t>
  </si>
  <si>
    <t>saurabh.mulik@ujjivan.com</t>
  </si>
  <si>
    <t>somnath.chaudhari@ujjivan.com</t>
  </si>
  <si>
    <t>induben.jadav@ujjivan.com</t>
  </si>
  <si>
    <t>vishal.darvatkar@ujjivan.com</t>
  </si>
  <si>
    <t>mohit.jadhav337@ujjivan.com</t>
  </si>
  <si>
    <t>meena.jangate@ujjivan.com</t>
  </si>
  <si>
    <t>asifa.shaikh@ujjivan.com</t>
  </si>
  <si>
    <t>naresh.solanki@ujjivan.com</t>
  </si>
  <si>
    <t>dhanraj.dambre@ujjivan.com</t>
  </si>
  <si>
    <t>sarika.patil@ujjivan.com</t>
  </si>
  <si>
    <t>nilesh.parmar@ujjivan.com</t>
  </si>
  <si>
    <t>Rahul.Lade@ujjivan.com</t>
  </si>
  <si>
    <t>nareshkumar.parmar@ujjivan.com</t>
  </si>
  <si>
    <t>dhaval.patel@ujjivan.com</t>
  </si>
  <si>
    <t>anilkumar.parmar@ujjivan.com</t>
  </si>
  <si>
    <t>sujitkumar.patel@ujjivan.com</t>
  </si>
  <si>
    <t>neelam.kumar@ujjivan.com</t>
  </si>
  <si>
    <t>dinesh.khokher@ujjivan.com</t>
  </si>
  <si>
    <t>yadav.jitendrakumar@ujjivan.com</t>
  </si>
  <si>
    <t>rajeev.solanki@ujjivan.com</t>
  </si>
  <si>
    <t>harikesh.gurjar@ujjivan.com</t>
  </si>
  <si>
    <t>rakesh.grasiya@ujjivan.com</t>
  </si>
  <si>
    <t>yogesh.rajput@ujjivan.com</t>
  </si>
  <si>
    <t>ccr.hathras@ujjivan.com</t>
  </si>
  <si>
    <t>nitinkumar.mehra@ujjivan.com</t>
  </si>
  <si>
    <t>ccr.rohtak@ujjivan.com</t>
  </si>
  <si>
    <t>kailash.pingal@ujjivan.com</t>
  </si>
  <si>
    <t>kumar.parveen@ujjivan.com</t>
  </si>
  <si>
    <t>rana.parveen@ujjivan.com</t>
  </si>
  <si>
    <t>vijay.kumar372@ujjivan.com</t>
  </si>
  <si>
    <t>pnb-dhanas-branch@ujjivan.com</t>
  </si>
  <si>
    <t>Amit.kumar548@ujjivan.com</t>
  </si>
  <si>
    <t>shammi.kumar@ujjivan.com</t>
  </si>
  <si>
    <t>parveen.bhagal@ujjivan.com</t>
  </si>
  <si>
    <t>rajesh.078@ujjivan.com</t>
  </si>
  <si>
    <t>ajay.kumar720@ujjivan.com</t>
  </si>
  <si>
    <t>sunil.choudhary@ujjivan.com</t>
  </si>
  <si>
    <t>ccr.mansa@ujjivan.com</t>
  </si>
  <si>
    <t>jaysingh.chouhan@ujjivan.com</t>
  </si>
  <si>
    <t>abhinav.chaudhary@ujjivan.com</t>
  </si>
  <si>
    <t>kumar.jatinder@ujjivan.com</t>
  </si>
  <si>
    <t>vinay.choudhry052@ujjivan.com</t>
  </si>
  <si>
    <t>sandeep.jain@ujjivan.com</t>
  </si>
  <si>
    <t>murali.mohan@ujjivan.com</t>
  </si>
  <si>
    <t>bharath.m@ujjivan.com</t>
  </si>
  <si>
    <t>nagaraju.g@ujjivan.com</t>
  </si>
  <si>
    <t>balamurugan.raju@ujjivan.com</t>
  </si>
  <si>
    <t>packiaraj.k@ujjivan.com</t>
  </si>
  <si>
    <t>mahesh.mohan@ujjivan.com</t>
  </si>
  <si>
    <t>abhilash.thomas@ujjivan.com</t>
  </si>
  <si>
    <t>amit.choubey@ujjivan.com</t>
  </si>
  <si>
    <t>nilkamal.manna@ujjivan.com</t>
  </si>
  <si>
    <t>bholanath.khawas@ujjivan.com</t>
  </si>
  <si>
    <t>skjakir.hossain@ujjivan.com</t>
  </si>
  <si>
    <t>sanjit.moharana@ujjivan.com</t>
  </si>
  <si>
    <t>manish.choudhary@ujjivan.com</t>
  </si>
  <si>
    <t>kunal.ghosh@ujjivan.com</t>
  </si>
  <si>
    <t>sushanta.pujari@ujjivan.com</t>
  </si>
  <si>
    <t>himangshu.patgiri@ujjivan.com</t>
  </si>
  <si>
    <t>rajib.biswas@ujjivan.com</t>
  </si>
  <si>
    <t>shrikant.walunj@ujjivan.com</t>
  </si>
  <si>
    <t>gaurav.pawar@ujjivan.com</t>
  </si>
  <si>
    <t>deepika.deori@ujjivan.com</t>
  </si>
  <si>
    <t>vaibhav.dudhekar@ujjivan.com</t>
  </si>
  <si>
    <t>akshay.joshi@ujjivan.com</t>
  </si>
  <si>
    <t>ruchira.patel@ujjivan.com</t>
  </si>
  <si>
    <t>hitarth.trivedi@ujjivan.com</t>
  </si>
  <si>
    <t>neelkant.tyagi@ujjivan.com</t>
  </si>
  <si>
    <t>dalla.ram@ujjivan.com</t>
  </si>
  <si>
    <t>lavesh.sharma@ujjivan.com</t>
  </si>
  <si>
    <t>manu.verma@ujjivan.com</t>
  </si>
  <si>
    <t>kumar.suresh@ujjivan.com</t>
  </si>
  <si>
    <t>shyam.patidar@ujjivan.com</t>
  </si>
  <si>
    <t>sourabh.narang@ujjivan.com</t>
  </si>
  <si>
    <t>ashok.pareek@ujjivan.com</t>
  </si>
  <si>
    <t>sunilkumar.tiwari@ujjivan.com</t>
  </si>
  <si>
    <t>gowtham@ujjivan.com</t>
  </si>
  <si>
    <t>joshua.raja@ujjivan.com</t>
  </si>
  <si>
    <t>mithun.chakraborty@ujjivan.com</t>
  </si>
  <si>
    <t>Manager</t>
  </si>
  <si>
    <t>Column1</t>
  </si>
  <si>
    <t xml:space="preserve">Please find attached list of prospect clients for REPEAT GL-LOANS (clients who have taken earlier an GL Loan) for you branch.
Thanks &amp; Regards,
MIS Team
</t>
  </si>
  <si>
    <t>west-punewest-branch@ujjivan.com;ccr.punewest@ujjivan.com;parshuram.kamble@ujjivan.com;prasad.bhavsar@ujjivan.com;mangesh.waikar@ujjivan.com;prasad.chavan@ujjivan.com;hemant.awade@ujjivan.com;rahul.devne@ujjivan.com;ravi.arkal@ujjivan.com;tushar.upase@ujjivan.com;abhijeet.bhadange@ujjivan.com</t>
  </si>
  <si>
    <t>west-swargate-branch@ujjivan.com;ccr-swargate@ujjivan.com;dinesh.fulambarkar@ujjivan.com;atul.mule@ujjivan.com;tushar.upase@ujjivan.com;ramesh.kamble@ujjivan.com;hemant.awade@ujjivan.com;santosh.khaire@ujjivan.com;sudhakar.ighare@ujjivan.com;abhijeet.bhadange@ujjivan.com;aba.kesbhat@ujjivan.com;bhagwat.shelke@ujjivan.com;kunal.devkar@ujjivan.com</t>
  </si>
  <si>
    <t>CRM mail id</t>
  </si>
  <si>
    <t>CRM 2</t>
  </si>
  <si>
    <t>CRM 3</t>
  </si>
  <si>
    <t>ACRM 1 mail id</t>
  </si>
  <si>
    <t>ACRM 2 mail id</t>
  </si>
  <si>
    <t>ACRM 3 mail id</t>
  </si>
  <si>
    <t>AM mail id</t>
  </si>
  <si>
    <t>DM mail id</t>
  </si>
  <si>
    <t>monica.dhariwal@ujjivan.com</t>
  </si>
  <si>
    <t>soumya.shukla@ujjivan.com</t>
  </si>
  <si>
    <t>ranjeet.kumar@ujjivan.com</t>
  </si>
  <si>
    <t>rajnish.pandey@ujjivan.com</t>
  </si>
  <si>
    <t>govind.bhandari@ujjivan.com</t>
  </si>
  <si>
    <t>mohanbeer.bisla@ujjivan.com</t>
  </si>
  <si>
    <t>intazar.118@ujjivan.com</t>
  </si>
  <si>
    <t>balveersingh.chahar@ujjivan.com</t>
  </si>
  <si>
    <t>ccr.bharatpur@ujjivan.com</t>
  </si>
  <si>
    <t>rohitash.meena@ujjivan.com</t>
  </si>
  <si>
    <t>urvashi.pathak@ujjivan.com</t>
  </si>
  <si>
    <t>prastuti.goswami@ujjivan.com</t>
  </si>
  <si>
    <t>suresh.bairwa@ujjivan.com</t>
  </si>
  <si>
    <t>vaibhav.pandey@ujjivan.com</t>
  </si>
  <si>
    <t>omprakash.dewasi@ujjivan.com</t>
  </si>
  <si>
    <t>sachinkumar.panwar@ujjivan.com</t>
  </si>
  <si>
    <t>rahulkumar.yadav@ujjivan.com</t>
  </si>
  <si>
    <t>avinash.kumar@ujjivan.com</t>
  </si>
  <si>
    <t>sandeep.kumar@ujjivan.com</t>
  </si>
  <si>
    <t>ajit.kumar@ujjivan.com</t>
  </si>
  <si>
    <t>chandan.sriwastava@ujjivan.com</t>
  </si>
  <si>
    <t>tejveer.rawat@ujjivan.com</t>
  </si>
  <si>
    <t>vishal.sukhija@ujjivan.com</t>
  </si>
  <si>
    <t>sandeep.jangra@ujjivan.com</t>
  </si>
  <si>
    <t/>
  </si>
  <si>
    <t>ravinder.930@ujjivan.com</t>
  </si>
  <si>
    <t>kuldeep.singh169@ujjivan.com</t>
  </si>
  <si>
    <t>prabhdeepsingh.khosa@ujjivan.com</t>
  </si>
  <si>
    <t>amandeep@ujjivan.com</t>
  </si>
  <si>
    <t>rahul.saini@ujjivan.com</t>
  </si>
  <si>
    <t>ashishkumar.dubey@ujjivan.com</t>
  </si>
  <si>
    <t>nanak.singh@ujjivan.com</t>
  </si>
  <si>
    <t>sandeep.sharma794@ujjivan.com</t>
  </si>
  <si>
    <t>monti.kumar@ujjivan.com</t>
  </si>
  <si>
    <t>sandeep.gaur@ujjivan.com</t>
  </si>
  <si>
    <t>himakshi.dhingra@ujjivan.com</t>
  </si>
  <si>
    <t>arpit.kalia@ujjivan.com</t>
  </si>
  <si>
    <t>ram.kumar491@ujjivan.com</t>
  </si>
  <si>
    <t>ccr.una@ujjivan.com</t>
  </si>
  <si>
    <t>sachin.sharma@ujjivan.com</t>
  </si>
  <si>
    <t>sarvesh.singh@ujjivan.com</t>
  </si>
  <si>
    <t>gaurav.bhandari458@ujjivan.com</t>
  </si>
  <si>
    <t>amit.kumar548@ujjivan.com</t>
  </si>
  <si>
    <t>sachin.sidhna@ujjivan.com</t>
  </si>
  <si>
    <t>tiwari.nitin@ujjivan.com</t>
  </si>
  <si>
    <t>shankerlal.jat@ujjivan.com</t>
  </si>
  <si>
    <t>dheeraj.tak@ujjivan.com</t>
  </si>
  <si>
    <t>sonu.097@ujjivan.com</t>
  </si>
  <si>
    <t>anandkumar.kunar@ujjivan.com</t>
  </si>
  <si>
    <t>deepak.tripathi@ujjivan.com</t>
  </si>
  <si>
    <t>suman.thakur@ujjivan.com</t>
  </si>
  <si>
    <t>yogesh.bhalse@ujjivan.com</t>
  </si>
  <si>
    <t>nitin.pawar@ujjivan.com</t>
  </si>
  <si>
    <t>ravi.kumarkarodia@ujjivan.com</t>
  </si>
  <si>
    <t>ccr.kotputli@ujjivan.com</t>
  </si>
  <si>
    <t>vijender.dhaka@ujjivan.com</t>
  </si>
  <si>
    <t>ccr.abohar@ujjivan.com</t>
  </si>
  <si>
    <t>ashwani.chowdhary@ujjivan.com</t>
  </si>
  <si>
    <t>bhagi.ram@ujjivan.com</t>
  </si>
  <si>
    <t>honey.kumar@ujjivan.com</t>
  </si>
  <si>
    <t>anand.gopal@ujjivan.com</t>
  </si>
  <si>
    <t>neerajkumar.sharma@ujjivan.com</t>
  </si>
  <si>
    <t>prashant.kant@ujjivan.com</t>
  </si>
  <si>
    <t>vijay.kumar088@ujjivan.com</t>
  </si>
  <si>
    <t>rakesh.ningwal@ujjivan.com</t>
  </si>
  <si>
    <t>vijay.panwar@ujjivan.com</t>
  </si>
  <si>
    <t>deepankar.jayanth@ujjivan.com</t>
  </si>
  <si>
    <t>ashish.kumar442@ujjivan.com</t>
  </si>
  <si>
    <t>vikas.indora@ujjivan.com</t>
  </si>
  <si>
    <t>ccr.ludhiananewshivajinagar@ujjivan.com</t>
  </si>
  <si>
    <t>jaipal.singh@ujjivan.com</t>
  </si>
  <si>
    <t>gurvinder.singh644@ujjivan.com</t>
  </si>
  <si>
    <t>akash.saxena@ujjivan.com</t>
  </si>
  <si>
    <t>anil.kumar280@ujjivan.com</t>
  </si>
  <si>
    <t>ravikant.kumar@ujjivan.com</t>
  </si>
  <si>
    <t>jitendra.agrahari@ujjivan.com</t>
  </si>
  <si>
    <t>sharvan.kumar@ujjivan.com</t>
  </si>
  <si>
    <t>durgesh.chakrawarty@ujjivan.com</t>
  </si>
  <si>
    <t>abhijeet.shinde@ujjivan.com</t>
  </si>
  <si>
    <t>shubhangi.jadhav@ujjivan.com</t>
  </si>
  <si>
    <t>kavita.salve@ujjivan.com</t>
  </si>
  <si>
    <t>dnyandev.awasarmal@ujjivan.com</t>
  </si>
  <si>
    <t>vijay.bhalerao@ujjivan.com</t>
  </si>
  <si>
    <t>prasad.bhavsar@ujjivan.com</t>
  </si>
  <si>
    <t>shraddha.rapelli@ujjivan.com</t>
  </si>
  <si>
    <t>ritesh.sawant@ujjivan.com</t>
  </si>
  <si>
    <t>bhishma.mahajan@ujjivan.com</t>
  </si>
  <si>
    <t>sushil.patil@ujjivan.com</t>
  </si>
  <si>
    <t>prakash.bhitora@ujjivan.com</t>
  </si>
  <si>
    <t>jaydeep.vaghasiya@ujjivan.com</t>
  </si>
  <si>
    <t>pramod.mahangare@ujjivan.com</t>
  </si>
  <si>
    <t>shweta.negi@ujjivan.com</t>
  </si>
  <si>
    <t>santhosh.acharya@ujjivan.com</t>
  </si>
  <si>
    <t>sanket.kolte@ujjivan.com</t>
  </si>
  <si>
    <t>alpesh.surti@ujjivan.com</t>
  </si>
  <si>
    <t>jenish.lapsiwala@ujjivan.com</t>
  </si>
  <si>
    <t>samir.shah@ujjivan.com</t>
  </si>
  <si>
    <t>kushal.parmar@ujjivan.com</t>
  </si>
  <si>
    <t>barkatali.vadhavania@ujjivan.com</t>
  </si>
  <si>
    <t>ashok.gosawi@ujjivan.com</t>
  </si>
  <si>
    <t>nilesh.patel@ujjivan.com</t>
  </si>
  <si>
    <t>jayant.kulkarni@ujjivan.com</t>
  </si>
  <si>
    <t>angad.gadre@ujjivan.com</t>
  </si>
  <si>
    <t>sandeep.ugale@ujjivan.com</t>
  </si>
  <si>
    <t>nagmaparvin.khan@ujjivan.com</t>
  </si>
  <si>
    <t>sandip.gavali@ujjivan.com</t>
  </si>
  <si>
    <t>amit.suryawanshi@ujjivan.com</t>
  </si>
  <si>
    <t>hardik.desai@ujjivan.com</t>
  </si>
  <si>
    <t>riyazahamad.makandar@ujjivan.com</t>
  </si>
  <si>
    <t>keyurkumar.patel@ujjivan.com</t>
  </si>
  <si>
    <t>shoeb.shaikh692@ujjivan.com</t>
  </si>
  <si>
    <t>gulamkhaza.shaikh@ujjivan.com</t>
  </si>
  <si>
    <t>dhwani.gohil@ujjivan.com</t>
  </si>
  <si>
    <t>milankumar.devmurari@ujjivan.com</t>
  </si>
  <si>
    <t>jigar.mehta@ujjivan.com</t>
  </si>
  <si>
    <t>bhailalbhai.baria@ujjivan.com</t>
  </si>
  <si>
    <t>dilip.kharde@ujjivan.com</t>
  </si>
  <si>
    <t>bhargav.devmurari@ujjivan.com</t>
  </si>
  <si>
    <t>charmi.solanki@ujjivan.com</t>
  </si>
  <si>
    <t>khanpara.vinodbhai@ujjivan.com</t>
  </si>
  <si>
    <t>maharshi.raval@ujjivan.com</t>
  </si>
  <si>
    <t>raghuvirsinh.solanki@ujjivan.com</t>
  </si>
  <si>
    <t>chetna.kaku@ujjivan.com</t>
  </si>
  <si>
    <t>shushmitha.shetty@ujjivan.com</t>
  </si>
  <si>
    <t>bhmshashidhar.sharma@ujjivan.com</t>
  </si>
  <si>
    <t>sasitha.rajendran@ujjivan.com</t>
  </si>
  <si>
    <t>bharath.p@ujjivan.com</t>
  </si>
  <si>
    <t>goutam.k@ujjivan.com</t>
  </si>
  <si>
    <t>narasimha.murthy@ujjivan.com</t>
  </si>
  <si>
    <t>satisha@ujjivan.com</t>
  </si>
  <si>
    <t>chethan.k@ujjivan.com</t>
  </si>
  <si>
    <t>manjunath.mr@ujjivan.com</t>
  </si>
  <si>
    <t>suresha.d@ujjivan.com</t>
  </si>
  <si>
    <t>shivakumar.saraguru@ujjivan.com</t>
  </si>
  <si>
    <t>shaik.sohail@ujjivan.com</t>
  </si>
  <si>
    <t>shivarajkumar.h@ujjivan.com</t>
  </si>
  <si>
    <t>basavaraj.yadoor@ujjivan.com</t>
  </si>
  <si>
    <t>tamilarasan.raja@ujjivan.com</t>
  </si>
  <si>
    <t>balakrishna.chottanahalli@ujjivan.com</t>
  </si>
  <si>
    <t>kalaivani.j@ujjivan.com</t>
  </si>
  <si>
    <t>balanayka.muthanayka@ujjivan.com</t>
  </si>
  <si>
    <t>hemaprakash@ujjivan.com</t>
  </si>
  <si>
    <t>sandeep.h@ujjivan.com</t>
  </si>
  <si>
    <t>sujith.kumars@ujjivan.com</t>
  </si>
  <si>
    <t>ravichandra.c@ujjivan.com</t>
  </si>
  <si>
    <t>divya.k@ujjivan.com</t>
  </si>
  <si>
    <t>pranathi.shetty@ujjivan.com</t>
  </si>
  <si>
    <t>sangamesha.basavaraj@ujjivan.com</t>
  </si>
  <si>
    <t>raju.kr@ujjivan.com</t>
  </si>
  <si>
    <t>vedhanayagam.j@ujjivan.com</t>
  </si>
  <si>
    <t>nagaraj.sundaram@ujjivan.com</t>
  </si>
  <si>
    <t>venkatachalam@ujjivan.com</t>
  </si>
  <si>
    <t>dineshkumar.v@ujjivan.com</t>
  </si>
  <si>
    <t>palaksha.hb@ujjivan.com</t>
  </si>
  <si>
    <t>karthikeyan.rajakili@ujjivan.com</t>
  </si>
  <si>
    <t>Kathirvel.Sagadevan &lt;kathirvel.sagadevan@ujjivan.com&gt;</t>
  </si>
  <si>
    <t>M Ravi Chandran &lt;ravi.chandran@ujjivan.com&gt;</t>
  </si>
  <si>
    <t>thiyagu.rajendran@ujjivan.com</t>
  </si>
  <si>
    <t>arun.v@ujjivan.com</t>
  </si>
  <si>
    <t>prasanth.b@ujjivan.com</t>
  </si>
  <si>
    <t>sethupandiaraj.m@ujjivan.com</t>
  </si>
  <si>
    <t>navas.sha703@ujjivan.com</t>
  </si>
  <si>
    <t>ANDRIOSAN.KF@UJJIVAN.COM</t>
  </si>
  <si>
    <t>"Vadivelan N" &lt;vadivelan.n@Ujjivan.com&gt;</t>
  </si>
  <si>
    <t>"Pandiyan C" &lt;pandiyan.c@ujjivan.com&gt;</t>
  </si>
  <si>
    <t>"Anbazhagan .�S" &lt;anbazhagan.s@ujjivan.com&gt;</t>
  </si>
  <si>
    <t>"Bharathiraja.Velu" &lt;bharathiraja.velu@ujjivan.com&gt;</t>
  </si>
  <si>
    <t>balasubramanian.v@ujjivan.com</t>
  </si>
  <si>
    <t>senthil.ramaraj@ujjivan.com</t>
  </si>
  <si>
    <t>pandiraja.subramani@ujjivan.com</t>
  </si>
  <si>
    <t>prince.raje@ujjivan.com</t>
  </si>
  <si>
    <t>Rubickraja . V &lt;rubickraja.v@ujjivan.com&gt;</t>
  </si>
  <si>
    <t>Easwaran Palanisamy &lt;easwaran.palanisamy@ujjivan.com&gt;</t>
  </si>
  <si>
    <t>"Anwar" &lt;anwar@ujjivan.com&gt;</t>
  </si>
  <si>
    <t>"Bastin Savariraj A" &lt;bastin.savariraj@ujjivan.com&gt;</t>
  </si>
  <si>
    <t>"Mohan.Loganathan" &lt;mohan.loganathan@ujjivan.com&gt;</t>
  </si>
  <si>
    <t>"R" &lt;mariappan.r@ujjivan.com&gt;</t>
  </si>
  <si>
    <t>"S Ranjith Kumar" &lt;ranjithkumar.s@ujjivan.com&gt;</t>
  </si>
  <si>
    <t>"A Thomas Jebaraj" &lt;thomas.jebaraj@ujjivan.com&gt;</t>
  </si>
  <si>
    <t>"elayaraja.e" &lt;elayaraja.e@ujjivan.com&gt;</t>
  </si>
  <si>
    <t>"Sathishkumar.R" &lt;sathishkumar.r@ujjivan.com&gt;</t>
  </si>
  <si>
    <t>"Rajesh Irudaya Raj C" &lt;rajeshirudaya.raj@ujjivan.com&gt;</t>
  </si>
  <si>
    <t>"Rajanandham.Chithamparam" &lt;rajanandham.chithamparam@ujjivan.com&gt;</t>
  </si>
  <si>
    <t>"Tamilmani M" &lt;tamilmani.m@ujjivan.com&gt;</t>
  </si>
  <si>
    <t>sriraman.r@ujjivan.com</t>
  </si>
  <si>
    <t>arya.prasad@ujjivan.com</t>
  </si>
  <si>
    <t>manav.n@ujjivan.com</t>
  </si>
  <si>
    <t>ranjith.selvaraj@ujjivan.com</t>
  </si>
  <si>
    <t>dayana.jose@ujjivan.com</t>
  </si>
  <si>
    <t>sumisha.s@ujjivan.com</t>
  </si>
  <si>
    <t>sanil.r@ujjivan.com</t>
  </si>
  <si>
    <t>NA</t>
  </si>
  <si>
    <t>namitha.dn@ujjivan.com</t>
  </si>
  <si>
    <t>manju.prasad@ujjivan.com</t>
  </si>
  <si>
    <t>ramaprasad.b@ujjivan.com</t>
  </si>
  <si>
    <t>E Kosumani &lt;kosumani.e@ujjivan.com&gt;</t>
  </si>
  <si>
    <t>Daniel.Raj &lt;daniel.raj@ujjivan.com&gt;</t>
  </si>
  <si>
    <t>Bakkiyaraj.s &lt;bakkiyaraj.s@ujjivan.com&gt;</t>
  </si>
  <si>
    <t>Karthik C &lt;karthik.chandrasekaran@ujjivan.com&gt;</t>
  </si>
  <si>
    <t>Karunakarn R &lt;karunakarn.saradha@ujjivan.com&gt;</t>
  </si>
  <si>
    <t>gobinath.ganesan &lt;gobinath.ganesan@ujjivan.com&gt;</t>
  </si>
  <si>
    <t>anilkumar.gowda@ujjivan.com</t>
  </si>
  <si>
    <t>Xavier . I &lt;xavier.i@ujjivan.com&gt;</t>
  </si>
  <si>
    <t>Manikandan T &lt;manikandan.t@ujjivan.com&gt;</t>
  </si>
  <si>
    <t>Vijila P &lt;vijila.p@ujjivan.com&gt;</t>
  </si>
  <si>
    <t>Saravanan G &lt;saravanan.g@ujjivan.com&gt;</t>
  </si>
  <si>
    <t>Vignesh J &lt;vignesh.jeyamohan@ujjivan.com&gt;</t>
  </si>
  <si>
    <t>darshan.r@ujjivan.com</t>
  </si>
  <si>
    <t>syam.prasad@ujjivan.com</t>
  </si>
  <si>
    <t>"Ramakrishnan S" &lt;rama.krishnan@ujjivan.com&gt;</t>
  </si>
  <si>
    <t>"Harikumar.." &lt;harikumar@ujjivan.com&gt;</t>
  </si>
  <si>
    <t>"Karthik.K" &lt;karthik.k@ujjivan.com&gt;</t>
  </si>
  <si>
    <t>stalin.r &lt;stalin.r@ujjivan.com&gt;</t>
  </si>
  <si>
    <t>Indhrakumar T &lt;indhrakumar.t@ujjivan.com&gt;</t>
  </si>
  <si>
    <t>Sudha . &lt;sudha.veerasamy@ujjivan.com&gt;</t>
  </si>
  <si>
    <t>srejith.nair@ujjivan.com</t>
  </si>
  <si>
    <t>adarsh.ullas@ujjivan.com</t>
  </si>
  <si>
    <t>Bhakiyaraj .�K &lt;bhakiyaraj.k@ujjivan.com&gt;</t>
  </si>
  <si>
    <t>Neppoliyan S &lt;neppoliyan.s@ujjivan.com&gt;</t>
  </si>
  <si>
    <t>nagaraju.javane@ujjivan.com</t>
  </si>
  <si>
    <t>dhanapal.t@ujjivan.com</t>
  </si>
  <si>
    <t>jaswanthkrishna.b@ujjivan.com</t>
  </si>
  <si>
    <t>marimuthuraja.r@ujjivan.com</t>
  </si>
  <si>
    <t>avudaiselvan.k@ujjivan.com</t>
  </si>
  <si>
    <t>loganathan.selvaraj@ujjivan.com</t>
  </si>
  <si>
    <t>madhavan.p@ujjivan.com</t>
  </si>
  <si>
    <t>sakthisivam.r@ujjivan.com</t>
  </si>
  <si>
    <t>srikanth.siddaraju@ujjivan.com</t>
  </si>
  <si>
    <t>suresh.m@ujjivan.com</t>
  </si>
  <si>
    <t>nandha.r@ujjivan.com</t>
  </si>
  <si>
    <t>j.dinesh@ujjivan.com</t>
  </si>
  <si>
    <t>narayanan.s@ujjivan.com</t>
  </si>
  <si>
    <t>nagesha.k@ujjivan.com</t>
  </si>
  <si>
    <t>suman.jain739@ujjivan.com</t>
  </si>
  <si>
    <t>dhruvakumara.shetty@ujjivan.com</t>
  </si>
  <si>
    <t>siju.mathew@ujjivan.com</t>
  </si>
  <si>
    <t>prasanta.mahanty@ujjivan.com</t>
  </si>
  <si>
    <t>durga.mohanty@ujjivan.com</t>
  </si>
  <si>
    <t>manas.lenka@ujjivan.com</t>
  </si>
  <si>
    <t>satya.nayak@ujjivan.com</t>
  </si>
  <si>
    <t>binay.biswal226@ujjivan.com</t>
  </si>
  <si>
    <t>manoj.mohapatra@ujjivan.com</t>
  </si>
  <si>
    <t>sneha.jaiswal@ujjivan.com</t>
  </si>
  <si>
    <t>pooja.singh698@ujjivan.com</t>
  </si>
  <si>
    <t>lovelysaxena@ujjivan.com</t>
  </si>
  <si>
    <t>amitkumar.18343@ujjivan.com</t>
  </si>
  <si>
    <t>nikita.seddon@ujjivan.com</t>
  </si>
  <si>
    <t>pritamraj.rout@ujjivan.com</t>
  </si>
  <si>
    <t>pujarchana.das@ujjivan.com</t>
  </si>
  <si>
    <t>aditya.kumar373@ujjivan.com</t>
  </si>
  <si>
    <t>pradip.boruah@ujjivan.com</t>
  </si>
  <si>
    <t>kedar.chetry@ujjivan.com</t>
  </si>
  <si>
    <t>bishal.bhattacharjee@ujjivan.com</t>
  </si>
  <si>
    <t>koushik.kalita@ujjivan.com</t>
  </si>
  <si>
    <t>dhiraj.das@ujjivan.com</t>
  </si>
  <si>
    <t>ranjit.swain@ujjivan.com</t>
  </si>
  <si>
    <t>arup.kalita@ujjivan.com</t>
  </si>
  <si>
    <t>bibhuti.borah@ujjivan.com</t>
  </si>
  <si>
    <t>kishor.deka@ujjivan.com</t>
  </si>
  <si>
    <t>sagar.mahapatra@ujjivan.com</t>
  </si>
  <si>
    <t>pritam.brahma@ujjivan.com</t>
  </si>
  <si>
    <t>avilash.chakraborty@ujjivan.com</t>
  </si>
  <si>
    <t>jintu.saikia@ujjivan.com</t>
  </si>
  <si>
    <t>tamal.roy@ujjivan.com</t>
  </si>
  <si>
    <t>kishor.mahanta@ujjivan.com</t>
  </si>
  <si>
    <t>nayan.sarmah363@ujjivan.com</t>
  </si>
  <si>
    <t>rituparna.hazarika@ujjivan.com</t>
  </si>
  <si>
    <t>niraj.hazarika@ujjivan.com</t>
  </si>
  <si>
    <t>sumitro.nath@ujjivan.com</t>
  </si>
  <si>
    <t>bharat.handique@ujjivan.com</t>
  </si>
  <si>
    <t>pritom.parashar@ujjivan.com</t>
  </si>
  <si>
    <t>shikha.bora@ujjivan.com</t>
  </si>
  <si>
    <t>manash.bora@ujjivan.com</t>
  </si>
  <si>
    <t>gunamani.baishya@ujjivan.com</t>
  </si>
  <si>
    <t>biplab.talukdar@ujjivan.com</t>
  </si>
  <si>
    <t>niren.das@ujjivan.com</t>
  </si>
  <si>
    <t>subrat.sarangi@ujjivan.com</t>
  </si>
  <si>
    <t>pabitra.biswas@ujjivan.com</t>
  </si>
  <si>
    <t>sanjoy.biswas@ujjivan.com</t>
  </si>
  <si>
    <t>sunil.kumar133@ujjivan.com</t>
  </si>
  <si>
    <t>abhishek.kumar311@ujjivan.com</t>
  </si>
  <si>
    <t xml:space="preserve">
nirmal.ghosh@ujjivan.com</t>
  </si>
  <si>
    <t>sumanta.das@ujjivan.com</t>
  </si>
  <si>
    <t>anamika.raj@ujjivan.com</t>
  </si>
  <si>
    <t>manish.k@ujjivan.com</t>
  </si>
  <si>
    <t>pawan.kumar046@ujjivan.com</t>
  </si>
  <si>
    <t>priyanka.pandey@ujjivan.com</t>
  </si>
  <si>
    <t>Bholanath Dutta &lt;bholanath.dutta@ujjivan.com&gt;</t>
  </si>
  <si>
    <t>debashish.sarkar@ujjivan.com</t>
  </si>
  <si>
    <t>surajit.barman@ujjivan.com</t>
  </si>
  <si>
    <t>murli.prasad@ujjivan.com</t>
  </si>
  <si>
    <t>prasenjit.deb@ujjivan.com</t>
  </si>
  <si>
    <t>suman.dey@ujjivan.com</t>
  </si>
  <si>
    <t>manikarna.debbarma@ujjivan.com</t>
  </si>
  <si>
    <t>tapas.paul750@ujjivan.com</t>
  </si>
  <si>
    <t>mithan.kar@ujjivan.com</t>
  </si>
  <si>
    <t>debasish.das@ujjivan.com</t>
  </si>
  <si>
    <t>mohanlal.pashwan@ujjivan.com</t>
  </si>
  <si>
    <t>suvendu.banerjee@ujjivan.com</t>
  </si>
  <si>
    <t>sandip.samanta@ujjivan.com</t>
  </si>
  <si>
    <t>pankaj.kumar331@ujjivan.com</t>
  </si>
  <si>
    <t>vivek.kandu@ujjivan.com</t>
  </si>
  <si>
    <t>abhinav.chaitanya@ujjivan.com</t>
  </si>
  <si>
    <t>raman.sharma250@ujjivan.com</t>
  </si>
  <si>
    <t>sanjaya.sahoo@ujjivan.com</t>
  </si>
  <si>
    <t>sakib.khalique@ujjivan.com</t>
  </si>
  <si>
    <t>kundan.kumar667@ujjivan.com</t>
  </si>
  <si>
    <t>rupesh.kumar052@ujjivan.com</t>
  </si>
  <si>
    <t>prince.pushkar@ujjivan.com</t>
  </si>
  <si>
    <t>vivek.raj318@ujjivan.com</t>
  </si>
  <si>
    <t>aditya.raaz@ujjivan.com</t>
  </si>
  <si>
    <t>nandan.kumar@ujjivan.com</t>
  </si>
  <si>
    <t>harendra.singh@ujjivan.com</t>
  </si>
  <si>
    <t>deepak.prince@ujjivan.com</t>
  </si>
  <si>
    <t>rajan.kumar645@ujjivan.com</t>
  </si>
  <si>
    <t>anshita.kashyap@ujjivan.com</t>
  </si>
  <si>
    <t>biswanath.ghosh@ujjivan.com</t>
  </si>
  <si>
    <t>anup.das@ujjivan.com</t>
  </si>
  <si>
    <t>ccr.dhanbad@ujjivan.com</t>
  </si>
  <si>
    <t>saikat.ghosh@ujjivan.com</t>
  </si>
  <si>
    <t>sandip.sharma@ujjivan.com</t>
  </si>
  <si>
    <t>sandeep.singh@ujjivan.com</t>
  </si>
  <si>
    <t>sunil.srista@ujjivan.com</t>
  </si>
  <si>
    <t>tarush.gahan@ujjivan.com</t>
  </si>
  <si>
    <t>nantu.paul@ujjivan.com</t>
  </si>
  <si>
    <t>chetananand.tiwary@ujjivan.com</t>
  </si>
  <si>
    <t>atish.dey@ujjivan.com</t>
  </si>
  <si>
    <t>1674</t>
  </si>
  <si>
    <t>1681</t>
  </si>
  <si>
    <t>1682</t>
  </si>
  <si>
    <t>1694</t>
  </si>
  <si>
    <t>1700</t>
  </si>
  <si>
    <t>1701</t>
  </si>
  <si>
    <t>1702</t>
  </si>
  <si>
    <t>1703</t>
  </si>
  <si>
    <t>2347</t>
  </si>
  <si>
    <t>2349</t>
  </si>
  <si>
    <t>3571</t>
  </si>
  <si>
    <t>3621</t>
  </si>
  <si>
    <t>3622</t>
  </si>
  <si>
    <t>3624</t>
  </si>
  <si>
    <t>4505</t>
  </si>
  <si>
    <t>4515</t>
  </si>
  <si>
    <t>4516</t>
  </si>
  <si>
    <t>4517</t>
  </si>
  <si>
    <t>4518</t>
  </si>
  <si>
    <t>4520</t>
  </si>
  <si>
    <t>devaraj.m@ujjivan.com</t>
  </si>
  <si>
    <t>mahesh.m@ujjivan.com</t>
  </si>
  <si>
    <t>deeksha.s@ujjivan.com</t>
  </si>
  <si>
    <t>vijaykumar.c@ujjivan.com</t>
  </si>
  <si>
    <t>manikanta.gowda@ujjivan.com</t>
  </si>
  <si>
    <t>U:\MIS\202002\Repeat GL</t>
  </si>
  <si>
    <t>Team</t>
  </si>
  <si>
    <t>yes</t>
  </si>
  <si>
    <t>pullareddigaru.karunakar@ujjivan.com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</si>
</sst>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dd\-mm\-yyyy"/>
    <numFmt numFmtId="166" formatCode="dd\-mmm\-yyyy\ hh:mm:ss"/>
    <numFmt numFmtId="167" formatCode="[$-409]d\-mmm\-yy;@"/>
  </numFmts>
  <fonts count="36" x14ac:knownFonts="1">
    <font>
      <sz val="11"/>
      <color theme="1"/>
      <name val="Calibri"/>
      <family val="2"/>
      <scheme val="minor"/>
    </font>
    <font>
      <sz val="10"/>
      <name val="Arial"/>
      <family val="2"/>
    </font>
    <font>
      <b/>
      <sz val="14"/>
      <name val="Calibri"/>
      <family val="2"/>
      <scheme val="minor"/>
    </font>
    <font>
      <sz val="14"/>
      <name val="Calibri"/>
      <family val="2"/>
    </font>
    <font>
      <b/>
      <sz val="14"/>
      <name val="Calibri"/>
      <family val="2"/>
    </font>
    <font>
      <sz val="11"/>
      <name val="Calibri"/>
      <family val="2"/>
      <scheme val="minor"/>
    </font>
    <font>
      <u/>
      <sz val="11"/>
      <color theme="10"/>
      <name val="Calibri"/>
      <family val="2"/>
    </font>
    <font>
      <u/>
      <sz val="11"/>
      <color theme="10"/>
      <name val="Calibri"/>
      <family val="2"/>
      <scheme val="minor"/>
    </font>
    <font>
      <b/>
      <sz val="11"/>
      <color rgb="FFFF0000"/>
      <name val="Calibri"/>
      <family val="2"/>
      <scheme val="minor"/>
    </font>
    <font>
      <b/>
      <sz val="11"/>
      <name val="Calibri"/>
      <family val="2"/>
      <scheme val="minor"/>
    </font>
    <font>
      <b/>
      <sz val="11"/>
      <color theme="0"/>
      <name val="Calibri"/>
      <family val="2"/>
      <scheme val="minor"/>
    </font>
    <font>
      <sz val="8"/>
      <name val="Calibri"/>
      <family val="2"/>
      <scheme val="minor"/>
    </font>
    <font>
      <sz val="8"/>
      <name val="Arial"/>
      <family val="2"/>
    </font>
    <font>
      <u/>
      <sz val="10"/>
      <color indexed="12"/>
      <name val="Arial"/>
      <family val="2"/>
    </font>
    <font>
      <u/>
      <sz val="8"/>
      <color indexed="12"/>
      <name val="Arial"/>
      <family val="2"/>
    </font>
    <font>
      <sz val="8"/>
      <name val="Calibri"/>
      <family val="2"/>
    </font>
    <font>
      <sz val="11"/>
      <name val="Calibri"/>
      <family val="2"/>
      <scheme val="minor"/>
    </font>
    <font>
      <sz val="11"/>
      <color theme="1"/>
      <name val="Calibri"/>
      <family val="2"/>
      <scheme val="minor"/>
    </font>
    <font>
      <sz val="10"/>
      <name val="Arial"/>
      <family val="2"/>
      <charset val="1"/>
    </font>
    <font>
      <sz val="10"/>
      <color theme="1"/>
      <name val="Calibri"/>
      <family val="2"/>
      <scheme val="minor"/>
    </font>
    <font>
      <sz val="11"/>
      <color rgb="FF000000"/>
      <name val="Calibri"/>
      <family val="2"/>
      <charset val="1"/>
    </font>
    <font>
      <sz val="10"/>
      <name val="Calibri"/>
      <family val="2"/>
      <scheme val="minor"/>
    </font>
    <font>
      <sz val="11"/>
      <color indexed="8"/>
      <name val="Calibri"/>
      <family val="2"/>
    </font>
    <font>
      <sz val="11"/>
      <color rgb="FF000000"/>
      <name val="Calibri"/>
      <family val="2"/>
    </font>
    <font>
      <b/>
      <sz val="11"/>
      <color theme="1"/>
      <name val="Calibri"/>
      <family val="2"/>
      <scheme val="minor"/>
    </font>
    <font>
      <b/>
      <sz val="10"/>
      <name val="Calibri"/>
      <family val="2"/>
      <scheme val="minor"/>
    </font>
    <font>
      <b/>
      <sz val="10"/>
      <color rgb="FF800080"/>
      <name val="Calibri"/>
      <family val="2"/>
      <scheme val="minor"/>
    </font>
    <font>
      <u/>
      <sz val="10"/>
      <color theme="10"/>
      <name val="Calibri"/>
      <family val="2"/>
    </font>
    <font>
      <b/>
      <sz val="11"/>
      <color rgb="FF000000"/>
      <name val="Calibri"/>
      <family val="2"/>
    </font>
    <font>
      <sz val="12"/>
      <color theme="1"/>
      <name val="Calibri"/>
      <family val="2"/>
      <scheme val="minor"/>
    </font>
    <font>
      <b/>
      <sz val="11"/>
      <color theme="3"/>
      <name val="Calibri"/>
      <family val="2"/>
      <scheme val="minor"/>
    </font>
    <font>
      <sz val="11"/>
      <name val="Calibri"/>
      <family val="2"/>
      <scheme val="minor"/>
    </font>
    <font>
      <b/>
      <sz val="11"/>
      <name val="Calibri"/>
      <family val="2"/>
      <scheme val="minor"/>
    </font>
    <font>
      <sz val="9"/>
      <color rgb="FF605E5C"/>
      <name val="Segoe UI"/>
      <family val="2"/>
    </font>
    <font>
      <sz val="9"/>
      <color rgb="FF0078D7"/>
      <name val="Segoe UI"/>
      <family val="2"/>
    </font>
    <font>
      <u/>
      <sz val="11"/>
      <color rgb="FF0000FF"/>
      <name val="Calibri"/>
      <family val="2"/>
      <charset val="1"/>
    </font>
  </fonts>
  <fills count="15">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66CCFF"/>
        <bgColor indexed="64"/>
      </patternFill>
    </fill>
    <fill>
      <patternFill patternType="solid">
        <fgColor theme="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C5D9F1"/>
        <bgColor indexed="64"/>
      </patternFill>
    </fill>
    <fill>
      <patternFill patternType="solid">
        <fgColor theme="6" tint="0.59999389629810485"/>
        <bgColor indexed="64"/>
      </patternFill>
    </fill>
    <fill>
      <patternFill patternType="solid">
        <fgColor rgb="FFFFFF00"/>
        <bgColor theme="4"/>
      </patternFill>
    </fill>
  </fills>
  <borders count="26">
    <border>
      <left/>
      <right/>
      <top/>
      <bottom/>
      <diagonal/>
    </border>
    <border>
      <left/>
      <right/>
      <top style="thick">
        <color auto="1"/>
      </top>
      <bottom/>
      <diagonal/>
    </border>
    <border>
      <left/>
      <right style="thin">
        <color indexed="64"/>
      </right>
      <top style="thick">
        <color auto="1"/>
      </top>
      <bottom/>
      <diagonal/>
    </border>
    <border>
      <left style="thin">
        <color indexed="64"/>
      </left>
      <right/>
      <top style="thick">
        <color auto="1"/>
      </top>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rgb="FF000000"/>
      </right>
      <top/>
      <bottom style="medium">
        <color rgb="FF000000"/>
      </bottom>
      <diagonal/>
    </border>
    <border>
      <left/>
      <right style="thin">
        <color indexed="64"/>
      </right>
      <top style="thin">
        <color indexed="64"/>
      </top>
      <bottom style="thin">
        <color indexed="64"/>
      </bottom>
      <diagonal/>
    </border>
  </borders>
  <cellStyleXfs count="14">
    <xf numFmtId="0" fontId="0" fillId="0" borderId="0"/>
    <xf numFmtId="0" fontId="1" fillId="0" borderId="0"/>
    <xf numFmtId="0" fontId="6" fillId="0" borderId="0" applyNumberFormat="0" applyFill="0" applyBorder="0" applyAlignment="0" applyProtection="0">
      <alignment vertical="top"/>
      <protection locked="0"/>
    </xf>
    <xf numFmtId="0" fontId="1" fillId="0" borderId="0"/>
    <xf numFmtId="0" fontId="13" fillId="0" borderId="0" applyNumberFormat="0" applyFill="0" applyBorder="0" applyAlignment="0" applyProtection="0">
      <alignment vertical="top"/>
      <protection locked="0"/>
    </xf>
    <xf numFmtId="0" fontId="1" fillId="0" borderId="0"/>
    <xf numFmtId="0" fontId="18" fillId="0" borderId="0"/>
    <xf numFmtId="164" fontId="17" fillId="0" borderId="0" applyFont="0" applyFill="0" applyBorder="0" applyAlignment="0" applyProtection="0"/>
    <xf numFmtId="0" fontId="22" fillId="0" borderId="0"/>
    <xf numFmtId="0" fontId="23" fillId="0" borderId="0"/>
    <xf numFmtId="0" fontId="22" fillId="0" borderId="0"/>
    <xf numFmtId="0" fontId="20" fillId="0" borderId="0"/>
    <xf numFmtId="0" fontId="23" fillId="0" borderId="0"/>
    <xf numFmtId="0" fontId="20" fillId="0" borderId="0"/>
  </cellStyleXfs>
  <cellXfs count="191">
    <xf numFmtId="0" fontId="0" fillId="0" borderId="0" xfId="0"/>
    <xf numFmtId="0" fontId="0" fillId="0" borderId="0" xfId="0" applyBorder="1" applyAlignment="1">
      <alignment horizontal="left"/>
    </xf>
    <xf numFmtId="0" fontId="0" fillId="0" borderId="4" xfId="0" applyBorder="1" applyAlignment="1">
      <alignment horizontal="left"/>
    </xf>
    <xf numFmtId="0" fontId="0" fillId="0" borderId="1" xfId="0" applyBorder="1" applyAlignment="1">
      <alignment horizontal="left"/>
    </xf>
    <xf numFmtId="0" fontId="0" fillId="0" borderId="2" xfId="0" applyBorder="1" applyAlignment="1">
      <alignment horizontal="left"/>
    </xf>
    <xf numFmtId="166" fontId="0" fillId="0" borderId="1" xfId="0" applyNumberFormat="1" applyBorder="1" applyAlignment="1">
      <alignment horizontal="left"/>
    </xf>
    <xf numFmtId="166" fontId="0" fillId="0" borderId="2" xfId="0" applyNumberFormat="1" applyBorder="1" applyAlignment="1">
      <alignment horizontal="left"/>
    </xf>
    <xf numFmtId="166" fontId="0" fillId="0" borderId="0" xfId="0" applyNumberFormat="1" applyBorder="1" applyAlignment="1">
      <alignment horizontal="left"/>
    </xf>
    <xf numFmtId="166" fontId="0" fillId="0" borderId="4" xfId="0" applyNumberFormat="1" applyBorder="1" applyAlignment="1">
      <alignment horizontal="left"/>
    </xf>
    <xf numFmtId="0" fontId="0" fillId="0" borderId="0" xfId="0" applyBorder="1" applyAlignment="1">
      <alignment horizontal="left"/>
    </xf>
    <xf numFmtId="166" fontId="0" fillId="0" borderId="0" xfId="0" applyNumberFormat="1" applyBorder="1" applyAlignment="1">
      <alignment horizontal="left"/>
    </xf>
    <xf numFmtId="165" fontId="0" fillId="0" borderId="0" xfId="0" applyNumberFormat="1" applyBorder="1" applyAlignment="1">
      <alignment horizontal="left"/>
    </xf>
    <xf numFmtId="11" fontId="0" fillId="0" borderId="0" xfId="0" applyNumberFormat="1" applyBorder="1" applyAlignment="1">
      <alignment horizontal="left"/>
    </xf>
    <xf numFmtId="0" fontId="0" fillId="0" borderId="1" xfId="0" applyBorder="1"/>
    <xf numFmtId="0" fontId="0" fillId="0" borderId="3" xfId="0" applyBorder="1"/>
    <xf numFmtId="0" fontId="0" fillId="0" borderId="5" xfId="0" applyBorder="1"/>
    <xf numFmtId="166" fontId="0" fillId="0" borderId="3" xfId="0" applyNumberFormat="1" applyBorder="1"/>
    <xf numFmtId="166" fontId="0" fillId="0" borderId="5" xfId="0" applyNumberFormat="1" applyBorder="1"/>
    <xf numFmtId="166" fontId="0" fillId="0" borderId="0" xfId="0" applyNumberFormat="1"/>
    <xf numFmtId="0" fontId="0" fillId="0" borderId="0" xfId="0" applyBorder="1"/>
    <xf numFmtId="166" fontId="0" fillId="0" borderId="0" xfId="0" applyNumberFormat="1" applyBorder="1"/>
    <xf numFmtId="0" fontId="0" fillId="0" borderId="0" xfId="0" applyBorder="1" applyAlignment="1">
      <alignment horizontal="left"/>
    </xf>
    <xf numFmtId="166" fontId="0" fillId="0" borderId="5" xfId="0" applyNumberFormat="1" applyBorder="1" applyAlignment="1">
      <alignment horizontal="left"/>
    </xf>
    <xf numFmtId="166" fontId="0" fillId="0" borderId="0" xfId="0" applyNumberFormat="1" applyBorder="1" applyAlignment="1">
      <alignment horizontal="left"/>
    </xf>
    <xf numFmtId="0" fontId="0" fillId="0" borderId="5" xfId="0" applyBorder="1" applyAlignment="1">
      <alignment horizontal="left"/>
    </xf>
    <xf numFmtId="165" fontId="0" fillId="0" borderId="0" xfId="0" applyNumberFormat="1" applyBorder="1" applyAlignment="1">
      <alignment horizontal="left"/>
    </xf>
    <xf numFmtId="0" fontId="2" fillId="0" borderId="0" xfId="1" applyFont="1" applyProtection="1"/>
    <xf numFmtId="0" fontId="5" fillId="0" borderId="0" xfId="1" applyFont="1" applyProtection="1"/>
    <xf numFmtId="0" fontId="5" fillId="0" borderId="0" xfId="1" applyFont="1" applyProtection="1">
      <protection locked="0"/>
    </xf>
    <xf numFmtId="0" fontId="7" fillId="0" borderId="0" xfId="2" applyFont="1" applyAlignment="1" applyProtection="1"/>
    <xf numFmtId="0" fontId="8" fillId="0" borderId="0" xfId="1" applyFont="1" applyProtection="1"/>
    <xf numFmtId="0" fontId="8" fillId="0" borderId="0" xfId="1" applyFont="1" applyProtection="1">
      <protection locked="0"/>
    </xf>
    <xf numFmtId="0" fontId="5" fillId="0" borderId="0" xfId="1" applyFont="1" applyAlignment="1" applyProtection="1">
      <alignment horizontal="left"/>
    </xf>
    <xf numFmtId="0" fontId="8" fillId="0" borderId="0" xfId="1" applyFont="1" applyFill="1" applyBorder="1" applyProtection="1">
      <protection locked="0"/>
    </xf>
    <xf numFmtId="0" fontId="5" fillId="0" borderId="0" xfId="1" applyFont="1" applyBorder="1" applyProtection="1">
      <protection locked="0"/>
    </xf>
    <xf numFmtId="0" fontId="9" fillId="0" borderId="6" xfId="1" applyFont="1" applyFill="1" applyBorder="1" applyAlignment="1" applyProtection="1">
      <alignment horizontal="center"/>
    </xf>
    <xf numFmtId="0" fontId="9" fillId="0" borderId="5" xfId="1" applyFont="1" applyFill="1" applyBorder="1" applyAlignment="1" applyProtection="1">
      <alignment horizontal="center"/>
    </xf>
    <xf numFmtId="0" fontId="9" fillId="0" borderId="7" xfId="1" applyFont="1" applyFill="1" applyBorder="1" applyAlignment="1" applyProtection="1">
      <alignment horizontal="center"/>
    </xf>
    <xf numFmtId="0" fontId="0" fillId="0" borderId="0" xfId="0" applyFont="1" applyFill="1"/>
    <xf numFmtId="0" fontId="0" fillId="0" borderId="0" xfId="0" applyFill="1"/>
    <xf numFmtId="0" fontId="5" fillId="0" borderId="0" xfId="1" applyFont="1" applyFill="1" applyProtection="1">
      <protection locked="0"/>
    </xf>
    <xf numFmtId="0" fontId="9" fillId="2" borderId="8" xfId="1" applyFont="1" applyFill="1" applyBorder="1" applyAlignment="1" applyProtection="1">
      <alignment horizontal="center" vertical="center" wrapText="1"/>
    </xf>
    <xf numFmtId="0" fontId="5" fillId="2" borderId="9" xfId="1" applyFont="1" applyFill="1" applyBorder="1" applyAlignment="1" applyProtection="1">
      <alignment horizontal="center" vertical="center" wrapText="1"/>
    </xf>
    <xf numFmtId="0" fontId="5" fillId="2" borderId="9" xfId="1" applyFont="1" applyFill="1" applyBorder="1" applyAlignment="1" applyProtection="1">
      <alignment horizontal="center" vertical="center" wrapText="1"/>
      <protection locked="0"/>
    </xf>
    <xf numFmtId="0" fontId="5" fillId="0" borderId="0" xfId="1" applyFont="1" applyAlignment="1" applyProtection="1">
      <alignment horizontal="center" vertical="center" wrapText="1"/>
      <protection locked="0"/>
    </xf>
    <xf numFmtId="0" fontId="5" fillId="0" borderId="10" xfId="1" applyFont="1" applyFill="1" applyBorder="1" applyAlignment="1" applyProtection="1">
      <alignment horizontal="center" vertical="center" wrapText="1"/>
      <protection locked="0"/>
    </xf>
    <xf numFmtId="0" fontId="0" fillId="4" borderId="12" xfId="0" applyFont="1" applyFill="1" applyBorder="1"/>
    <xf numFmtId="0" fontId="0" fillId="4" borderId="13" xfId="0" applyFont="1" applyFill="1" applyBorder="1"/>
    <xf numFmtId="0" fontId="0" fillId="4" borderId="14" xfId="0" applyFont="1" applyFill="1" applyBorder="1"/>
    <xf numFmtId="0" fontId="11" fillId="0" borderId="0" xfId="1" applyFont="1" applyFill="1" applyAlignment="1">
      <alignment horizontal="left"/>
    </xf>
    <xf numFmtId="0" fontId="12" fillId="0" borderId="0" xfId="1" applyFont="1" applyFill="1"/>
    <xf numFmtId="0" fontId="12" fillId="0" borderId="0" xfId="3" applyFont="1"/>
    <xf numFmtId="0" fontId="14" fillId="0" borderId="0" xfId="4" applyFont="1" applyAlignment="1" applyProtection="1"/>
    <xf numFmtId="0" fontId="14" fillId="0" borderId="0" xfId="4" applyFont="1" applyFill="1" applyAlignment="1" applyProtection="1"/>
    <xf numFmtId="0" fontId="0" fillId="0" borderId="11" xfId="0" applyBorder="1"/>
    <xf numFmtId="0" fontId="6" fillId="0" borderId="0" xfId="2" applyFill="1" applyAlignment="1" applyProtection="1"/>
    <xf numFmtId="0" fontId="12" fillId="0" borderId="0" xfId="3" applyFont="1" applyFill="1"/>
    <xf numFmtId="0" fontId="0" fillId="5" borderId="0" xfId="0" applyFill="1"/>
    <xf numFmtId="0" fontId="15" fillId="0" borderId="11" xfId="0" applyFont="1" applyFill="1" applyBorder="1" applyAlignment="1">
      <alignment horizontal="left" vertical="center"/>
    </xf>
    <xf numFmtId="0" fontId="10" fillId="3" borderId="16" xfId="0" applyFont="1" applyFill="1" applyBorder="1"/>
    <xf numFmtId="0" fontId="10" fillId="3" borderId="17" xfId="0" applyFont="1" applyFill="1" applyBorder="1"/>
    <xf numFmtId="0" fontId="0" fillId="4" borderId="15" xfId="0" applyFont="1" applyFill="1" applyBorder="1"/>
    <xf numFmtId="0" fontId="0" fillId="4" borderId="16" xfId="0" applyFont="1" applyFill="1" applyBorder="1"/>
    <xf numFmtId="0" fontId="0" fillId="4" borderId="17" xfId="0" applyFont="1" applyFill="1" applyBorder="1"/>
    <xf numFmtId="0" fontId="0" fillId="0" borderId="15" xfId="0" applyFont="1" applyBorder="1"/>
    <xf numFmtId="0" fontId="0" fillId="0" borderId="16" xfId="0" applyFont="1" applyBorder="1"/>
    <xf numFmtId="0" fontId="0" fillId="0" borderId="17" xfId="0" applyFont="1" applyBorder="1"/>
    <xf numFmtId="0" fontId="6" fillId="4" borderId="16" xfId="2" applyFill="1" applyBorder="1" applyAlignment="1" applyProtection="1"/>
    <xf numFmtId="0" fontId="0" fillId="0" borderId="0" xfId="0"/>
    <xf numFmtId="0" fontId="16" fillId="0" borderId="0" xfId="1" applyFont="1" applyFill="1" applyProtection="1">
      <protection locked="0"/>
    </xf>
    <xf numFmtId="0" fontId="17" fillId="0" borderId="0" xfId="0" applyFont="1" applyFill="1"/>
    <xf numFmtId="0" fontId="6" fillId="0" borderId="0" xfId="2" applyAlignment="1" applyProtection="1"/>
    <xf numFmtId="0" fontId="9" fillId="6" borderId="11" xfId="0" applyFont="1" applyFill="1" applyBorder="1" applyAlignment="1">
      <alignment horizontal="left" vertical="center"/>
    </xf>
    <xf numFmtId="0" fontId="0" fillId="0" borderId="0" xfId="0" applyAlignment="1">
      <alignment horizontal="left"/>
    </xf>
    <xf numFmtId="1" fontId="19" fillId="0" borderId="11" xfId="0" applyNumberFormat="1" applyFont="1" applyFill="1" applyBorder="1" applyAlignment="1">
      <alignment horizontal="left" vertical="center"/>
    </xf>
    <xf numFmtId="0" fontId="21" fillId="0" borderId="11" xfId="1" applyFont="1" applyFill="1" applyBorder="1" applyAlignment="1">
      <alignment horizontal="left" vertical="top"/>
    </xf>
    <xf numFmtId="0" fontId="21" fillId="0" borderId="11" xfId="1" applyFont="1" applyFill="1" applyBorder="1" applyAlignment="1">
      <alignment horizontal="left" vertical="center"/>
    </xf>
    <xf numFmtId="0" fontId="0" fillId="0" borderId="0" xfId="0" applyFill="1" applyAlignment="1">
      <alignment horizontal="left"/>
    </xf>
    <xf numFmtId="1" fontId="19" fillId="0" borderId="11" xfId="8" applyNumberFormat="1" applyFont="1" applyFill="1" applyBorder="1" applyAlignment="1">
      <alignment horizontal="left" vertical="center"/>
    </xf>
    <xf numFmtId="0" fontId="19" fillId="0" borderId="11" xfId="9" applyFont="1" applyFill="1" applyBorder="1" applyAlignment="1" applyProtection="1">
      <alignment horizontal="left" vertical="center"/>
    </xf>
    <xf numFmtId="0" fontId="19" fillId="0" borderId="11" xfId="1" applyFont="1" applyFill="1" applyBorder="1" applyAlignment="1" applyProtection="1">
      <alignment horizontal="left" vertical="center"/>
    </xf>
    <xf numFmtId="0" fontId="19" fillId="0" borderId="11" xfId="0" applyFont="1" applyFill="1" applyBorder="1" applyAlignment="1">
      <alignment horizontal="left" vertical="center"/>
    </xf>
    <xf numFmtId="1" fontId="19" fillId="0" borderId="11" xfId="11" applyNumberFormat="1" applyFont="1" applyFill="1" applyBorder="1" applyAlignment="1">
      <alignment horizontal="left" vertical="center"/>
    </xf>
    <xf numFmtId="1" fontId="19" fillId="0" borderId="11" xfId="7" applyNumberFormat="1" applyFont="1" applyFill="1" applyBorder="1" applyAlignment="1" applyProtection="1">
      <alignment horizontal="left" vertical="center"/>
    </xf>
    <xf numFmtId="0" fontId="19" fillId="0" borderId="11" xfId="12" applyFont="1" applyFill="1" applyBorder="1" applyAlignment="1">
      <alignment horizontal="left" vertical="center"/>
    </xf>
    <xf numFmtId="0" fontId="0" fillId="0" borderId="0" xfId="0" applyAlignment="1">
      <alignment horizontal="left" vertical="center"/>
    </xf>
    <xf numFmtId="0" fontId="0" fillId="0" borderId="0" xfId="0" applyAlignment="1">
      <alignment horizontal="left" vertical="top"/>
    </xf>
    <xf numFmtId="0" fontId="21" fillId="0" borderId="11" xfId="0" applyFont="1" applyFill="1" applyBorder="1" applyAlignment="1">
      <alignment horizontal="left" vertical="center"/>
    </xf>
    <xf numFmtId="0" fontId="0" fillId="0" borderId="11" xfId="0" applyBorder="1" applyAlignment="1">
      <alignment horizontal="left" vertical="top"/>
    </xf>
    <xf numFmtId="0" fontId="19" fillId="7" borderId="11" xfId="0" applyNumberFormat="1" applyFont="1" applyFill="1" applyBorder="1"/>
    <xf numFmtId="0" fontId="25" fillId="8" borderId="11" xfId="0" applyFont="1" applyFill="1" applyBorder="1" applyAlignment="1">
      <alignment horizontal="center" vertical="center" wrapText="1"/>
    </xf>
    <xf numFmtId="0" fontId="6" fillId="0" borderId="11" xfId="2" applyBorder="1" applyAlignment="1" applyProtection="1"/>
    <xf numFmtId="49" fontId="25" fillId="8" borderId="11" xfId="0" applyNumberFormat="1" applyFont="1" applyFill="1" applyBorder="1" applyAlignment="1">
      <alignment horizontal="left" vertical="center" wrapText="1"/>
    </xf>
    <xf numFmtId="49" fontId="19" fillId="0" borderId="11" xfId="0" applyNumberFormat="1" applyFont="1" applyBorder="1" applyAlignment="1">
      <alignment horizontal="left"/>
    </xf>
    <xf numFmtId="49" fontId="19" fillId="0" borderId="11" xfId="0" applyNumberFormat="1" applyFont="1" applyFill="1" applyBorder="1" applyAlignment="1">
      <alignment horizontal="left"/>
    </xf>
    <xf numFmtId="0" fontId="24" fillId="0" borderId="0" xfId="0" applyFont="1" applyAlignment="1">
      <alignment horizontal="left"/>
    </xf>
    <xf numFmtId="0" fontId="25" fillId="10" borderId="11" xfId="0" applyFont="1" applyFill="1" applyBorder="1" applyAlignment="1">
      <alignment horizontal="center" vertical="center" wrapText="1"/>
    </xf>
    <xf numFmtId="0" fontId="25" fillId="11" borderId="11" xfId="0" applyFont="1" applyFill="1" applyBorder="1" applyAlignment="1">
      <alignment horizontal="center" vertical="center" wrapText="1"/>
    </xf>
    <xf numFmtId="0" fontId="19" fillId="10" borderId="11" xfId="0" applyFont="1" applyFill="1" applyBorder="1"/>
    <xf numFmtId="0" fontId="19" fillId="11" borderId="11" xfId="0" applyFont="1" applyFill="1" applyBorder="1"/>
    <xf numFmtId="49" fontId="25" fillId="9" borderId="11" xfId="0" applyNumberFormat="1" applyFont="1" applyFill="1" applyBorder="1" applyAlignment="1">
      <alignment horizontal="left" vertical="center" wrapText="1"/>
    </xf>
    <xf numFmtId="0" fontId="6" fillId="0" borderId="18" xfId="2" applyBorder="1" applyAlignment="1" applyProtection="1">
      <alignment horizontal="left" vertical="center"/>
    </xf>
    <xf numFmtId="0" fontId="6" fillId="0" borderId="11" xfId="2" applyFill="1" applyBorder="1" applyAlignment="1" applyProtection="1">
      <alignment horizontal="left" vertical="center"/>
    </xf>
    <xf numFmtId="0" fontId="6" fillId="0" borderId="11" xfId="2" applyNumberFormat="1" applyFill="1" applyBorder="1" applyAlignment="1" applyProtection="1">
      <alignment horizontal="left"/>
    </xf>
    <xf numFmtId="49" fontId="19" fillId="0" borderId="19" xfId="0" applyNumberFormat="1" applyFont="1" applyFill="1" applyBorder="1" applyAlignment="1">
      <alignment horizontal="left" vertical="center"/>
    </xf>
    <xf numFmtId="0" fontId="26" fillId="10" borderId="20" xfId="0" applyNumberFormat="1" applyFont="1" applyFill="1" applyBorder="1" applyAlignment="1">
      <alignment horizontal="center" vertical="center" wrapText="1"/>
    </xf>
    <xf numFmtId="167" fontId="19" fillId="0" borderId="11" xfId="12" applyNumberFormat="1" applyFont="1" applyFill="1" applyBorder="1" applyAlignment="1">
      <alignment horizontal="left" vertical="center"/>
    </xf>
    <xf numFmtId="0" fontId="27" fillId="0" borderId="11" xfId="2" applyNumberFormat="1" applyFont="1" applyFill="1" applyBorder="1" applyAlignment="1" applyProtection="1">
      <alignment horizontal="left"/>
    </xf>
    <xf numFmtId="0" fontId="6" fillId="0" borderId="0" xfId="2" applyAlignment="1" applyProtection="1">
      <alignment vertical="center"/>
    </xf>
    <xf numFmtId="167" fontId="19" fillId="7" borderId="11" xfId="12" applyNumberFormat="1" applyFont="1" applyFill="1" applyBorder="1" applyAlignment="1">
      <alignment horizontal="left" vertical="center"/>
    </xf>
    <xf numFmtId="0" fontId="6" fillId="7" borderId="11" xfId="2" applyNumberFormat="1" applyFill="1" applyBorder="1" applyAlignment="1" applyProtection="1">
      <alignment horizontal="left"/>
    </xf>
    <xf numFmtId="0" fontId="6" fillId="0" borderId="21" xfId="2" applyNumberFormat="1" applyFill="1" applyBorder="1" applyAlignment="1" applyProtection="1">
      <alignment horizontal="left"/>
    </xf>
    <xf numFmtId="49" fontId="26" fillId="10" borderId="20" xfId="0" applyNumberFormat="1" applyFont="1" applyFill="1" applyBorder="1" applyAlignment="1">
      <alignment horizontal="center" vertical="center" wrapText="1"/>
    </xf>
    <xf numFmtId="49" fontId="19" fillId="0" borderId="11" xfId="12" applyNumberFormat="1" applyFont="1" applyFill="1" applyBorder="1" applyAlignment="1">
      <alignment horizontal="left" vertical="center"/>
    </xf>
    <xf numFmtId="49" fontId="19" fillId="7" borderId="11" xfId="12" applyNumberFormat="1" applyFont="1" applyFill="1" applyBorder="1" applyAlignment="1">
      <alignment horizontal="left" vertical="center"/>
    </xf>
    <xf numFmtId="0" fontId="6" fillId="0" borderId="0" xfId="2" applyFill="1" applyAlignment="1" applyProtection="1">
      <alignment horizontal="left"/>
    </xf>
    <xf numFmtId="0" fontId="28" fillId="12" borderId="22" xfId="0" applyFont="1" applyFill="1" applyBorder="1" applyAlignment="1">
      <alignment horizontal="center" vertical="center"/>
    </xf>
    <xf numFmtId="0" fontId="23" fillId="2" borderId="23" xfId="0" applyFont="1" applyFill="1" applyBorder="1" applyAlignment="1">
      <alignment horizontal="center" vertical="center"/>
    </xf>
    <xf numFmtId="0" fontId="6" fillId="0" borderId="24" xfId="2" applyBorder="1" applyAlignment="1" applyProtection="1">
      <alignment vertical="center" wrapText="1"/>
    </xf>
    <xf numFmtId="0" fontId="29" fillId="0" borderId="0" xfId="0" applyFont="1" applyAlignment="1"/>
    <xf numFmtId="0" fontId="0" fillId="0" borderId="0" xfId="0" applyAlignment="1"/>
    <xf numFmtId="0" fontId="0" fillId="2" borderId="0" xfId="0" applyFill="1"/>
    <xf numFmtId="0" fontId="0" fillId="13" borderId="0" xfId="0" applyFill="1"/>
    <xf numFmtId="0" fontId="9" fillId="2" borderId="11" xfId="0" applyFont="1" applyFill="1" applyBorder="1" applyAlignment="1">
      <alignment horizontal="left" vertical="top"/>
    </xf>
    <xf numFmtId="0" fontId="9" fillId="2" borderId="11" xfId="0" applyFont="1" applyFill="1" applyBorder="1" applyAlignment="1">
      <alignment horizontal="left" vertical="center"/>
    </xf>
    <xf numFmtId="0" fontId="0" fillId="2" borderId="0" xfId="0" applyFill="1" applyAlignment="1">
      <alignment horizontal="left"/>
    </xf>
    <xf numFmtId="0" fontId="30" fillId="14" borderId="16" xfId="0" applyFont="1" applyFill="1" applyBorder="1"/>
    <xf numFmtId="0" fontId="30" fillId="2" borderId="6" xfId="1" applyFont="1" applyFill="1" applyBorder="1" applyAlignment="1" applyProtection="1">
      <alignment horizontal="center"/>
    </xf>
    <xf numFmtId="0" fontId="0" fillId="2" borderId="11" xfId="0" applyFill="1" applyBorder="1" applyAlignment="1">
      <alignment horizontal="left" vertical="top"/>
    </xf>
    <xf numFmtId="0" fontId="21" fillId="2" borderId="11" xfId="1" applyFont="1" applyFill="1" applyBorder="1" applyAlignment="1">
      <alignment horizontal="left" vertical="top"/>
    </xf>
    <xf numFmtId="0" fontId="21" fillId="2" borderId="11" xfId="1" applyFont="1" applyFill="1" applyBorder="1" applyAlignment="1">
      <alignment horizontal="left" vertical="center"/>
    </xf>
    <xf numFmtId="0" fontId="6" fillId="2" borderId="0" xfId="2" applyFill="1" applyAlignment="1" applyProtection="1"/>
    <xf numFmtId="0" fontId="6" fillId="2" borderId="0" xfId="2" applyFill="1" applyAlignment="1" applyProtection="1">
      <alignment horizontal="left"/>
    </xf>
    <xf numFmtId="0" fontId="6" fillId="2" borderId="11" xfId="2" applyFill="1" applyBorder="1" applyAlignment="1" applyProtection="1">
      <alignment horizontal="left" vertical="center"/>
    </xf>
    <xf numFmtId="0" fontId="5" fillId="0" borderId="11" xfId="0" applyFont="1" applyFill="1" applyBorder="1" applyAlignment="1">
      <alignment horizontal="center" vertical="center"/>
    </xf>
    <xf numFmtId="1" fontId="0" fillId="0" borderId="11" xfId="0" applyNumberFormat="1" applyFill="1" applyBorder="1" applyAlignment="1">
      <alignment horizontal="center"/>
    </xf>
    <xf numFmtId="0" fontId="0" fillId="0" borderId="11" xfId="0" applyFill="1" applyBorder="1" applyAlignment="1">
      <alignment horizontal="center"/>
    </xf>
    <xf numFmtId="49" fontId="19" fillId="0" borderId="11" xfId="0" applyNumberFormat="1" applyFont="1" applyFill="1" applyBorder="1" applyAlignment="1">
      <alignment horizontal="left" vertical="center"/>
    </xf>
    <xf numFmtId="49" fontId="19" fillId="0" borderId="11" xfId="8" applyNumberFormat="1" applyFont="1" applyFill="1" applyBorder="1" applyAlignment="1">
      <alignment horizontal="left" vertical="center"/>
    </xf>
    <xf numFmtId="49" fontId="19" fillId="0" borderId="11" xfId="9" applyNumberFormat="1" applyFont="1" applyFill="1" applyBorder="1" applyAlignment="1" applyProtection="1">
      <alignment horizontal="left" vertical="center"/>
    </xf>
    <xf numFmtId="49" fontId="19" fillId="0" borderId="11" xfId="1" applyNumberFormat="1" applyFont="1" applyFill="1" applyBorder="1" applyAlignment="1" applyProtection="1">
      <alignment horizontal="left" vertical="center"/>
    </xf>
    <xf numFmtId="49" fontId="19" fillId="0" borderId="11" xfId="11" applyNumberFormat="1" applyFont="1" applyFill="1" applyBorder="1" applyAlignment="1">
      <alignment horizontal="left" vertical="center"/>
    </xf>
    <xf numFmtId="49" fontId="19" fillId="0" borderId="11" xfId="7" applyNumberFormat="1" applyFont="1" applyFill="1" applyBorder="1" applyAlignment="1" applyProtection="1">
      <alignment horizontal="left" vertical="center"/>
    </xf>
    <xf numFmtId="49" fontId="21" fillId="0" borderId="11" xfId="0" applyNumberFormat="1" applyFont="1" applyFill="1" applyBorder="1" applyAlignment="1">
      <alignment horizontal="left" vertical="center"/>
    </xf>
    <xf numFmtId="49" fontId="0" fillId="0" borderId="11" xfId="0" applyNumberFormat="1" applyBorder="1" applyAlignment="1">
      <alignment horizontal="left" vertical="top"/>
    </xf>
    <xf numFmtId="49" fontId="0" fillId="2" borderId="11" xfId="0" applyNumberFormat="1" applyFill="1" applyBorder="1" applyAlignment="1">
      <alignment horizontal="left" vertical="top"/>
    </xf>
    <xf numFmtId="49" fontId="19" fillId="7" borderId="11" xfId="0" applyNumberFormat="1" applyFont="1" applyFill="1" applyBorder="1"/>
    <xf numFmtId="49" fontId="0" fillId="4" borderId="16" xfId="0" applyNumberFormat="1" applyFont="1" applyFill="1" applyBorder="1"/>
    <xf numFmtId="49" fontId="0" fillId="0" borderId="16" xfId="0" applyNumberFormat="1" applyFont="1" applyBorder="1"/>
    <xf numFmtId="49" fontId="0" fillId="4" borderId="13" xfId="0" applyNumberFormat="1" applyFont="1" applyFill="1" applyBorder="1"/>
    <xf numFmtId="49" fontId="0" fillId="0" borderId="0" xfId="0" applyNumberFormat="1"/>
    <xf numFmtId="0" fontId="31" fillId="0" borderId="0" xfId="1" applyFont="1" applyFill="1" applyBorder="1" applyAlignment="1" applyProtection="1">
      <alignment vertical="top"/>
      <protection locked="0"/>
    </xf>
    <xf numFmtId="0" fontId="32" fillId="0" borderId="7" xfId="1" applyFont="1" applyFill="1" applyBorder="1" applyAlignment="1" applyProtection="1">
      <alignment horizontal="center"/>
    </xf>
    <xf numFmtId="0" fontId="29" fillId="0" borderId="0" xfId="0" applyFont="1" applyAlignment="1">
      <alignment wrapText="1"/>
    </xf>
    <xf numFmtId="0" fontId="24" fillId="4" borderId="11" xfId="0" applyFont="1" applyFill="1" applyBorder="1" applyAlignment="1">
      <alignment horizontal="center" vertical="center"/>
    </xf>
    <xf numFmtId="0" fontId="0" fillId="2" borderId="11" xfId="0" applyFill="1" applyBorder="1"/>
    <xf numFmtId="0" fontId="19" fillId="0" borderId="11" xfId="0" applyFont="1" applyFill="1" applyBorder="1" applyAlignment="1">
      <alignment vertical="center"/>
    </xf>
    <xf numFmtId="0" fontId="19" fillId="0" borderId="11" xfId="0" applyFont="1" applyFill="1" applyBorder="1" applyAlignment="1">
      <alignment horizontal="center"/>
    </xf>
    <xf numFmtId="0" fontId="0" fillId="0" borderId="11" xfId="0" applyFill="1" applyBorder="1" applyAlignment="1"/>
    <xf numFmtId="0" fontId="0" fillId="0" borderId="11" xfId="0" applyFont="1" applyBorder="1"/>
    <xf numFmtId="0" fontId="6" fillId="0" borderId="25" xfId="2" applyBorder="1" applyAlignment="1" applyProtection="1"/>
    <xf numFmtId="0" fontId="6" fillId="2" borderId="11" xfId="2" applyFill="1" applyBorder="1" applyAlignment="1" applyProtection="1"/>
    <xf numFmtId="0" fontId="19" fillId="0" borderId="11" xfId="0" applyFont="1" applyFill="1" applyBorder="1" applyAlignment="1">
      <alignment horizontal="left"/>
    </xf>
    <xf numFmtId="0" fontId="33" fillId="2" borderId="25" xfId="0" applyFont="1" applyFill="1" applyBorder="1"/>
    <xf numFmtId="0" fontId="33" fillId="2" borderId="11" xfId="0" applyFont="1" applyFill="1" applyBorder="1"/>
    <xf numFmtId="0" fontId="6" fillId="2" borderId="25" xfId="2" applyFill="1" applyBorder="1" applyAlignment="1" applyProtection="1"/>
    <xf numFmtId="0" fontId="19" fillId="2" borderId="11" xfId="0" applyFont="1" applyFill="1" applyBorder="1" applyAlignment="1">
      <alignment horizontal="left"/>
    </xf>
    <xf numFmtId="0" fontId="34" fillId="2" borderId="11" xfId="0" applyFont="1" applyFill="1" applyBorder="1"/>
    <xf numFmtId="0" fontId="6" fillId="0" borderId="0" xfId="2" applyBorder="1" applyAlignment="1" applyProtection="1"/>
    <xf numFmtId="0" fontId="6" fillId="2" borderId="0" xfId="2" applyFill="1" applyBorder="1" applyAlignment="1" applyProtection="1"/>
    <xf numFmtId="0" fontId="0" fillId="0" borderId="25" xfId="0" applyBorder="1"/>
    <xf numFmtId="0" fontId="35" fillId="2" borderId="11" xfId="2" applyFont="1" applyFill="1" applyBorder="1" applyAlignment="1" applyProtection="1"/>
    <xf numFmtId="0" fontId="35" fillId="2" borderId="11" xfId="2" applyFont="1" applyFill="1" applyBorder="1" applyAlignment="1" applyProtection="1">
      <alignment wrapText="1"/>
    </xf>
    <xf numFmtId="0" fontId="6" fillId="0" borderId="11" xfId="2" quotePrefix="1" applyBorder="1" applyAlignment="1" applyProtection="1"/>
    <xf numFmtId="0" fontId="6" fillId="0" borderId="25" xfId="2" quotePrefix="1" applyBorder="1" applyAlignment="1" applyProtection="1"/>
    <xf numFmtId="0" fontId="35" fillId="2" borderId="25" xfId="2" applyFont="1" applyFill="1" applyBorder="1" applyAlignment="1" applyProtection="1"/>
    <xf numFmtId="0" fontId="6" fillId="0" borderId="25" xfId="2" applyBorder="1" applyAlignment="1" applyProtection="1">
      <alignment vertical="center"/>
    </xf>
    <xf numFmtId="0" fontId="6" fillId="0" borderId="11" xfId="2" applyBorder="1" applyAlignment="1" applyProtection="1">
      <alignment vertical="center"/>
    </xf>
    <xf numFmtId="0" fontId="6" fillId="2" borderId="11" xfId="2" applyFill="1" applyBorder="1" applyAlignment="1" applyProtection="1">
      <alignment vertical="center"/>
    </xf>
    <xf numFmtId="0" fontId="0" fillId="0" borderId="18" xfId="0" applyBorder="1"/>
    <xf numFmtId="0" fontId="19" fillId="0" borderId="25" xfId="0" applyFont="1" applyFill="1" applyBorder="1" applyAlignment="1">
      <alignment horizontal="center"/>
    </xf>
    <xf numFmtId="0" fontId="6" fillId="0" borderId="0" xfId="2" applyBorder="1" applyAlignment="1" applyProtection="1">
      <alignment vertical="center"/>
    </xf>
    <xf numFmtId="0" fontId="0" fillId="13" borderId="0" xfId="0" applyFill="1" applyBorder="1"/>
    <xf numFmtId="49" fontId="0" fillId="0" borderId="0" xfId="0" applyNumberFormat="1" applyBorder="1" applyAlignment="1">
      <alignment horizontal="left" vertical="center"/>
    </xf>
    <xf numFmtId="0" fontId="0" fillId="0" borderId="0" xfId="0" quotePrefix="1" applyBorder="1" applyAlignment="1">
      <alignment horizontal="left" vertical="center"/>
    </xf>
    <xf numFmtId="49" fontId="24" fillId="4" borderId="11" xfId="0" applyNumberFormat="1" applyFont="1" applyFill="1" applyBorder="1" applyAlignment="1">
      <alignment horizontal="center" vertical="center"/>
    </xf>
    <xf numFmtId="49" fontId="0" fillId="0" borderId="11" xfId="0" applyNumberFormat="1" applyBorder="1" applyAlignment="1">
      <alignment horizontal="right" vertical="center"/>
    </xf>
    <xf numFmtId="49" fontId="0" fillId="0" borderId="11" xfId="0" applyNumberFormat="1" applyBorder="1" applyAlignment="1">
      <alignment horizontal="right"/>
    </xf>
    <xf numFmtId="49" fontId="0" fillId="0" borderId="11" xfId="0" applyNumberFormat="1" applyBorder="1" applyAlignment="1">
      <alignment horizontal="center" vertical="center"/>
    </xf>
    <xf numFmtId="49" fontId="0" fillId="0" borderId="11" xfId="0" applyNumberFormat="1" applyFill="1" applyBorder="1" applyAlignment="1">
      <alignment horizontal="center"/>
    </xf>
    <xf numFmtId="0" fontId="5" fillId="0" borderId="0" xfId="1" applyFont="1" applyFill="1" applyBorder="1" applyProtection="1">
      <protection locked="0"/>
    </xf>
  </cellXfs>
  <cellStyles count="14">
    <cellStyle name="Comma" xfId="7" builtinId="3"/>
    <cellStyle name="Hyperlink" xfId="2" builtinId="8"/>
    <cellStyle name="Hyperlink 2" xfId="4" xr:uid="{00000000-0005-0000-0000-000002000000}"/>
    <cellStyle name="Normal" xfId="0" builtinId="0"/>
    <cellStyle name="Normal 2" xfId="1" xr:uid="{00000000-0005-0000-0000-000004000000}"/>
    <cellStyle name="Normal 2 10" xfId="5" xr:uid="{00000000-0005-0000-0000-000005000000}"/>
    <cellStyle name="Normal 2 10 3" xfId="6" xr:uid="{00000000-0005-0000-0000-000006000000}"/>
    <cellStyle name="Normal 2 2" xfId="13" xr:uid="{00000000-0005-0000-0000-000007000000}"/>
    <cellStyle name="Normal 2 2 5" xfId="8" xr:uid="{00000000-0005-0000-0000-000008000000}"/>
    <cellStyle name="Normal 2 5" xfId="9" xr:uid="{00000000-0005-0000-0000-000009000000}"/>
    <cellStyle name="Normal 3" xfId="12" xr:uid="{00000000-0005-0000-0000-00000A000000}"/>
    <cellStyle name="Normal 3 3" xfId="10" xr:uid="{00000000-0005-0000-0000-00000B000000}"/>
    <cellStyle name="Normal 4" xfId="3" xr:uid="{00000000-0005-0000-0000-00000C000000}"/>
    <cellStyle name="TableStyleLight1" xfId="11" xr:uid="{00000000-0005-0000-0000-00000D000000}"/>
  </cellStyles>
  <dxfs count="28">
    <dxf>
      <font>
        <strike val="0"/>
        <outline val="0"/>
        <shadow val="0"/>
        <vertAlign val="baseline"/>
        <sz val="11"/>
        <name val="Calibri"/>
        <scheme val="minor"/>
      </font>
      <fill>
        <patternFill patternType="none">
          <fgColor indexed="64"/>
          <bgColor indexed="65"/>
        </patternFill>
      </fill>
      <alignment vertical="top" textRotation="0" indent="0" justifyLastLine="0" shrinkToFit="0" readingOrder="0"/>
      <border diagonalUp="0" diagonalDown="0" outline="0">
        <top/>
      </border>
      <protection hidden="0"/>
    </dxf>
    <dxf>
      <font>
        <strike val="0"/>
        <outline val="0"/>
        <shadow val="0"/>
        <vertAlign val="baseline"/>
        <sz val="11"/>
        <name val="Calibri"/>
        <scheme val="minor"/>
      </font>
      <numFmt numFmtId="0" formatCode="General"/>
      <fill>
        <patternFill patternType="none">
          <fgColor indexed="64"/>
          <bgColor indexed="65"/>
        </patternFill>
      </fill>
      <alignment vertical="top" textRotation="0" indent="0" justifyLastLine="0" shrinkToFit="0" readingOrder="0"/>
      <protection hidden="0"/>
    </dxf>
    <dxf>
      <font>
        <strike val="0"/>
        <outline val="0"/>
        <shadow val="0"/>
        <vertAlign val="baseline"/>
        <sz val="1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protection locked="0" hidden="0"/>
    </dxf>
    <dxf>
      <font>
        <strike val="0"/>
        <outline val="0"/>
        <shadow val="0"/>
        <vertAlign val="baseline"/>
        <sz val="11"/>
        <name val="Calibri"/>
        <scheme val="minor"/>
      </font>
      <numFmt numFmtId="0" formatCode="General"/>
      <fill>
        <patternFill patternType="none">
          <fgColor indexed="64"/>
          <bgColor indexed="65"/>
        </patternFill>
      </fill>
    </dxf>
    <dxf>
      <font>
        <strike val="0"/>
        <outline val="0"/>
        <shadow val="0"/>
        <vertAlign val="baseline"/>
        <sz val="11"/>
        <name val="Calibri"/>
        <scheme val="minor"/>
      </font>
      <numFmt numFmtId="0" formatCode="General"/>
      <fill>
        <patternFill patternType="none">
          <fgColor indexed="64"/>
          <bgColor indexed="10"/>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numFmt numFmtId="0" formatCode="General"/>
      <fill>
        <patternFill patternType="none">
          <fgColor indexed="64"/>
          <bgColor indexed="65"/>
        </patternFill>
      </fill>
    </dxf>
    <dxf>
      <fill>
        <patternFill patternType="none">
          <fgColor indexed="64"/>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4</xdr:row>
          <xdr:rowOff>9525</xdr:rowOff>
        </xdr:from>
        <xdr:to>
          <xdr:col>5</xdr:col>
          <xdr:colOff>1304925</xdr:colOff>
          <xdr:row>4</xdr:row>
          <xdr:rowOff>342900</xdr:rowOff>
        </xdr:to>
        <xdr:sp macro="" textlink="">
          <xdr:nvSpPr>
            <xdr:cNvPr id="6145" name="RDB_Outlook"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4</xdr:row>
          <xdr:rowOff>0</xdr:rowOff>
        </xdr:from>
        <xdr:to>
          <xdr:col>9</xdr:col>
          <xdr:colOff>1285875</xdr:colOff>
          <xdr:row>4</xdr:row>
          <xdr:rowOff>342900</xdr:rowOff>
        </xdr:to>
        <xdr:sp macro="" textlink="">
          <xdr:nvSpPr>
            <xdr:cNvPr id="6146" name="BrowseAddFiles"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RDBTableWorkbook3" displayName="RDBTableWorkbook3" ref="A6:N7" totalsRowShown="0" headerRowDxfId="27" dataDxfId="0" headerRowBorderDxfId="26" tableBorderDxfId="25" headerRowCellStyle="Normal 2">
  <tableColumns count="14">
    <tableColumn id="1" xr3:uid="{00000000-0010-0000-0000-000001000000}" name="Send" dataDxfId="14"/>
    <tableColumn id="2" xr3:uid="{00000000-0010-0000-0000-000002000000}" name="Sheets" dataDxfId="13"/>
    <tableColumn id="12" xr3:uid="{00000000-0010-0000-0000-00000C000000}" name="File Name" dataDxfId="12"/>
    <tableColumn id="13" xr3:uid="{00000000-0010-0000-0000-00000D000000}" name="Values" dataDxfId="11"/>
    <tableColumn id="14" xr3:uid="{00000000-0010-0000-0000-00000E000000}" name="Objects" dataDxfId="10"/>
    <tableColumn id="3" xr3:uid="{00000000-0010-0000-0000-000003000000}" name="To" dataDxfId="9" dataCellStyle="Normal"/>
    <tableColumn id="4" xr3:uid="{00000000-0010-0000-0000-000004000000}" name="Cc" dataDxfId="8"/>
    <tableColumn id="5" xr3:uid="{00000000-0010-0000-0000-000005000000}" name="Bcc" dataDxfId="7"/>
    <tableColumn id="16" xr3:uid="{00000000-0010-0000-0000-000010000000}" name="Subject" dataDxfId="6"/>
    <tableColumn id="17" xr3:uid="{00000000-0010-0000-0000-000011000000}" name="FilePath inclduing File Name" dataDxfId="5"/>
    <tableColumn id="6" xr3:uid="{00000000-0010-0000-0000-000006000000}" name="Body text" dataDxfId="4">
      <calculatedColumnFormula>VLOOKUP(LEFT(I7,4),Sheet3!$B$3:$O$503,13,FALSE)</calculatedColumnFormula>
    </tableColumn>
    <tableColumn id="8" xr3:uid="{00000000-0010-0000-0000-000008000000}" name="Importance" dataDxfId="3" dataCellStyle="Normal 2"/>
    <tableColumn id="7" xr3:uid="{00000000-0010-0000-0000-000007000000}" name="Filepath Manually Added" dataDxfId="2"/>
    <tableColumn id="10" xr3:uid="{00000000-0010-0000-0000-00000A000000}" name="Column1" dataDxfId="1">
      <calculatedColumnFormula>LEFT(RDBTableWorkbook3[[#This Row],[Subject]],4)</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6" Type="http://schemas.openxmlformats.org/officeDocument/2006/relationships/hyperlink" Target="mailto:hirak.gogoi@ujjivan.com" TargetMode="External"/><Relationship Id="rId21" Type="http://schemas.openxmlformats.org/officeDocument/2006/relationships/hyperlink" Target="mailto:pujarchana.das@ujjivan.com" TargetMode="External"/><Relationship Id="rId42" Type="http://schemas.openxmlformats.org/officeDocument/2006/relationships/hyperlink" Target="mailto:rajdeep.bhaduri@ujjivan.com" TargetMode="External"/><Relationship Id="rId47" Type="http://schemas.openxmlformats.org/officeDocument/2006/relationships/hyperlink" Target="mailto:mithun.chakraborty@ujjivan.com" TargetMode="External"/><Relationship Id="rId63" Type="http://schemas.openxmlformats.org/officeDocument/2006/relationships/hyperlink" Target="mailto:ashish.das@ujjivan.com" TargetMode="External"/><Relationship Id="rId68" Type="http://schemas.openxmlformats.org/officeDocument/2006/relationships/hyperlink" Target="mailto:amit.kumar@ujjivan.com" TargetMode="External"/><Relationship Id="rId84" Type="http://schemas.openxmlformats.org/officeDocument/2006/relationships/hyperlink" Target="mailto:santanu.dey@ujjivan.com" TargetMode="External"/><Relationship Id="rId89" Type="http://schemas.openxmlformats.org/officeDocument/2006/relationships/hyperlink" Target="mailto:rajdeep.bhaduri@ujjivan.com" TargetMode="External"/><Relationship Id="rId16" Type="http://schemas.openxmlformats.org/officeDocument/2006/relationships/hyperlink" Target="mailto:manas.sasmal@ujjivan.com" TargetMode="External"/><Relationship Id="rId11" Type="http://schemas.openxmlformats.org/officeDocument/2006/relationships/hyperlink" Target="mailto:narasimhaiah.yg@ujjivan.com" TargetMode="External"/><Relationship Id="rId32" Type="http://schemas.openxmlformats.org/officeDocument/2006/relationships/hyperlink" Target="mailto:vivek.kandu@ujjivan.com" TargetMode="External"/><Relationship Id="rId37" Type="http://schemas.openxmlformats.org/officeDocument/2006/relationships/hyperlink" Target="mailto:santanu.dey@ujjivan.com" TargetMode="External"/><Relationship Id="rId53" Type="http://schemas.openxmlformats.org/officeDocument/2006/relationships/hyperlink" Target="mailto:indrajit.baishya@ujjivan.com" TargetMode="External"/><Relationship Id="rId58" Type="http://schemas.openxmlformats.org/officeDocument/2006/relationships/hyperlink" Target="mailto:ashish.das@ujjivan.com" TargetMode="External"/><Relationship Id="rId74" Type="http://schemas.openxmlformats.org/officeDocument/2006/relationships/hyperlink" Target="mailto:amit.kumar@ujjivan.com" TargetMode="External"/><Relationship Id="rId79" Type="http://schemas.openxmlformats.org/officeDocument/2006/relationships/hyperlink" Target="mailto:amit.kumar@ujjivan.com" TargetMode="External"/><Relationship Id="rId5" Type="http://schemas.openxmlformats.org/officeDocument/2006/relationships/hyperlink" Target="mailto:akash.saxena@ujjivan.com" TargetMode="External"/><Relationship Id="rId90" Type="http://schemas.openxmlformats.org/officeDocument/2006/relationships/hyperlink" Target="mailto:santanu.dey@ujjivan.com" TargetMode="External"/><Relationship Id="rId14" Type="http://schemas.openxmlformats.org/officeDocument/2006/relationships/hyperlink" Target="mailto:suman.chakraborty@ujjivan.com" TargetMode="External"/><Relationship Id="rId22" Type="http://schemas.openxmlformats.org/officeDocument/2006/relationships/hyperlink" Target="mailto:pritam.brahma@ujjivan.com" TargetMode="External"/><Relationship Id="rId27" Type="http://schemas.openxmlformats.org/officeDocument/2006/relationships/hyperlink" Target="mailto:suman.dey@ujjivan.com" TargetMode="External"/><Relationship Id="rId30" Type="http://schemas.openxmlformats.org/officeDocument/2006/relationships/hyperlink" Target="mailto:nirmal.ghosh@ujjivan.com" TargetMode="External"/><Relationship Id="rId35" Type="http://schemas.openxmlformats.org/officeDocument/2006/relationships/hyperlink" Target="mailto:santanu.dey@ujjivan.com" TargetMode="External"/><Relationship Id="rId43" Type="http://schemas.openxmlformats.org/officeDocument/2006/relationships/hyperlink" Target="mailto:rajdeep.bhaduri@ujjivan.com" TargetMode="External"/><Relationship Id="rId48" Type="http://schemas.openxmlformats.org/officeDocument/2006/relationships/hyperlink" Target="mailto:mithun.chakraborty@ujjivan.com" TargetMode="External"/><Relationship Id="rId56" Type="http://schemas.openxmlformats.org/officeDocument/2006/relationships/hyperlink" Target="mailto:indrajit.baishya@ujjivan.com" TargetMode="External"/><Relationship Id="rId64" Type="http://schemas.openxmlformats.org/officeDocument/2006/relationships/hyperlink" Target="mailto:ashish.das@ujjivan.com" TargetMode="External"/><Relationship Id="rId69" Type="http://schemas.openxmlformats.org/officeDocument/2006/relationships/hyperlink" Target="mailto:amit.kumar@ujjivan.com" TargetMode="External"/><Relationship Id="rId77" Type="http://schemas.openxmlformats.org/officeDocument/2006/relationships/hyperlink" Target="mailto:amit.kumar@ujjivan.com" TargetMode="External"/><Relationship Id="rId8" Type="http://schemas.openxmlformats.org/officeDocument/2006/relationships/hyperlink" Target="mailto:sandeep.jain@ujjivan.com" TargetMode="External"/><Relationship Id="rId51" Type="http://schemas.openxmlformats.org/officeDocument/2006/relationships/hyperlink" Target="mailto:indrajit.baishya@ujjivan.com" TargetMode="External"/><Relationship Id="rId72" Type="http://schemas.openxmlformats.org/officeDocument/2006/relationships/hyperlink" Target="mailto:amit.kumar@ujjivan.com" TargetMode="External"/><Relationship Id="rId80" Type="http://schemas.openxmlformats.org/officeDocument/2006/relationships/hyperlink" Target="mailto:amit.kumar@ujjivan.com" TargetMode="External"/><Relationship Id="rId85" Type="http://schemas.openxmlformats.org/officeDocument/2006/relationships/hyperlink" Target="mailto:santanu.dey@ujjivan.com" TargetMode="External"/><Relationship Id="rId3" Type="http://schemas.openxmlformats.org/officeDocument/2006/relationships/hyperlink" Target="mailto:ravi.kumarkarodia@ujjivan.com" TargetMode="External"/><Relationship Id="rId12" Type="http://schemas.openxmlformats.org/officeDocument/2006/relationships/hyperlink" Target="mailto:mahesh.singh@ujjivan.com" TargetMode="External"/><Relationship Id="rId17" Type="http://schemas.openxmlformats.org/officeDocument/2006/relationships/hyperlink" Target="mailto:arup.kalita@ujjivan.com" TargetMode="External"/><Relationship Id="rId25" Type="http://schemas.openxmlformats.org/officeDocument/2006/relationships/hyperlink" Target="mailto:shikha.bora@ujjivan.com" TargetMode="External"/><Relationship Id="rId33" Type="http://schemas.openxmlformats.org/officeDocument/2006/relationships/hyperlink" Target="mailto:sukhwant.singh@ujjivan.com" TargetMode="External"/><Relationship Id="rId38" Type="http://schemas.openxmlformats.org/officeDocument/2006/relationships/hyperlink" Target="mailto:santanu.dey@ujjivan.com" TargetMode="External"/><Relationship Id="rId46" Type="http://schemas.openxmlformats.org/officeDocument/2006/relationships/hyperlink" Target="mailto:rajdeep.bhaduri@ujjivan.com" TargetMode="External"/><Relationship Id="rId59" Type="http://schemas.openxmlformats.org/officeDocument/2006/relationships/hyperlink" Target="mailto:ashish.das@ujjivan.com" TargetMode="External"/><Relationship Id="rId67" Type="http://schemas.openxmlformats.org/officeDocument/2006/relationships/hyperlink" Target="mailto:amit.kumar@ujjivan.com" TargetMode="External"/><Relationship Id="rId20" Type="http://schemas.openxmlformats.org/officeDocument/2006/relationships/hyperlink" Target="mailto:rajan.kumar645@ujjivan.com" TargetMode="External"/><Relationship Id="rId41" Type="http://schemas.openxmlformats.org/officeDocument/2006/relationships/hyperlink" Target="mailto:santanu.dey@ujjivan.com" TargetMode="External"/><Relationship Id="rId54" Type="http://schemas.openxmlformats.org/officeDocument/2006/relationships/hyperlink" Target="mailto:indrajit.baishya@ujjivan.com" TargetMode="External"/><Relationship Id="rId62" Type="http://schemas.openxmlformats.org/officeDocument/2006/relationships/hyperlink" Target="mailto:ashish.das@ujjivan.com" TargetMode="External"/><Relationship Id="rId70" Type="http://schemas.openxmlformats.org/officeDocument/2006/relationships/hyperlink" Target="mailto:amit.kumar@ujjivan.com" TargetMode="External"/><Relationship Id="rId75" Type="http://schemas.openxmlformats.org/officeDocument/2006/relationships/hyperlink" Target="mailto:amit.kumar@ujjivan.com" TargetMode="External"/><Relationship Id="rId83" Type="http://schemas.openxmlformats.org/officeDocument/2006/relationships/hyperlink" Target="mailto:rajdeep.bhaduri@ujjivan.com" TargetMode="External"/><Relationship Id="rId88" Type="http://schemas.openxmlformats.org/officeDocument/2006/relationships/hyperlink" Target="mailto:rajdeep.bhaduri@ujjivan.com" TargetMode="External"/><Relationship Id="rId91" Type="http://schemas.openxmlformats.org/officeDocument/2006/relationships/hyperlink" Target="mailto:santanu.dey@ujjivan.com" TargetMode="External"/><Relationship Id="rId1" Type="http://schemas.openxmlformats.org/officeDocument/2006/relationships/hyperlink" Target="mailto:sharvan.kumar@ujjivan.com" TargetMode="External"/><Relationship Id="rId6" Type="http://schemas.openxmlformats.org/officeDocument/2006/relationships/hyperlink" Target="mailto:anandkumar.kunar@ujjivan.com" TargetMode="External"/><Relationship Id="rId15" Type="http://schemas.openxmlformats.org/officeDocument/2006/relationships/hyperlink" Target="mailto:suman.chakraborty@ujjivan.com" TargetMode="External"/><Relationship Id="rId23" Type="http://schemas.openxmlformats.org/officeDocument/2006/relationships/hyperlink" Target="mailto:avilash.chakraborty@ujjivan.com" TargetMode="External"/><Relationship Id="rId28" Type="http://schemas.openxmlformats.org/officeDocument/2006/relationships/hyperlink" Target="mailto:tapas.paul750@ujjivan.com" TargetMode="External"/><Relationship Id="rId36" Type="http://schemas.openxmlformats.org/officeDocument/2006/relationships/hyperlink" Target="mailto:santanu.dey@ujjivan.com" TargetMode="External"/><Relationship Id="rId49" Type="http://schemas.openxmlformats.org/officeDocument/2006/relationships/hyperlink" Target="mailto:mithun.chakraborty@ujjivan.com" TargetMode="External"/><Relationship Id="rId57" Type="http://schemas.openxmlformats.org/officeDocument/2006/relationships/hyperlink" Target="mailto:ashish.das@ujjivan.com" TargetMode="External"/><Relationship Id="rId10" Type="http://schemas.openxmlformats.org/officeDocument/2006/relationships/hyperlink" Target="mailto:sethupandiaraj.m@ujjivan.com" TargetMode="External"/><Relationship Id="rId31" Type="http://schemas.openxmlformats.org/officeDocument/2006/relationships/hyperlink" Target="mailto:narayan.mishra@ujjivan.com" TargetMode="External"/><Relationship Id="rId44" Type="http://schemas.openxmlformats.org/officeDocument/2006/relationships/hyperlink" Target="mailto:rajdeep.bhaduri@ujjivan.com" TargetMode="External"/><Relationship Id="rId52" Type="http://schemas.openxmlformats.org/officeDocument/2006/relationships/hyperlink" Target="mailto:indrajit.baishya@ujjivan.com" TargetMode="External"/><Relationship Id="rId60" Type="http://schemas.openxmlformats.org/officeDocument/2006/relationships/hyperlink" Target="mailto:ashish.das@ujjivan.com" TargetMode="External"/><Relationship Id="rId65" Type="http://schemas.openxmlformats.org/officeDocument/2006/relationships/hyperlink" Target="mailto:ashish.das@ujjivan.com" TargetMode="External"/><Relationship Id="rId73" Type="http://schemas.openxmlformats.org/officeDocument/2006/relationships/hyperlink" Target="mailto:amit.kumar@ujjivan.com" TargetMode="External"/><Relationship Id="rId78" Type="http://schemas.openxmlformats.org/officeDocument/2006/relationships/hyperlink" Target="mailto:amit.kumar@ujjivan.com" TargetMode="External"/><Relationship Id="rId81" Type="http://schemas.openxmlformats.org/officeDocument/2006/relationships/hyperlink" Target="mailto:amit.kumar@ujjivan.com" TargetMode="External"/><Relationship Id="rId86" Type="http://schemas.openxmlformats.org/officeDocument/2006/relationships/hyperlink" Target="mailto:santanu.dey@ujjivan.com" TargetMode="External"/><Relationship Id="rId4" Type="http://schemas.openxmlformats.org/officeDocument/2006/relationships/hyperlink" Target="mailto:kalu.ram@ujjivan.com" TargetMode="External"/><Relationship Id="rId9" Type="http://schemas.openxmlformats.org/officeDocument/2006/relationships/hyperlink" Target="mailto:nagaraja.paneer@ujjivan.com" TargetMode="External"/><Relationship Id="rId13" Type="http://schemas.openxmlformats.org/officeDocument/2006/relationships/hyperlink" Target="mailto:suman.chakraborty@ujjivan.com" TargetMode="External"/><Relationship Id="rId18" Type="http://schemas.openxmlformats.org/officeDocument/2006/relationships/hyperlink" Target="mailto:deepak.prince@ujjivan.com" TargetMode="External"/><Relationship Id="rId39" Type="http://schemas.openxmlformats.org/officeDocument/2006/relationships/hyperlink" Target="mailto:santanu.dey@ujjivan.com" TargetMode="External"/><Relationship Id="rId34" Type="http://schemas.openxmlformats.org/officeDocument/2006/relationships/hyperlink" Target="mailto:santanu.dey@ujjivan.com" TargetMode="External"/><Relationship Id="rId50" Type="http://schemas.openxmlformats.org/officeDocument/2006/relationships/hyperlink" Target="mailto:mithun.chakraborty@ujjivan.com" TargetMode="External"/><Relationship Id="rId55" Type="http://schemas.openxmlformats.org/officeDocument/2006/relationships/hyperlink" Target="mailto:indrajit.baishya@ujjivan.com" TargetMode="External"/><Relationship Id="rId76" Type="http://schemas.openxmlformats.org/officeDocument/2006/relationships/hyperlink" Target="mailto:amit.kumar@ujjivan.com" TargetMode="External"/><Relationship Id="rId7" Type="http://schemas.openxmlformats.org/officeDocument/2006/relationships/hyperlink" Target="mailto:sandeep.jain@ujjivan.com" TargetMode="External"/><Relationship Id="rId71" Type="http://schemas.openxmlformats.org/officeDocument/2006/relationships/hyperlink" Target="mailto:amit.kumar@ujjivan.com" TargetMode="External"/><Relationship Id="rId92" Type="http://schemas.openxmlformats.org/officeDocument/2006/relationships/hyperlink" Target="mailto:santanu.dey@ujjivan.com" TargetMode="External"/><Relationship Id="rId2" Type="http://schemas.openxmlformats.org/officeDocument/2006/relationships/hyperlink" Target="mailto:rohitash.meena@ujjivan.com" TargetMode="External"/><Relationship Id="rId29" Type="http://schemas.openxmlformats.org/officeDocument/2006/relationships/hyperlink" Target="mailto:debashish.sarkar@ujjivan.com" TargetMode="External"/><Relationship Id="rId24" Type="http://schemas.openxmlformats.org/officeDocument/2006/relationships/hyperlink" Target="mailto:sumitro.nath@ujjivan.com" TargetMode="External"/><Relationship Id="rId40" Type="http://schemas.openxmlformats.org/officeDocument/2006/relationships/hyperlink" Target="mailto:santanu.dey@ujjivan.com" TargetMode="External"/><Relationship Id="rId45" Type="http://schemas.openxmlformats.org/officeDocument/2006/relationships/hyperlink" Target="mailto:rajdeep.bhaduri@ujjivan.com" TargetMode="External"/><Relationship Id="rId66" Type="http://schemas.openxmlformats.org/officeDocument/2006/relationships/hyperlink" Target="mailto:ashish.das@ujjivan.com" TargetMode="External"/><Relationship Id="rId87" Type="http://schemas.openxmlformats.org/officeDocument/2006/relationships/hyperlink" Target="mailto:rajdeep.bhaduri@ujjivan.com" TargetMode="External"/><Relationship Id="rId61" Type="http://schemas.openxmlformats.org/officeDocument/2006/relationships/hyperlink" Target="mailto:ashish.das@ujjivan.com" TargetMode="External"/><Relationship Id="rId82" Type="http://schemas.openxmlformats.org/officeDocument/2006/relationships/hyperlink" Target="mailto:santanu.dey@ujjivan.com" TargetMode="External"/><Relationship Id="rId19" Type="http://schemas.openxmlformats.org/officeDocument/2006/relationships/hyperlink" Target="mailto:sudhir.kumar266@ujjivan.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RDBOutlook1"/>
  <dimension ref="A1:N8"/>
  <sheetViews>
    <sheetView showGridLines="0" showZeros="0" showOutlineSymbols="0" zoomScaleNormal="100" workbookViewId="0">
      <pane ySplit="6" topLeftCell="A7" activePane="bottomLeft" state="frozen"/>
      <selection activeCell="F366" sqref="F366"/>
      <selection pane="bottomLeft" activeCell="F7" sqref="F7"/>
    </sheetView>
  </sheetViews>
  <sheetFormatPr defaultColWidth="20.7109375" defaultRowHeight="15" x14ac:dyDescent="0.25"/>
  <cols>
    <col min="1" max="5" width="6.7109375" style="28" customWidth="1"/>
    <col min="6" max="6" width="255.7109375" style="28" bestFit="1" customWidth="1"/>
    <col min="7" max="7" width="40.7109375" style="34" customWidth="1"/>
    <col min="8" max="8" width="26.28515625" style="28" customWidth="1"/>
    <col min="9" max="9" width="55.140625" style="34" customWidth="1"/>
    <col min="10" max="10" width="164.42578125" style="34" bestFit="1" customWidth="1"/>
    <col min="11" max="11" width="26.7109375" style="34" customWidth="1"/>
    <col min="12" max="12" width="20.7109375" style="34"/>
    <col min="13" max="13" width="93.5703125" style="28" bestFit="1" customWidth="1"/>
    <col min="14" max="16384" width="20.7109375" style="28"/>
  </cols>
  <sheetData>
    <row r="1" spans="1:14" ht="19.5" hidden="1" thickBot="1" x14ac:dyDescent="0.35">
      <c r="A1" s="26" t="s">
        <v>368</v>
      </c>
      <c r="B1" s="27"/>
      <c r="C1" s="27"/>
      <c r="D1" s="27"/>
      <c r="E1" s="27"/>
      <c r="F1" s="27"/>
      <c r="G1" s="27"/>
      <c r="H1" s="27"/>
      <c r="I1" s="27"/>
      <c r="J1" s="27"/>
      <c r="K1" s="28"/>
      <c r="L1" s="28"/>
    </row>
    <row r="2" spans="1:14" ht="15.75" hidden="1" thickBot="1" x14ac:dyDescent="0.3">
      <c r="A2" s="29" t="s">
        <v>369</v>
      </c>
      <c r="B2" s="27"/>
      <c r="C2" s="27"/>
      <c r="D2" s="27"/>
      <c r="E2" s="27"/>
      <c r="G2" s="30" t="s">
        <v>370</v>
      </c>
      <c r="H2" s="27"/>
      <c r="I2" s="27"/>
      <c r="J2" s="27"/>
      <c r="K2" s="28"/>
      <c r="L2" s="28"/>
    </row>
    <row r="3" spans="1:14" ht="15.75" hidden="1" thickBot="1" x14ac:dyDescent="0.3">
      <c r="A3" s="27" t="s">
        <v>371</v>
      </c>
      <c r="B3" s="27"/>
      <c r="C3" s="31" t="s">
        <v>385</v>
      </c>
      <c r="D3" s="27"/>
      <c r="E3" s="27"/>
      <c r="F3" s="32"/>
      <c r="G3" s="27" t="s">
        <v>372</v>
      </c>
      <c r="H3" s="27"/>
      <c r="I3" s="27"/>
      <c r="J3" s="27"/>
      <c r="K3" s="28"/>
      <c r="L3" s="28"/>
    </row>
    <row r="4" spans="1:14" ht="15.75" hidden="1" thickBot="1" x14ac:dyDescent="0.3">
      <c r="A4" s="27" t="s">
        <v>373</v>
      </c>
      <c r="B4" s="27"/>
      <c r="C4" s="33" t="s">
        <v>374</v>
      </c>
      <c r="D4" s="27"/>
      <c r="E4" s="27"/>
      <c r="F4" s="27"/>
      <c r="I4" s="27"/>
      <c r="J4" s="27"/>
      <c r="K4" s="27"/>
      <c r="L4" s="27"/>
    </row>
    <row r="5" spans="1:14" s="44" customFormat="1" ht="42.75" customHeight="1" thickBot="1" x14ac:dyDescent="0.3">
      <c r="A5" s="41"/>
      <c r="B5" s="42"/>
      <c r="C5" s="42"/>
      <c r="D5" s="42"/>
      <c r="E5" s="42"/>
      <c r="F5" s="42"/>
      <c r="G5" s="42"/>
      <c r="H5" s="42"/>
      <c r="I5" s="42" t="s">
        <v>387</v>
      </c>
      <c r="J5" s="42" t="s">
        <v>388</v>
      </c>
      <c r="K5" s="43"/>
      <c r="L5" s="43"/>
      <c r="M5" s="45" t="s">
        <v>390</v>
      </c>
    </row>
    <row r="6" spans="1:14" x14ac:dyDescent="0.25">
      <c r="A6" s="35" t="s">
        <v>375</v>
      </c>
      <c r="B6" s="35" t="s">
        <v>376</v>
      </c>
      <c r="C6" s="35" t="s">
        <v>12</v>
      </c>
      <c r="D6" s="35" t="s">
        <v>377</v>
      </c>
      <c r="E6" s="36" t="s">
        <v>378</v>
      </c>
      <c r="F6" s="127" t="s">
        <v>379</v>
      </c>
      <c r="G6" s="35" t="s">
        <v>380</v>
      </c>
      <c r="H6" s="35" t="s">
        <v>381</v>
      </c>
      <c r="I6" s="35" t="s">
        <v>382</v>
      </c>
      <c r="J6" s="35" t="s">
        <v>386</v>
      </c>
      <c r="K6" s="35" t="s">
        <v>383</v>
      </c>
      <c r="L6" s="37" t="s">
        <v>384</v>
      </c>
      <c r="M6" s="37" t="s">
        <v>389</v>
      </c>
      <c r="N6" s="152" t="s">
        <v>4559</v>
      </c>
    </row>
    <row r="7" spans="1:14" x14ac:dyDescent="0.25">
      <c r="A7" s="38" t="s">
        <v>4925</v>
      </c>
      <c r="B7" s="69"/>
      <c r="C7" s="69"/>
      <c r="D7" s="69"/>
      <c r="E7" s="69"/>
      <c r="F7" s="39" t="s">
        <v>4926</v>
      </c>
      <c r="G7" s="39"/>
      <c r="H7" s="69"/>
      <c r="I7" s="70" t="s">
        <v>2657</v>
      </c>
      <c r="J7" s="190"/>
      <c r="K7" s="39" t="str">
        <f>VLOOKUP(LEFT(I7,4),Sheet3!$B$3:$O$503,13,FALSE)</f>
        <v xml:space="preserve">Dear Team, Please find attached list of prospect clients for REPEAT GL-LOANS (clients who have taken earlier an GL Loan) for you branch.
Thanks &amp; Regards,
MIS Team
</v>
      </c>
      <c r="L7" s="69"/>
      <c r="M7" s="40" t="s">
        <v>4923</v>
      </c>
      <c r="N7" s="151"/>
    </row>
    <row r="8" spans="1:14" ht="13.5" customHeight="1" x14ac:dyDescent="0.25"/>
  </sheetData>
  <dataValidations xWindow="47" yWindow="381" count="12">
    <dataValidation allowBlank="1" showInputMessage="1" showErrorMessage="1" promptTitle="Sheet passwords" prompt="If you want to protect your worksheets, then please use the same password for all worksheets. If you use different passwords then the &quot;Values&quot; option and delete objects option will not work._x000a__x000a_" sqref="C4" xr:uid="{00000000-0002-0000-0000-000000000000}"/>
    <dataValidation type="list" allowBlank="1" showInputMessage="1" promptTitle="Send Directly or Preview" prompt="If you want to send the mails directly, then change this value to No.To preview the mails so you can check/edit them before you send them manually, then use Yes." sqref="C3" xr:uid="{00000000-0002-0000-0000-000001000000}">
      <formula1>"Yes,No"</formula1>
    </dataValidation>
    <dataValidation allowBlank="1" showDropDown="1" showInputMessage="1" promptTitle="Attach other files" prompt="When you click on the button above, you can select the files you want to attach to the mail.  Each path/file name will be separated by a Alt-Enter in the cell.  If the files are in separate folders, use the button again to select the other file(s)." sqref="J7" xr:uid="{00000000-0002-0000-0000-000002000000}"/>
    <dataValidation type="list" allowBlank="1" showInputMessage="1" showErrorMessage="1" errorTitle="RDBMailOutlook" error="Your only option is &quot;yes&quot;, &quot;no&quot; or empty(same as &quot;yes&quot;)." promptTitle="Send mail, yes or no" prompt="If you do not want to send the mail, enter &quot;no&quot; here. To send, either enter &quot;yes&quot; or leave the cell empty." sqref="A7" xr:uid="{00000000-0002-0000-0000-000003000000}">
      <formula1>"yes,no"</formula1>
    </dataValidation>
    <dataValidation allowBlank="1" showInputMessage="1" showErrorMessage="1" promptTitle="Sheet names or Workbook" prompt="Enter every sheet name you want to mail.  Use Alt-Enter to start a new line in the cell between every sheet name.  Use &quot;workbook&quot; if you want to send the whole workbook._x000a_" sqref="B7" xr:uid="{00000000-0002-0000-0000-000004000000}"/>
    <dataValidation allowBlank="1" showInputMessage="1" showErrorMessage="1" promptTitle="BCC mail addresses" prompt="Enter every mail address you want for the BCC line.  Use Alt Enter to start on a new line in the cell between every mail address." sqref="H7" xr:uid="{00000000-0002-0000-0000-000005000000}"/>
    <dataValidation allowBlank="1" showInputMessage="1" showErrorMessage="1" promptTitle="Small body text of the mail" prompt="Enter every line that you want in the body of the mail.  Use Alt-Enter to start on a new line in the cell." sqref="K7 F7:G7" xr:uid="{00000000-0002-0000-0000-000006000000}"/>
    <dataValidation type="list" allowBlank="1" showInputMessage="1" showErrorMessage="1" errorTitle="RDBMailOutlook" error="Your only option is &quot;yes&quot; or empty" promptTitle="Change to values" prompt="Enter &quot;yes&quot; in this cell if you want to convert all formulas to values in the workbook you send.  Read the input message for cell C4 if you have password protected the worksheets." sqref="D7" xr:uid="{00000000-0002-0000-0000-000007000000}">
      <formula1>"yes"</formula1>
    </dataValidation>
    <dataValidation type="list" allowBlank="1" showInputMessage="1" showErrorMessage="1" errorTitle="RDBMailOutlook" error="Your only option is &quot;yes&quot; or empty" promptTitle="Delete objects" prompt="Enter &quot;yes&quot; in this cell if you want to delete all objects in the workbook you send.  Read the input message for cell C4 if you have password protected the worksheets." sqref="E7" xr:uid="{00000000-0002-0000-0000-000008000000}">
      <formula1>"yes"</formula1>
    </dataValidation>
    <dataValidation allowBlank="1" showInputMessage="1" showErrorMessage="1" promptTitle="File name" prompt="Enter the prefix for the name of the file that will be used for the workbook that is created for the sheets that are attached to the email.  The Date and time and extension will be added for you.  Do not enter them yourself._x000a_" sqref="C7" xr:uid="{00000000-0002-0000-0000-000009000000}"/>
    <dataValidation type="list" allowBlank="1" showInputMessage="1" showErrorMessage="1" errorTitle="RDBOutlook" error="Your only option is &quot;yes&quot; or empty" promptTitle="Set Importance to high" prompt="Enter yes in this cell if you want to set Importance to high for this mail." sqref="L7" xr:uid="{00000000-0002-0000-0000-00000A000000}">
      <formula1>"yes"</formula1>
    </dataValidation>
    <dataValidation allowBlank="1" showInputMessage="1" showErrorMessage="1" errorTitle="RDBOutlook" error="Your only option is &quot;yes&quot; or empty" promptTitle="Set Importance to high" prompt="Enter yes in this cell if you want to set Importance to high for this mail." sqref="M7" xr:uid="{00000000-0002-0000-0000-00000B000000}"/>
  </dataValidations>
  <hyperlinks>
    <hyperlink ref="A2" display="http://www.rondebruin.nl/sendmail.htm" xr:uid="{00000000-0004-0000-0000-000000000000}"/>
  </hyperlinks>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6146" r:id="rId4" name="BrowseAddFiles">
          <controlPr defaultSize="0" autoLine="0" r:id="rId5">
            <anchor moveWithCells="1">
              <from>
                <xdr:col>9</xdr:col>
                <xdr:colOff>47625</xdr:colOff>
                <xdr:row>4</xdr:row>
                <xdr:rowOff>0</xdr:rowOff>
              </from>
              <to>
                <xdr:col>9</xdr:col>
                <xdr:colOff>1285875</xdr:colOff>
                <xdr:row>4</xdr:row>
                <xdr:rowOff>342900</xdr:rowOff>
              </to>
            </anchor>
          </controlPr>
        </control>
      </mc:Choice>
      <mc:Fallback>
        <control shapeId="6146" r:id="rId4" name="BrowseAddFiles"/>
      </mc:Fallback>
    </mc:AlternateContent>
    <mc:AlternateContent xmlns:mc="http://schemas.openxmlformats.org/markup-compatibility/2006">
      <mc:Choice Requires="x14">
        <control shapeId="6145" r:id="rId6" name="RDB_Outlook">
          <controlPr defaultSize="0" autoLine="0" r:id="rId7">
            <anchor moveWithCells="1">
              <from>
                <xdr:col>5</xdr:col>
                <xdr:colOff>19050</xdr:colOff>
                <xdr:row>4</xdr:row>
                <xdr:rowOff>9525</xdr:rowOff>
              </from>
              <to>
                <xdr:col>5</xdr:col>
                <xdr:colOff>1304925</xdr:colOff>
                <xdr:row>4</xdr:row>
                <xdr:rowOff>342900</xdr:rowOff>
              </to>
            </anchor>
          </controlPr>
        </control>
      </mc:Choice>
      <mc:Fallback>
        <control shapeId="6145" r:id="rId6" name="RDB_Outlook"/>
      </mc:Fallback>
    </mc:AlternateContent>
  </controls>
  <tableParts count="1">
    <tablePart r:id="rId8"/>
  </tableParts>
  <extLst>
    <ext xmlns:x14="http://schemas.microsoft.com/office/spreadsheetml/2009/9/main" uri="{CCE6A557-97BC-4b89-ADB6-D9C93CAAB3DF}">
      <x14:dataValidations xmlns:xm="http://schemas.microsoft.com/office/excel/2006/main" xWindow="47" yWindow="381" count="1">
        <x14:dataValidation type="list" allowBlank="1" showInputMessage="1" showErrorMessage="1" xr:uid="{00000000-0002-0000-0000-00000C000000}">
          <x14:formula1>
            <xm:f>'Program Data'!G1048223:G1048256</xm:f>
          </x14:formula1>
          <xm:sqref>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Z487"/>
  <sheetViews>
    <sheetView topLeftCell="O1" zoomScaleNormal="100" workbookViewId="0">
      <pane ySplit="4" topLeftCell="A447" activePane="bottomLeft" state="frozen"/>
      <selection activeCell="F366" sqref="F366"/>
      <selection pane="bottomLeft" activeCell="K454" sqref="K454"/>
    </sheetView>
  </sheetViews>
  <sheetFormatPr defaultColWidth="10.7109375" defaultRowHeight="15" x14ac:dyDescent="0.25"/>
  <cols>
    <col min="2" max="2" width="14.140625" customWidth="1"/>
    <col min="3" max="3" width="45" bestFit="1" customWidth="1"/>
    <col min="4" max="4" width="65" customWidth="1"/>
    <col min="5" max="5" width="38.42578125" bestFit="1" customWidth="1"/>
    <col min="6" max="6" width="40" bestFit="1" customWidth="1"/>
    <col min="7" max="7" width="51.5703125" bestFit="1" customWidth="1"/>
    <col min="8" max="8" width="29.85546875" bestFit="1" customWidth="1"/>
    <col min="9" max="9" width="30.5703125" bestFit="1" customWidth="1"/>
    <col min="10" max="10" width="23.85546875" bestFit="1" customWidth="1"/>
    <col min="11" max="11" width="29.85546875" style="68" customWidth="1"/>
    <col min="12" max="12" width="49.85546875" customWidth="1"/>
    <col min="13" max="13" width="24.85546875" customWidth="1"/>
    <col min="14" max="14" width="50.42578125" customWidth="1"/>
    <col min="25" max="25" width="42.7109375" bestFit="1" customWidth="1"/>
  </cols>
  <sheetData>
    <row r="2" spans="1:26" x14ac:dyDescent="0.25">
      <c r="A2" t="b">
        <f>A3=A4</f>
        <v>1</v>
      </c>
      <c r="B2" t="b">
        <f t="shared" ref="B2:O2" si="0">B3=B4</f>
        <v>0</v>
      </c>
      <c r="C2" t="b">
        <f t="shared" si="0"/>
        <v>1</v>
      </c>
      <c r="D2" t="b">
        <f t="shared" si="0"/>
        <v>1</v>
      </c>
      <c r="E2" t="b">
        <f t="shared" si="0"/>
        <v>1</v>
      </c>
      <c r="F2" t="b">
        <f t="shared" si="0"/>
        <v>1</v>
      </c>
      <c r="G2" t="b">
        <f t="shared" si="0"/>
        <v>1</v>
      </c>
      <c r="H2" t="b">
        <f t="shared" si="0"/>
        <v>1</v>
      </c>
      <c r="I2" t="b">
        <f t="shared" si="0"/>
        <v>1</v>
      </c>
      <c r="J2" t="b">
        <f t="shared" si="0"/>
        <v>1</v>
      </c>
      <c r="L2" t="b">
        <f t="shared" si="0"/>
        <v>1</v>
      </c>
      <c r="M2" t="b">
        <f t="shared" si="0"/>
        <v>1</v>
      </c>
      <c r="N2" t="b">
        <f t="shared" si="0"/>
        <v>1</v>
      </c>
      <c r="O2" t="b">
        <f t="shared" si="0"/>
        <v>0</v>
      </c>
    </row>
    <row r="3" spans="1:26" x14ac:dyDescent="0.25">
      <c r="A3" t="s">
        <v>391</v>
      </c>
      <c r="B3" t="s">
        <v>392</v>
      </c>
      <c r="C3" t="s">
        <v>393</v>
      </c>
      <c r="D3" t="s">
        <v>394</v>
      </c>
      <c r="E3" t="s">
        <v>395</v>
      </c>
      <c r="F3" t="s">
        <v>3577</v>
      </c>
      <c r="G3" t="s">
        <v>396</v>
      </c>
      <c r="H3" t="s">
        <v>397</v>
      </c>
      <c r="I3" t="s">
        <v>398</v>
      </c>
      <c r="J3" t="s">
        <v>399</v>
      </c>
      <c r="L3" t="s">
        <v>400</v>
      </c>
      <c r="M3" t="s">
        <v>382</v>
      </c>
      <c r="N3" t="s">
        <v>401</v>
      </c>
      <c r="O3" t="s">
        <v>402</v>
      </c>
    </row>
    <row r="4" spans="1:26" x14ac:dyDescent="0.25">
      <c r="A4" s="68" t="s">
        <v>391</v>
      </c>
      <c r="B4" s="59" t="s">
        <v>1025</v>
      </c>
      <c r="C4" s="126" t="s">
        <v>393</v>
      </c>
      <c r="D4" s="126" t="s">
        <v>394</v>
      </c>
      <c r="E4" s="126" t="s">
        <v>395</v>
      </c>
      <c r="F4" s="126" t="s">
        <v>3577</v>
      </c>
      <c r="G4" s="59" t="s">
        <v>396</v>
      </c>
      <c r="H4" s="59" t="s">
        <v>397</v>
      </c>
      <c r="I4" s="59" t="s">
        <v>398</v>
      </c>
      <c r="J4" s="126" t="s">
        <v>399</v>
      </c>
      <c r="K4" s="59" t="s">
        <v>2711</v>
      </c>
      <c r="L4" s="59" t="s">
        <v>400</v>
      </c>
      <c r="M4" s="59" t="s">
        <v>382</v>
      </c>
      <c r="N4" s="59" t="s">
        <v>401</v>
      </c>
      <c r="O4" s="60" t="s">
        <v>1026</v>
      </c>
      <c r="X4" s="121" t="s">
        <v>3574</v>
      </c>
      <c r="Y4" s="121" t="s">
        <v>3575</v>
      </c>
      <c r="Z4" s="121" t="s">
        <v>3576</v>
      </c>
    </row>
    <row r="5" spans="1:26" ht="15.75" x14ac:dyDescent="0.25">
      <c r="A5" s="61" t="s">
        <v>403</v>
      </c>
      <c r="B5" s="147" t="s">
        <v>404</v>
      </c>
      <c r="C5" s="62" t="s">
        <v>3208</v>
      </c>
      <c r="D5" s="62" t="str">
        <f>CONCATENATE(E5,";",F5,";",G5,";")</f>
        <v>v.mohan@ujjivan.com;thilakavathi.d@ujjivan.com;sachinkumar.kb@ujjivan.com;</v>
      </c>
      <c r="E5" s="62" t="s">
        <v>3578</v>
      </c>
      <c r="F5" s="62" t="s">
        <v>4285</v>
      </c>
      <c r="G5" s="62" t="s">
        <v>405</v>
      </c>
      <c r="H5" s="62" t="s">
        <v>406</v>
      </c>
      <c r="I5" s="62" t="s">
        <v>407</v>
      </c>
      <c r="J5" s="67" t="s">
        <v>4401</v>
      </c>
      <c r="K5" s="62" t="str">
        <f>VLOOKUP(B5,Sheet5!$A$1:$H$471,8,0)</f>
        <v>v.mohan@ujjivan.com;thilakavathi.d@ujjivan.com;vijaykumar.g@ujjivan.com;sachinkumar.kb@ujjivan.com;shekhar.poojary@ujjivan.com;kirankumar.ks@ujjivan.com;</v>
      </c>
      <c r="L5" s="62" t="str">
        <f>VLOOKUP($B5,Sheet4!$B:$E,4,0)</f>
        <v xml:space="preserve">blr-koramangala-branch@ujjivan.com;helpdesk@ujjivan.com; </v>
      </c>
      <c r="M5" s="62" t="s">
        <v>1027</v>
      </c>
      <c r="N5" s="68" t="str">
        <f t="shared" ref="N5:N68" si="1">X5&amp;" "&amp; Y5&amp;", "&amp;Z5</f>
        <v xml:space="preserve">Dear Team, Please find attached list of prospect clients for REPEAT GL-LOANS (clients who have taken earlier an GL Loan) for you branch.
Thanks &amp; Regards,
MIS Team
</v>
      </c>
      <c r="O5" s="63" t="s">
        <v>1028</v>
      </c>
      <c r="X5" t="s">
        <v>3573</v>
      </c>
      <c r="Y5" s="120" t="s">
        <v>4924</v>
      </c>
      <c r="Z5" s="119" t="s">
        <v>3572</v>
      </c>
    </row>
    <row r="6" spans="1:26" ht="15.75" x14ac:dyDescent="0.25">
      <c r="A6" s="64" t="s">
        <v>403</v>
      </c>
      <c r="B6" s="148" t="s">
        <v>408</v>
      </c>
      <c r="C6" s="62" t="s">
        <v>3209</v>
      </c>
      <c r="D6" s="62" t="str">
        <f t="shared" ref="D6:D69" si="2">CONCATENATE(E6,";",F6,";",G6,";")</f>
        <v>raghavendra.puttaswamy@ujjivan.com;bhanupriya.am@ujjivan.com;sachinkumar.kb@ujjivan.com;</v>
      </c>
      <c r="E6" s="62" t="s">
        <v>3579</v>
      </c>
      <c r="F6" s="62" t="s">
        <v>4286</v>
      </c>
      <c r="G6" s="62" t="s">
        <v>405</v>
      </c>
      <c r="H6" s="65" t="s">
        <v>409</v>
      </c>
      <c r="I6" s="65" t="s">
        <v>407</v>
      </c>
      <c r="J6" s="67" t="s">
        <v>4401</v>
      </c>
      <c r="K6" s="62" t="str">
        <f>VLOOKUP(B6,Sheet5!$A$1:$H$471,8,0)</f>
        <v>venkatesh.dm@ujjivan.com;devaraj.m@ujjivan.com;pratap.reddy@ujjivan.com;sachinkumar.kb@ujjivan.com;shekhar.poojary@ujjivan.com;vineethkumar.v@ujjivan.com;</v>
      </c>
      <c r="L6" s="62" t="str">
        <f>VLOOKUP($B6,Sheet4!$B:$E,4,0)</f>
        <v xml:space="preserve">blr-yeshwanthpur-branch@ujjivan.com;helpdesk@ujjivan.com; </v>
      </c>
      <c r="M6" s="65" t="s">
        <v>1029</v>
      </c>
      <c r="N6" s="68" t="str">
        <f t="shared" si="1"/>
        <v xml:space="preserve">Dear Team, Please find attached list of prospect clients for REPEAT GL-LOANS (clients who have taken earlier an GL Loan) for you branch.
Thanks &amp; Regards,
MIS Team
</v>
      </c>
      <c r="O6" s="66" t="s">
        <v>1028</v>
      </c>
      <c r="X6" s="68" t="s">
        <v>3573</v>
      </c>
      <c r="Y6" s="120" t="s">
        <v>4924</v>
      </c>
      <c r="Z6" s="119" t="s">
        <v>3572</v>
      </c>
    </row>
    <row r="7" spans="1:26" ht="15.75" x14ac:dyDescent="0.25">
      <c r="A7" s="61" t="s">
        <v>403</v>
      </c>
      <c r="B7" s="147" t="s">
        <v>410</v>
      </c>
      <c r="C7" s="62" t="s">
        <v>3210</v>
      </c>
      <c r="D7" s="62" t="str">
        <f t="shared" si="2"/>
        <v>vijayakumar.ap@ujjivan.com;ramakrishna.k@ujjivan.com;sachinkumar.kb@ujjivan.com;</v>
      </c>
      <c r="E7" s="62" t="s">
        <v>3580</v>
      </c>
      <c r="F7" s="62" t="s">
        <v>4287</v>
      </c>
      <c r="G7" s="62" t="s">
        <v>405</v>
      </c>
      <c r="H7" s="62" t="s">
        <v>409</v>
      </c>
      <c r="I7" s="62" t="s">
        <v>407</v>
      </c>
      <c r="J7" s="67" t="s">
        <v>4401</v>
      </c>
      <c r="K7" s="62" t="str">
        <f>VLOOKUP(B7,Sheet5!$A$1:$H$471,8,0)</f>
        <v>kiran.kumar@ujjivan.com;ramakrishna.k@ujjivan.com;sandeep.jain@ujjivan.com;sachinkumar.kb@ujjivan.com;umamaheswari.s@ujjivan.com;anand.rajkumar@ujjivan.com;</v>
      </c>
      <c r="L7" s="62" t="str">
        <f>VLOOKUP($B7,Sheet4!$B:$E,4,0)</f>
        <v xml:space="preserve">blr-magadird-branch@ujjivan.com;helpdesk@ujjivan.com; </v>
      </c>
      <c r="M7" s="62" t="s">
        <v>1030</v>
      </c>
      <c r="N7" s="68" t="str">
        <f t="shared" si="1"/>
        <v xml:space="preserve">Dear Team, Please find attached list of prospect clients for REPEAT GL-LOANS (clients who have taken earlier an GL Loan) for you branch.
Thanks &amp; Regards,
MIS Team
</v>
      </c>
      <c r="O7" s="63" t="s">
        <v>1028</v>
      </c>
      <c r="X7" s="68" t="s">
        <v>3573</v>
      </c>
      <c r="Y7" s="120" t="s">
        <v>4924</v>
      </c>
      <c r="Z7" s="119" t="s">
        <v>3572</v>
      </c>
    </row>
    <row r="8" spans="1:26" ht="15.75" x14ac:dyDescent="0.25">
      <c r="A8" s="64" t="s">
        <v>403</v>
      </c>
      <c r="B8" s="148" t="s">
        <v>412</v>
      </c>
      <c r="C8" s="62" t="s">
        <v>3211</v>
      </c>
      <c r="D8" s="62" t="str">
        <f t="shared" si="2"/>
        <v>shymala.ramesh@ujjivan.com;-;sachinkumar.kb@ujjivan.com;</v>
      </c>
      <c r="E8" s="62" t="s">
        <v>413</v>
      </c>
      <c r="F8" s="62" t="s">
        <v>3608</v>
      </c>
      <c r="G8" s="62" t="s">
        <v>405</v>
      </c>
      <c r="H8" s="65" t="s">
        <v>406</v>
      </c>
      <c r="I8" s="65" t="s">
        <v>407</v>
      </c>
      <c r="J8" s="67" t="s">
        <v>4401</v>
      </c>
      <c r="K8" s="62" t="str">
        <f>VLOOKUP(B8,Sheet5!$A$1:$H$471,8,0)</f>
        <v>shymala.ramesh@ujjivan.com;mahesh.m@ujjivan.com;pratap.reddy@ujjivan.com;sachinkumar.kb@ujjivan.com;umamaheswari.s@ujjivan.com;anand.rajkumar@ujjivan.com;</v>
      </c>
      <c r="L8" s="62" t="str">
        <f>VLOOKUP($B8,Sheet4!$B:$E,4,0)</f>
        <v xml:space="preserve">blr-kavalbyrasandra-branch@ujjivan.com;helpdesk@ujjivan.com; </v>
      </c>
      <c r="M8" s="65" t="s">
        <v>1031</v>
      </c>
      <c r="N8" s="68" t="str">
        <f t="shared" si="1"/>
        <v xml:space="preserve">Dear Team, Please find attached list of prospect clients for REPEAT GL-LOANS (clients who have taken earlier an GL Loan) for you branch.
Thanks &amp; Regards,
MIS Team
</v>
      </c>
      <c r="O8" s="66" t="s">
        <v>1028</v>
      </c>
      <c r="X8" s="68" t="s">
        <v>3573</v>
      </c>
      <c r="Y8" s="120" t="s">
        <v>4924</v>
      </c>
      <c r="Z8" s="119" t="s">
        <v>3572</v>
      </c>
    </row>
    <row r="9" spans="1:26" ht="15.75" x14ac:dyDescent="0.25">
      <c r="A9" s="61" t="s">
        <v>403</v>
      </c>
      <c r="B9" s="147" t="s">
        <v>415</v>
      </c>
      <c r="C9" s="62" t="s">
        <v>3212</v>
      </c>
      <c r="D9" s="62" t="str">
        <f t="shared" si="2"/>
        <v>sathish.m@ujjivan.com;nandeesh.o@ujjivan.com;sachinkumar.kb@ujjivan.com;</v>
      </c>
      <c r="E9" s="62" t="s">
        <v>416</v>
      </c>
      <c r="F9" s="62" t="s">
        <v>4427</v>
      </c>
      <c r="G9" s="62" t="s">
        <v>405</v>
      </c>
      <c r="H9" s="62" t="s">
        <v>406</v>
      </c>
      <c r="I9" s="62" t="s">
        <v>407</v>
      </c>
      <c r="J9" s="67" t="s">
        <v>4401</v>
      </c>
      <c r="K9" s="62" t="str">
        <f>VLOOKUP(B9,Sheet5!$A$1:$H$471,8,0)</f>
        <v>bhmshashidhar.sharma@ujjivan.com;nandeesh.o@ujjivan.com;vijaykumar.g@ujjivan.com;sachinkumar.kb@ujjivan.com;shekhar.poojary@ujjivan.com;kirankumar.ks@ujjivan.com;</v>
      </c>
      <c r="L9" s="62" t="str">
        <f>VLOOKUP($B9,Sheet4!$B:$E,4,0)</f>
        <v xml:space="preserve">blr-hal-branch@ujjivan.com;helpdesk@ujjivan.com; </v>
      </c>
      <c r="M9" s="62" t="s">
        <v>1032</v>
      </c>
      <c r="N9" s="68" t="str">
        <f t="shared" si="1"/>
        <v xml:space="preserve">Dear Team, Please find attached list of prospect clients for REPEAT GL-LOANS (clients who have taken earlier an GL Loan) for you branch.
Thanks &amp; Regards,
MIS Team
</v>
      </c>
      <c r="O9" s="63" t="s">
        <v>1028</v>
      </c>
      <c r="X9" s="68" t="s">
        <v>3573</v>
      </c>
      <c r="Y9" s="120" t="s">
        <v>4924</v>
      </c>
      <c r="Z9" s="119" t="s">
        <v>3572</v>
      </c>
    </row>
    <row r="10" spans="1:26" ht="15.75" x14ac:dyDescent="0.25">
      <c r="A10" s="64" t="s">
        <v>403</v>
      </c>
      <c r="B10" s="148" t="s">
        <v>417</v>
      </c>
      <c r="C10" s="62" t="s">
        <v>3213</v>
      </c>
      <c r="D10" s="62" t="str">
        <f t="shared" si="2"/>
        <v>siddappa.s@ujjivan.com;hemavathi.narayanappa@ujjivan.com;sachinkumar.kb@ujjivan.com;</v>
      </c>
      <c r="E10" s="62" t="s">
        <v>411</v>
      </c>
      <c r="F10" s="62" t="s">
        <v>4288</v>
      </c>
      <c r="G10" s="62" t="s">
        <v>405</v>
      </c>
      <c r="H10" s="65" t="s">
        <v>409</v>
      </c>
      <c r="I10" s="65" t="s">
        <v>407</v>
      </c>
      <c r="J10" s="67" t="s">
        <v>4401</v>
      </c>
      <c r="K10" s="62" t="str">
        <f>VLOOKUP(B10,Sheet5!$A$1:$H$471,8,0)</f>
        <v>siddappa.s@ujjivan.com;hemavathi.narayanappa@ujjivan.com;sandeep.jain@ujjivan.com;sachinkumar.kb@ujjivan.com;umamaheswari.s@ujjivan.com;ashwin.prakash@ujjivan.com;</v>
      </c>
      <c r="L10" s="62" t="str">
        <f>VLOOKUP($B10,Sheet4!$B:$E,4,0)</f>
        <v xml:space="preserve">blr-chamarajpet-branch@ujjivan.com;helpdesk@ujjivan.com; </v>
      </c>
      <c r="M10" s="65" t="s">
        <v>1033</v>
      </c>
      <c r="N10" s="68" t="str">
        <f t="shared" si="1"/>
        <v xml:space="preserve">Dear Team, Please find attached list of prospect clients for REPEAT GL-LOANS (clients who have taken earlier an GL Loan) for you branch.
Thanks &amp; Regards,
MIS Team
</v>
      </c>
      <c r="O10" s="66" t="s">
        <v>1028</v>
      </c>
      <c r="X10" s="68" t="s">
        <v>3573</v>
      </c>
      <c r="Y10" s="120" t="s">
        <v>4924</v>
      </c>
      <c r="Z10" s="119" t="s">
        <v>3572</v>
      </c>
    </row>
    <row r="11" spans="1:26" ht="15.75" x14ac:dyDescent="0.25">
      <c r="A11" s="61" t="s">
        <v>403</v>
      </c>
      <c r="B11" s="147" t="s">
        <v>419</v>
      </c>
      <c r="C11" s="62" t="s">
        <v>3214</v>
      </c>
      <c r="D11" s="62" t="str">
        <f t="shared" si="2"/>
        <v>shivaprasad.br@ujjivan.com;manjunath.bhat@ujjivan.com;sachinkumar.kb@ujjivan.com;</v>
      </c>
      <c r="E11" s="62" t="s">
        <v>3581</v>
      </c>
      <c r="F11" s="62" t="s">
        <v>4289</v>
      </c>
      <c r="G11" s="62" t="s">
        <v>405</v>
      </c>
      <c r="H11" s="62" t="s">
        <v>406</v>
      </c>
      <c r="I11" s="62" t="s">
        <v>407</v>
      </c>
      <c r="J11" s="67" t="s">
        <v>4401</v>
      </c>
      <c r="K11" s="62" t="str">
        <f>VLOOKUP(B11,Sheet5!$A$1:$H$471,8,0)</f>
        <v>shivaprasad.br@ujjivan.com;deeksha.s@ujjivan.com;pratap.reddy@ujjivan.com;sachinkumar.kb@ujjivan.com;umamaheswari.s@ujjivan.com;anand.rajkumar@ujjivan.com;</v>
      </c>
      <c r="L11" s="62" t="str">
        <f>VLOOKUP($B11,Sheet4!$B:$E,4,0)</f>
        <v xml:space="preserve">blr-lingarajpuram-branch@ujjivan.com;helpdesk@ujjivan.com; </v>
      </c>
      <c r="M11" s="62" t="s">
        <v>1034</v>
      </c>
      <c r="N11" s="68" t="str">
        <f t="shared" si="1"/>
        <v xml:space="preserve">Dear Team, Please find attached list of prospect clients for REPEAT GL-LOANS (clients who have taken earlier an GL Loan) for you branch.
Thanks &amp; Regards,
MIS Team
</v>
      </c>
      <c r="O11" s="63" t="s">
        <v>1028</v>
      </c>
      <c r="X11" s="68" t="s">
        <v>3573</v>
      </c>
      <c r="Y11" s="120" t="s">
        <v>4924</v>
      </c>
      <c r="Z11" s="119" t="s">
        <v>3572</v>
      </c>
    </row>
    <row r="12" spans="1:26" ht="15.75" x14ac:dyDescent="0.25">
      <c r="A12" s="64" t="s">
        <v>403</v>
      </c>
      <c r="B12" s="148" t="s">
        <v>421</v>
      </c>
      <c r="C12" s="62" t="s">
        <v>431</v>
      </c>
      <c r="D12" s="62" t="str">
        <f t="shared" si="2"/>
        <v>mohan.kumar@ujjivan.com;mahesh.puttaraju@ujjivan.com;sachinkumar.kb@ujjivan.com;</v>
      </c>
      <c r="E12" s="62" t="s">
        <v>432</v>
      </c>
      <c r="F12" s="62" t="s">
        <v>4290</v>
      </c>
      <c r="G12" s="62" t="s">
        <v>405</v>
      </c>
      <c r="H12" s="65" t="s">
        <v>406</v>
      </c>
      <c r="I12" s="65" t="s">
        <v>407</v>
      </c>
      <c r="J12" s="67" t="s">
        <v>4401</v>
      </c>
      <c r="K12" s="62" t="str">
        <f>VLOOKUP(B12,Sheet5!$A$1:$H$471,8,0)</f>
        <v>sasitha.rajendran@ujjivan.com;mahesh.puttaraju@ujjivan.com;vijaykumar.g@ujjivan.com;sachinkumar.kb@ujjivan.com;shekhar.poojary@ujjivan.com;kirankumar.ks@ujjivan.com;</v>
      </c>
      <c r="L12" s="62" t="str">
        <f>VLOOKUP($B12,Sheet4!$B:$E,4,0)</f>
        <v xml:space="preserve">blr-whitefield-branch@ujjivan.com;helpdesk@ujjivan.com; </v>
      </c>
      <c r="M12" s="65" t="s">
        <v>1035</v>
      </c>
      <c r="N12" s="68" t="str">
        <f t="shared" si="1"/>
        <v xml:space="preserve">Dear Team, Please find attached list of prospect clients for REPEAT GL-LOANS (clients who have taken earlier an GL Loan) for you branch.
Thanks &amp; Regards,
MIS Team
</v>
      </c>
      <c r="O12" s="66" t="s">
        <v>1028</v>
      </c>
      <c r="X12" s="68" t="s">
        <v>3573</v>
      </c>
      <c r="Y12" s="120" t="s">
        <v>4924</v>
      </c>
      <c r="Z12" s="119" t="s">
        <v>3572</v>
      </c>
    </row>
    <row r="13" spans="1:26" ht="15.75" x14ac:dyDescent="0.25">
      <c r="A13" s="61" t="s">
        <v>403</v>
      </c>
      <c r="B13" s="147" t="s">
        <v>422</v>
      </c>
      <c r="C13" s="62" t="s">
        <v>3215</v>
      </c>
      <c r="D13" s="62" t="str">
        <f t="shared" si="2"/>
        <v>abdul.azeez@ujjivan.com;manjula@ujjivan.com;sachinkumar.kb@ujjivan.com;</v>
      </c>
      <c r="E13" s="62" t="s">
        <v>3582</v>
      </c>
      <c r="F13" s="62" t="s">
        <v>4291</v>
      </c>
      <c r="G13" s="62" t="s">
        <v>405</v>
      </c>
      <c r="H13" s="62" t="s">
        <v>406</v>
      </c>
      <c r="I13" s="62" t="s">
        <v>407</v>
      </c>
      <c r="J13" s="67" t="s">
        <v>4401</v>
      </c>
      <c r="K13" s="62" t="str">
        <f>VLOOKUP(B13,Sheet5!$A$1:$H$471,8,0)</f>
        <v>bharath.p@ujjivan.com;manjula@ujjivan.com;vijaykumar.g@ujjivan.com;sachinkumar.kb@ujjivan.com;shekhar.poojary@ujjivan.com;kirankumar.ks@ujjivan.com;</v>
      </c>
      <c r="L13" s="62" t="str">
        <f>VLOOKUP($B13,Sheet4!$B:$E,4,0)</f>
        <v xml:space="preserve">blr-jakkasandra-branch@ujjivan.com;helpdesk@ujjivan.com; </v>
      </c>
      <c r="M13" s="62" t="s">
        <v>1036</v>
      </c>
      <c r="N13" s="68" t="str">
        <f t="shared" si="1"/>
        <v xml:space="preserve">Dear Team, Please find attached list of prospect clients for REPEAT GL-LOANS (clients who have taken earlier an GL Loan) for you branch.
Thanks &amp; Regards,
MIS Team
</v>
      </c>
      <c r="O13" s="63" t="s">
        <v>1028</v>
      </c>
      <c r="X13" s="68" t="s">
        <v>3573</v>
      </c>
      <c r="Y13" s="120" t="s">
        <v>4924</v>
      </c>
      <c r="Z13" s="119" t="s">
        <v>3572</v>
      </c>
    </row>
    <row r="14" spans="1:26" ht="15.75" x14ac:dyDescent="0.25">
      <c r="A14" s="64" t="s">
        <v>403</v>
      </c>
      <c r="B14" s="148" t="s">
        <v>423</v>
      </c>
      <c r="C14" s="62" t="s">
        <v>3216</v>
      </c>
      <c r="D14" s="62" t="str">
        <f t="shared" si="2"/>
        <v>beulah.p@ujjivan.com;varalakshmi.k@ujjivan.com;sachinkumar.kb@ujjivan.com;</v>
      </c>
      <c r="E14" s="62" t="s">
        <v>3583</v>
      </c>
      <c r="F14" s="62" t="s">
        <v>4428</v>
      </c>
      <c r="G14" s="62" t="s">
        <v>405</v>
      </c>
      <c r="H14" s="65" t="s">
        <v>409</v>
      </c>
      <c r="I14" s="65" t="s">
        <v>407</v>
      </c>
      <c r="J14" s="67" t="s">
        <v>4401</v>
      </c>
      <c r="K14" s="62" t="str">
        <f>VLOOKUP(B14,Sheet5!$A$1:$H$471,8,0)</f>
        <v>beulah.p@ujjivan.com;varalakshmi.k@ujjivan.com;sandeep.jain@ujjivan.com;sachinkumar.kb@ujjivan.com;umamaheswari.s@ujjivan.com;anand.rajkumar@ujjivan.com;</v>
      </c>
      <c r="L14" s="62" t="str">
        <f>VLOOKUP($B14,Sheet4!$B:$E,4,0)</f>
        <v xml:space="preserve">blr-chandralyt-branch@ujjivan.com;helpdesk@ujjivan.com; </v>
      </c>
      <c r="M14" s="65" t="s">
        <v>1037</v>
      </c>
      <c r="N14" s="68" t="str">
        <f t="shared" si="1"/>
        <v xml:space="preserve">Dear Team, Please find attached list of prospect clients for REPEAT GL-LOANS (clients who have taken earlier an GL Loan) for you branch.
Thanks &amp; Regards,
MIS Team
</v>
      </c>
      <c r="O14" s="66" t="s">
        <v>1028</v>
      </c>
      <c r="X14" s="68" t="s">
        <v>3573</v>
      </c>
      <c r="Y14" s="120" t="s">
        <v>4924</v>
      </c>
      <c r="Z14" s="119" t="s">
        <v>3572</v>
      </c>
    </row>
    <row r="15" spans="1:26" ht="15.75" x14ac:dyDescent="0.25">
      <c r="A15" s="61" t="s">
        <v>403</v>
      </c>
      <c r="B15" s="147" t="s">
        <v>424</v>
      </c>
      <c r="C15" s="62" t="s">
        <v>3217</v>
      </c>
      <c r="D15" s="62" t="str">
        <f t="shared" si="2"/>
        <v>meena.manavalan@ujjivan.com;muniraja.muniyappa@ujjivan.com;sachinkumar.kb@ujjivan.com;</v>
      </c>
      <c r="E15" s="62" t="s">
        <v>420</v>
      </c>
      <c r="F15" s="62" t="s">
        <v>4292</v>
      </c>
      <c r="G15" s="62" t="s">
        <v>405</v>
      </c>
      <c r="H15" s="62" t="s">
        <v>406</v>
      </c>
      <c r="I15" s="62" t="s">
        <v>407</v>
      </c>
      <c r="J15" s="67" t="s">
        <v>4401</v>
      </c>
      <c r="K15" s="62" t="str">
        <f>VLOOKUP(B15,Sheet5!$A$1:$H$471,8,0)</f>
        <v>manjunath.bhat@ujjivan.com;goutam.k@ujjivan.com;pratap.reddy@ujjivan.com;sachinkumar.kb@ujjivan.com;shekhar.poojary@ujjivan.com;kirankumar.ks@ujjivan.com;</v>
      </c>
      <c r="L15" s="62" t="str">
        <f>VLOOKUP($B15,Sheet4!$B:$E,4,0)</f>
        <v xml:space="preserve">blr-krpuram-branch@ujjivan.com;helpdesk@ujjivan.com; </v>
      </c>
      <c r="M15" s="62" t="s">
        <v>1038</v>
      </c>
      <c r="N15" s="68" t="str">
        <f t="shared" si="1"/>
        <v xml:space="preserve">Dear Team, Please find attached list of prospect clients for REPEAT GL-LOANS (clients who have taken earlier an GL Loan) for you branch.
Thanks &amp; Regards,
MIS Team
</v>
      </c>
      <c r="O15" s="63" t="s">
        <v>1028</v>
      </c>
      <c r="X15" s="68" t="s">
        <v>3573</v>
      </c>
      <c r="Y15" s="120" t="s">
        <v>4924</v>
      </c>
      <c r="Z15" s="119" t="s">
        <v>3572</v>
      </c>
    </row>
    <row r="16" spans="1:26" ht="15.75" x14ac:dyDescent="0.25">
      <c r="A16" s="64" t="s">
        <v>403</v>
      </c>
      <c r="B16" s="148" t="s">
        <v>425</v>
      </c>
      <c r="C16" s="62" t="s">
        <v>3218</v>
      </c>
      <c r="D16" s="62" t="str">
        <f t="shared" si="2"/>
        <v>muthaiah.d@ujjivan.com;yogesha.sh@ujjivan.com;ravichandra.mm@ujjivan.com;</v>
      </c>
      <c r="E16" s="62" t="s">
        <v>426</v>
      </c>
      <c r="F16" s="62" t="s">
        <v>4293</v>
      </c>
      <c r="G16" s="62" t="s">
        <v>427</v>
      </c>
      <c r="H16" s="65" t="s">
        <v>406</v>
      </c>
      <c r="I16" s="65" t="s">
        <v>407</v>
      </c>
      <c r="J16" s="67" t="s">
        <v>4401</v>
      </c>
      <c r="K16" s="62" t="str">
        <f>VLOOKUP(B16,Sheet5!$A$1:$H$471,8,0)</f>
        <v>muthaiah.d@ujjivan.com;yogesha.sh@ujjivan.com;narasimha.murthy@ujjivan.com;ravichandra.mm@ujjivan.com;suresh.poojary@ujjivan.com;harshith.hn@ujjivan.com;</v>
      </c>
      <c r="L16" s="62" t="str">
        <f>VLOOKUP($B16,Sheet4!$B:$E,4,0)</f>
        <v xml:space="preserve">blr-ramanagar-branch@ujjivan.com;helpdesk@ujjivan.com; </v>
      </c>
      <c r="M16" s="65" t="s">
        <v>1039</v>
      </c>
      <c r="N16" s="68" t="str">
        <f t="shared" si="1"/>
        <v xml:space="preserve">Dear Team, Please find attached list of prospect clients for REPEAT GL-LOANS (clients who have taken earlier an GL Loan) for you branch.
Thanks &amp; Regards,
MIS Team
</v>
      </c>
      <c r="O16" s="66" t="s">
        <v>1028</v>
      </c>
      <c r="X16" s="68" t="s">
        <v>3573</v>
      </c>
      <c r="Y16" s="120" t="s">
        <v>4924</v>
      </c>
      <c r="Z16" s="119" t="s">
        <v>3572</v>
      </c>
    </row>
    <row r="17" spans="1:26" ht="15.75" x14ac:dyDescent="0.25">
      <c r="A17" s="61" t="s">
        <v>403</v>
      </c>
      <c r="B17" s="147" t="s">
        <v>428</v>
      </c>
      <c r="C17" s="62" t="s">
        <v>3219</v>
      </c>
      <c r="D17" s="62" t="str">
        <f t="shared" si="2"/>
        <v>Ramesh.r@ujjivan.com;manoj.n@ujjivan.com;sachinkumar.kb@ujjivan.com;</v>
      </c>
      <c r="E17" s="62" t="s">
        <v>429</v>
      </c>
      <c r="F17" s="62" t="s">
        <v>4294</v>
      </c>
      <c r="G17" s="62" t="s">
        <v>405</v>
      </c>
      <c r="H17" s="62" t="s">
        <v>409</v>
      </c>
      <c r="I17" s="62" t="s">
        <v>407</v>
      </c>
      <c r="J17" s="67" t="s">
        <v>4401</v>
      </c>
      <c r="K17" s="62" t="str">
        <f>VLOOKUP(B17,Sheet5!$A$1:$H$471,8,0)</f>
        <v>satisha@ujjivan.com;chethan.k@ujjivan.com;sandeep.jain@ujjivan.com;sachinkumar.kb@ujjivan.com;shekhar.poojary@ujjivan.com;vineethkumar.v@ujjivan.com;</v>
      </c>
      <c r="L17" s="62" t="str">
        <f>VLOOKUP($B17,Sheet4!$B:$E,4,0)</f>
        <v xml:space="preserve">blr-peenya-branch@ujjivan.com;helpdesk@ujjivan.com; </v>
      </c>
      <c r="M17" s="62" t="s">
        <v>1040</v>
      </c>
      <c r="N17" s="68" t="str">
        <f t="shared" si="1"/>
        <v xml:space="preserve">Dear Team, Please find attached list of prospect clients for REPEAT GL-LOANS (clients who have taken earlier an GL Loan) for you branch.
Thanks &amp; Regards,
MIS Team
</v>
      </c>
      <c r="O17" s="63" t="s">
        <v>1028</v>
      </c>
      <c r="X17" s="68" t="s">
        <v>3573</v>
      </c>
      <c r="Y17" s="120" t="s">
        <v>4924</v>
      </c>
      <c r="Z17" s="119" t="s">
        <v>3572</v>
      </c>
    </row>
    <row r="18" spans="1:26" ht="15.75" x14ac:dyDescent="0.25">
      <c r="A18" s="64" t="s">
        <v>403</v>
      </c>
      <c r="B18" s="148" t="s">
        <v>430</v>
      </c>
      <c r="C18" s="62" t="s">
        <v>3220</v>
      </c>
      <c r="D18" s="62" t="str">
        <f t="shared" si="2"/>
        <v>ramesh.munireddy@ujjivan.com;muni.krishnappa@ujjivan.com;sachinkumar.kb@ujjivan.com;</v>
      </c>
      <c r="E18" s="62" t="s">
        <v>2868</v>
      </c>
      <c r="F18" s="62" t="s">
        <v>4295</v>
      </c>
      <c r="G18" s="62" t="s">
        <v>405</v>
      </c>
      <c r="H18" s="65" t="s">
        <v>406</v>
      </c>
      <c r="I18" s="65" t="s">
        <v>407</v>
      </c>
      <c r="J18" s="67" t="s">
        <v>4401</v>
      </c>
      <c r="K18" s="62" t="str">
        <f>VLOOKUP(B18,Sheet5!$A$1:$H$471,8,0)</f>
        <v>manjunath.mr@ujjivan.com;muni.krishnappa@ujjivan.com;vijaykumar.g@ujjivan.com;sachinkumar.kb@ujjivan.com;umamaheswari.s@ujjivan.com;ashwin.prakash@ujjivan.com;</v>
      </c>
      <c r="L18" s="62" t="str">
        <f>VLOOKUP($B18,Sheet4!$B:$E,4,0)</f>
        <v xml:space="preserve">blr-anekal-branch@ujjivan.com;helpdesk@ujjivan.com; </v>
      </c>
      <c r="M18" s="65" t="s">
        <v>1041</v>
      </c>
      <c r="N18" s="68" t="str">
        <f t="shared" si="1"/>
        <v xml:space="preserve">Dear Team, Please find attached list of prospect clients for REPEAT GL-LOANS (clients who have taken earlier an GL Loan) for you branch.
Thanks &amp; Regards,
MIS Team
</v>
      </c>
      <c r="O18" s="66" t="s">
        <v>1028</v>
      </c>
      <c r="X18" s="68" t="s">
        <v>3573</v>
      </c>
      <c r="Y18" s="120" t="s">
        <v>4924</v>
      </c>
      <c r="Z18" s="119" t="s">
        <v>3572</v>
      </c>
    </row>
    <row r="19" spans="1:26" ht="15.75" x14ac:dyDescent="0.25">
      <c r="A19" s="61" t="s">
        <v>403</v>
      </c>
      <c r="B19" s="147" t="s">
        <v>433</v>
      </c>
      <c r="C19" s="62" t="s">
        <v>3221</v>
      </c>
      <c r="D19" s="62" t="str">
        <f t="shared" si="2"/>
        <v>kumara.shivanna@ujjivan.com;dileep.kumar@ujjivan.com;ravichandra.mm@ujjivan.com;</v>
      </c>
      <c r="E19" s="62" t="s">
        <v>434</v>
      </c>
      <c r="F19" s="62" t="s">
        <v>418</v>
      </c>
      <c r="G19" s="62" t="s">
        <v>427</v>
      </c>
      <c r="H19" s="62" t="s">
        <v>406</v>
      </c>
      <c r="I19" s="62" t="s">
        <v>407</v>
      </c>
      <c r="J19" s="67" t="s">
        <v>4401</v>
      </c>
      <c r="K19" s="62" t="str">
        <f>VLOOKUP(B19,Sheet5!$A$1:$H$471,8,0)</f>
        <v>kumara.shivanna@ujjivan.com;suresha.d@ujjivan.com;murali.mohan@ujjivan.com;ravichandra.mm@ujjivan.com;suresh.poojary@ujjivan.com;harshith.hn@ujjivan.com;</v>
      </c>
      <c r="L19" s="62" t="str">
        <f>VLOOKUP($B19,Sheet4!$B:$E,4,0)</f>
        <v xml:space="preserve">blr-maddur-branch@ujjivan.com;helpdesk@ujjivan.com; </v>
      </c>
      <c r="M19" s="62" t="s">
        <v>1042</v>
      </c>
      <c r="N19" s="68" t="str">
        <f t="shared" si="1"/>
        <v xml:space="preserve">Dear Team, Please find attached list of prospect clients for REPEAT GL-LOANS (clients who have taken earlier an GL Loan) for you branch.
Thanks &amp; Regards,
MIS Team
</v>
      </c>
      <c r="O19" s="63" t="s">
        <v>1028</v>
      </c>
      <c r="X19" s="68" t="s">
        <v>3573</v>
      </c>
      <c r="Y19" s="120" t="s">
        <v>4924</v>
      </c>
      <c r="Z19" s="119" t="s">
        <v>3572</v>
      </c>
    </row>
    <row r="20" spans="1:26" ht="15.75" x14ac:dyDescent="0.25">
      <c r="A20" s="64" t="s">
        <v>403</v>
      </c>
      <c r="B20" s="148" t="s">
        <v>435</v>
      </c>
      <c r="C20" s="62" t="s">
        <v>3222</v>
      </c>
      <c r="D20" s="62" t="str">
        <f t="shared" si="2"/>
        <v>sridhar.raghuramaiah@ujjivan.com;-;sachinkumar.kb@ujjivan.com;</v>
      </c>
      <c r="E20" s="62" t="s">
        <v>3584</v>
      </c>
      <c r="F20" s="62" t="s">
        <v>3608</v>
      </c>
      <c r="G20" s="62" t="s">
        <v>405</v>
      </c>
      <c r="H20" s="65" t="s">
        <v>409</v>
      </c>
      <c r="I20" s="65" t="s">
        <v>407</v>
      </c>
      <c r="J20" s="67" t="s">
        <v>4401</v>
      </c>
      <c r="K20" s="62" t="str">
        <f>VLOOKUP(B20,Sheet5!$A$1:$H$471,8,0)</f>
        <v>sridhar.raghuramaiah@ujjivan.com;bhanupriya.am@ujjivan.com;pratap.reddy@ujjivan.com;sachinkumar.kb@ujjivan.com;shekhar.poojary@ujjivan.com;vineethkumar.v@ujjivan.com;</v>
      </c>
      <c r="L20" s="62" t="str">
        <f>VLOOKUP($B20,Sheet4!$B:$E,4,0)</f>
        <v xml:space="preserve">blr-brpura-branch@ujjivan.com;helpdesk@ujjivan.com; </v>
      </c>
      <c r="M20" s="65" t="s">
        <v>1043</v>
      </c>
      <c r="N20" s="68" t="str">
        <f t="shared" si="1"/>
        <v xml:space="preserve">Dear Team, Please find attached list of prospect clients for REPEAT GL-LOANS (clients who have taken earlier an GL Loan) for you branch.
Thanks &amp; Regards,
MIS Team
</v>
      </c>
      <c r="O20" s="66" t="s">
        <v>1028</v>
      </c>
      <c r="X20" s="68" t="s">
        <v>3573</v>
      </c>
      <c r="Y20" s="120" t="s">
        <v>4924</v>
      </c>
      <c r="Z20" s="119" t="s">
        <v>3572</v>
      </c>
    </row>
    <row r="21" spans="1:26" ht="15.75" x14ac:dyDescent="0.25">
      <c r="A21" s="61" t="s">
        <v>403</v>
      </c>
      <c r="B21" s="147" t="s">
        <v>436</v>
      </c>
      <c r="C21" s="62" t="s">
        <v>437</v>
      </c>
      <c r="D21" s="62" t="str">
        <f t="shared" si="2"/>
        <v>elizabeth.rani@ujjivan.com;ravikumar.venkatappa@ujjivan.com;sachinkumar.kb@ujjivan.com;</v>
      </c>
      <c r="E21" s="62" t="s">
        <v>438</v>
      </c>
      <c r="F21" s="62" t="s">
        <v>4429</v>
      </c>
      <c r="G21" s="62" t="s">
        <v>405</v>
      </c>
      <c r="H21" s="62" t="s">
        <v>409</v>
      </c>
      <c r="I21" s="62" t="s">
        <v>407</v>
      </c>
      <c r="J21" s="67" t="s">
        <v>4401</v>
      </c>
      <c r="K21" s="62" t="str">
        <f>VLOOKUP(B21,Sheet5!$A$1:$H$471,8,0)</f>
        <v>elizabeth.rani@ujjivan.com;ravikumar.venkatappa@ujjivan.com;pratap.reddy@ujjivan.com;sachinkumar.kb@ujjivan.com;umamaheswari.s@ujjivan.com;allisab.j@ujjivan.com;</v>
      </c>
      <c r="L21" s="62" t="str">
        <f>VLOOKUP($B21,Sheet4!$B:$E,4,0)</f>
        <v xml:space="preserve">blr-yelahanka-branch@ujjivan.com;helpdesk@ujjivan.com; </v>
      </c>
      <c r="M21" s="62" t="s">
        <v>1044</v>
      </c>
      <c r="N21" s="68" t="str">
        <f t="shared" si="1"/>
        <v xml:space="preserve">Dear Team, Please find attached list of prospect clients for REPEAT GL-LOANS (clients who have taken earlier an GL Loan) for you branch.
Thanks &amp; Regards,
MIS Team
</v>
      </c>
      <c r="O21" s="63" t="s">
        <v>1028</v>
      </c>
      <c r="X21" s="68" t="s">
        <v>3573</v>
      </c>
      <c r="Y21" s="120" t="s">
        <v>4924</v>
      </c>
      <c r="Z21" s="119" t="s">
        <v>3572</v>
      </c>
    </row>
    <row r="22" spans="1:26" ht="15.75" x14ac:dyDescent="0.25">
      <c r="A22" s="64" t="s">
        <v>403</v>
      </c>
      <c r="B22" s="148" t="s">
        <v>439</v>
      </c>
      <c r="C22" s="62" t="s">
        <v>3223</v>
      </c>
      <c r="D22" s="62" t="str">
        <f t="shared" si="2"/>
        <v>Shivakumar.saraguru@ujjivan.com;latha.mk@ujjivan.com;ravichandra.mm@ujjivan.com;</v>
      </c>
      <c r="E22" s="62" t="s">
        <v>3585</v>
      </c>
      <c r="F22" s="62" t="s">
        <v>4298</v>
      </c>
      <c r="G22" s="62" t="s">
        <v>427</v>
      </c>
      <c r="H22" s="65" t="s">
        <v>406</v>
      </c>
      <c r="I22" s="65" t="s">
        <v>407</v>
      </c>
      <c r="J22" s="67" t="s">
        <v>4401</v>
      </c>
      <c r="K22" s="62" t="str">
        <f>VLOOKUP(B22,Sheet5!$A$1:$H$471,8,0)</f>
        <v>shivakumar.saraguru@ujjivan.com;latha.mk@ujjivan.com;narasimha.murthy@ujjivan.com;ravichandra.mm@ujjivan.com;suresh.poojary@ujjivan.com;harshith.hn@ujjivan.com;</v>
      </c>
      <c r="L22" s="62" t="str">
        <f>VLOOKUP($B22,Sheet4!$B:$E,4,0)</f>
        <v xml:space="preserve">blr-channapatna-branch@ujjivan.com;helpdesk@ujjivan.com; </v>
      </c>
      <c r="M22" s="65" t="s">
        <v>1045</v>
      </c>
      <c r="N22" s="68" t="str">
        <f t="shared" si="1"/>
        <v xml:space="preserve">Dear Team, Please find attached list of prospect clients for REPEAT GL-LOANS (clients who have taken earlier an GL Loan) for you branch.
Thanks &amp; Regards,
MIS Team
</v>
      </c>
      <c r="O22" s="66" t="s">
        <v>1028</v>
      </c>
      <c r="X22" s="68" t="s">
        <v>3573</v>
      </c>
      <c r="Y22" s="120" t="s">
        <v>4924</v>
      </c>
      <c r="Z22" s="119" t="s">
        <v>3572</v>
      </c>
    </row>
    <row r="23" spans="1:26" ht="15.75" x14ac:dyDescent="0.25">
      <c r="A23" s="61" t="s">
        <v>403</v>
      </c>
      <c r="B23" s="147" t="s">
        <v>440</v>
      </c>
      <c r="C23" s="62" t="s">
        <v>455</v>
      </c>
      <c r="D23" s="62" t="str">
        <f t="shared" si="2"/>
        <v>sampath.kumar@ujjivan.com;manjunatha.narayana@ujjivan.com;ravichandra.mm@ujjivan.com;</v>
      </c>
      <c r="E23" s="62" t="s">
        <v>456</v>
      </c>
      <c r="F23" s="62" t="s">
        <v>4299</v>
      </c>
      <c r="G23" s="62" t="s">
        <v>427</v>
      </c>
      <c r="H23" s="62" t="s">
        <v>409</v>
      </c>
      <c r="I23" s="62" t="s">
        <v>407</v>
      </c>
      <c r="J23" s="67" t="s">
        <v>4401</v>
      </c>
      <c r="K23" s="62" t="str">
        <f>VLOOKUP(B23,Sheet5!$A$1:$H$471,8,0)</f>
        <v>sampath.kumar@ujjivan.com;manjunatha.narayana@ujjivan.com;narasimha.murthy@ujjivan.com;ravichandra.mm@ujjivan.com;umamaheswari.s@ujjivan.com;allisab.j@ujjivan.com;</v>
      </c>
      <c r="L23" s="62" t="str">
        <f>VLOOKUP($B23,Sheet4!$B:$E,4,0)</f>
        <v xml:space="preserve">blr-chikkaballapur-branch@ujjivan.com;helpdesk@ujjivan.com; </v>
      </c>
      <c r="M23" s="62" t="s">
        <v>1046</v>
      </c>
      <c r="N23" s="68" t="str">
        <f t="shared" si="1"/>
        <v xml:space="preserve">Dear Team, Please find attached list of prospect clients for REPEAT GL-LOANS (clients who have taken earlier an GL Loan) for you branch.
Thanks &amp; Regards,
MIS Team
</v>
      </c>
      <c r="O23" s="63" t="s">
        <v>1028</v>
      </c>
      <c r="X23" s="68" t="s">
        <v>3573</v>
      </c>
      <c r="Y23" s="120" t="s">
        <v>4924</v>
      </c>
      <c r="Z23" s="119" t="s">
        <v>3572</v>
      </c>
    </row>
    <row r="24" spans="1:26" ht="15.75" x14ac:dyDescent="0.25">
      <c r="A24" s="64" t="s">
        <v>403</v>
      </c>
      <c r="B24" s="148" t="s">
        <v>441</v>
      </c>
      <c r="C24" s="62" t="s">
        <v>3224</v>
      </c>
      <c r="D24" s="62" t="str">
        <f t="shared" si="2"/>
        <v>jayeer.pasha@ujjivan.com;ramesha.ponnuswamy@ujjivan.com;sachinkumar.kb@ujjivan.com;</v>
      </c>
      <c r="E24" s="62" t="s">
        <v>2872</v>
      </c>
      <c r="F24" s="62" t="s">
        <v>4300</v>
      </c>
      <c r="G24" s="62" t="s">
        <v>405</v>
      </c>
      <c r="H24" s="65" t="s">
        <v>406</v>
      </c>
      <c r="I24" s="65" t="s">
        <v>407</v>
      </c>
      <c r="J24" s="67" t="s">
        <v>4401</v>
      </c>
      <c r="K24" s="62" t="str">
        <f>VLOOKUP(B24,Sheet5!$A$1:$H$471,8,0)</f>
        <v>jayeer.pasha@ujjivan.com;ramesha.ponnuswamy@ujjivan.com;vijaykumar.g@ujjivan.com;sachinkumar.kb@ujjivan.com;umamaheswari.s@ujjivan.com;ashwin.prakash@ujjivan.com;</v>
      </c>
      <c r="L24" s="62" t="str">
        <f>VLOOKUP($B24,Sheet4!$B:$E,4,0)</f>
        <v xml:space="preserve">blr-uttarahalli-branch@ujjivan.com;helpdesk@ujjivan.com; </v>
      </c>
      <c r="M24" s="65" t="s">
        <v>1047</v>
      </c>
      <c r="N24" s="68" t="str">
        <f t="shared" si="1"/>
        <v xml:space="preserve">Dear Team, Please find attached list of prospect clients for REPEAT GL-LOANS (clients who have taken earlier an GL Loan) for you branch.
Thanks &amp; Regards,
MIS Team
</v>
      </c>
      <c r="O24" s="66" t="s">
        <v>1028</v>
      </c>
      <c r="X24" s="68" t="s">
        <v>3573</v>
      </c>
      <c r="Y24" s="120" t="s">
        <v>4924</v>
      </c>
      <c r="Z24" s="119" t="s">
        <v>3572</v>
      </c>
    </row>
    <row r="25" spans="1:26" ht="15.75" x14ac:dyDescent="0.25">
      <c r="A25" s="61" t="s">
        <v>403</v>
      </c>
      <c r="B25" s="147" t="s">
        <v>442</v>
      </c>
      <c r="C25" s="62" t="s">
        <v>3225</v>
      </c>
      <c r="D25" s="62" t="str">
        <f t="shared" si="2"/>
        <v>somanath.jakkannavar@ujjivan.com;virupakshi.h@ujjivan.com;srinivas.govinda@ujjivan.com;</v>
      </c>
      <c r="E25" s="62" t="s">
        <v>3586</v>
      </c>
      <c r="F25" s="62" t="s">
        <v>4301</v>
      </c>
      <c r="G25" s="62" t="s">
        <v>466</v>
      </c>
      <c r="H25" s="62"/>
      <c r="I25" s="62" t="s">
        <v>407</v>
      </c>
      <c r="J25" s="67" t="s">
        <v>4401</v>
      </c>
      <c r="K25" s="62" t="str">
        <f>VLOOKUP(B25,Sheet5!$A$1:$H$471,8,0)</f>
        <v>somanath.jakkannavar@ujjivan.com;shivarajkumar.h@ujjivan.com;moinuddin.m@ujjivan.com;srinivas.govinda@ujjivan.com;shrungeshwara.cn@ujjivan.com;sureshkumar.komali@ujjivan.com;</v>
      </c>
      <c r="L25" s="62" t="str">
        <f>VLOOKUP($B25,Sheet4!$B:$E,4,0)</f>
        <v xml:space="preserve">blr-dharwadnorth-branch@ujjivan;helpdesk@ujjivan.com; </v>
      </c>
      <c r="M25" s="62" t="s">
        <v>1048</v>
      </c>
      <c r="N25" s="68" t="str">
        <f t="shared" si="1"/>
        <v xml:space="preserve">Dear Team, Please find attached list of prospect clients for REPEAT GL-LOANS (clients who have taken earlier an GL Loan) for you branch.
Thanks &amp; Regards,
MIS Team
</v>
      </c>
      <c r="O25" s="63" t="s">
        <v>1028</v>
      </c>
      <c r="X25" s="68" t="s">
        <v>3573</v>
      </c>
      <c r="Y25" s="120" t="s">
        <v>4924</v>
      </c>
      <c r="Z25" s="119" t="s">
        <v>3572</v>
      </c>
    </row>
    <row r="26" spans="1:26" ht="15.75" x14ac:dyDescent="0.25">
      <c r="A26" s="64" t="s">
        <v>403</v>
      </c>
      <c r="B26" s="148" t="s">
        <v>444</v>
      </c>
      <c r="C26" s="62" t="s">
        <v>445</v>
      </c>
      <c r="D26" s="62" t="str">
        <f t="shared" si="2"/>
        <v>sivakumar.sv@Ujjivan.com;shivaprakash.sivam@ujjivan.com;thiyagu.basavaraj@ujjivan.com;</v>
      </c>
      <c r="E26" s="62" t="s">
        <v>446</v>
      </c>
      <c r="F26" s="62" t="s">
        <v>4302</v>
      </c>
      <c r="G26" s="62" t="s">
        <v>447</v>
      </c>
      <c r="H26" s="65" t="s">
        <v>409</v>
      </c>
      <c r="I26" s="65" t="s">
        <v>407</v>
      </c>
      <c r="J26" s="67" t="s">
        <v>4401</v>
      </c>
      <c r="K26" s="62" t="str">
        <f>VLOOKUP(B26,Sheet5!$A$1:$H$471,8,0)</f>
        <v>ramesh.munireddy@ujjivan.com;shivaprakash.sivam@ujjivan.com;sudhakar.babu@ujjivan.com;thiyagu.basavaraj@ujjivan.com;rajaguru.i@ujjivan.com;arasu.sokkalingam@ujjivan.com;</v>
      </c>
      <c r="L26" s="62" t="str">
        <f>VLOOKUP($B26,Sheet4!$B:$E,4,0)</f>
        <v xml:space="preserve">blr-hosur-branch@ujjivan.com;helpdesk@ujjivan.com; </v>
      </c>
      <c r="M26" s="65" t="s">
        <v>1049</v>
      </c>
      <c r="N26" s="68" t="str">
        <f t="shared" si="1"/>
        <v xml:space="preserve">Dear Team, Please find attached list of prospect clients for REPEAT GL-LOANS (clients who have taken earlier an GL Loan) for you branch.
Thanks &amp; Regards,
MIS Team
</v>
      </c>
      <c r="O26" s="66" t="s">
        <v>1028</v>
      </c>
      <c r="X26" s="68" t="s">
        <v>3573</v>
      </c>
      <c r="Y26" s="120" t="s">
        <v>4924</v>
      </c>
      <c r="Z26" s="119" t="s">
        <v>3572</v>
      </c>
    </row>
    <row r="27" spans="1:26" ht="15.75" x14ac:dyDescent="0.25">
      <c r="A27" s="61" t="s">
        <v>403</v>
      </c>
      <c r="B27" s="147" t="s">
        <v>849</v>
      </c>
      <c r="C27" s="62" t="s">
        <v>3226</v>
      </c>
      <c r="D27" s="62" t="str">
        <f t="shared" si="2"/>
        <v>amit.chandaragi@ujjivan.com;siddappa.kanthi@ujjivan.com;srinivas.govinda@ujjivan.com;</v>
      </c>
      <c r="E27" s="62" t="s">
        <v>3587</v>
      </c>
      <c r="F27" s="62" t="s">
        <v>4430</v>
      </c>
      <c r="G27" s="62" t="s">
        <v>466</v>
      </c>
      <c r="H27" s="62"/>
      <c r="I27" s="62" t="s">
        <v>407</v>
      </c>
      <c r="J27" s="67" t="s">
        <v>4401</v>
      </c>
      <c r="K27" s="62" t="str">
        <f>VLOOKUP(B27,Sheet5!$A$1:$H$471,8,0)</f>
        <v>amit.chandaragi@ujjivan.com;siddappa.kanthi@ujjivan.com;basavaraj.yadoor@ujjivan.com;srinivas.govinda@ujjivan.com;shekhar.poojary@ujjivan.com;basantakumar.pasupalak@ujjivan.com;</v>
      </c>
      <c r="L27" s="62" t="str">
        <f>VLOOKUP($B27,Sheet4!$B:$E,4,0)</f>
        <v xml:space="preserve">blr-belgaum-branch@ujjivan.com;helpdesk@ujjivan.com; </v>
      </c>
      <c r="M27" s="62" t="s">
        <v>1050</v>
      </c>
      <c r="N27" s="68" t="str">
        <f t="shared" si="1"/>
        <v xml:space="preserve">Dear Team, Please find attached list of prospect clients for REPEAT GL-LOANS (clients who have taken earlier an GL Loan) for you branch.
Thanks &amp; Regards,
MIS Team
</v>
      </c>
      <c r="O27" s="63" t="s">
        <v>1028</v>
      </c>
      <c r="X27" s="68" t="s">
        <v>3573</v>
      </c>
      <c r="Y27" s="120" t="s">
        <v>4924</v>
      </c>
      <c r="Z27" s="119" t="s">
        <v>3572</v>
      </c>
    </row>
    <row r="28" spans="1:26" ht="15.75" x14ac:dyDescent="0.25">
      <c r="A28" s="64" t="s">
        <v>403</v>
      </c>
      <c r="B28" s="148" t="s">
        <v>448</v>
      </c>
      <c r="C28" s="62" t="s">
        <v>3227</v>
      </c>
      <c r="D28" s="62" t="str">
        <f t="shared" si="2"/>
        <v>karunakaran.r@ujjivan.com;sankar.arumugam@ujjivan.com;thiyagu.basavaraj@ujjivan.com;</v>
      </c>
      <c r="E28" s="62" t="s">
        <v>3588</v>
      </c>
      <c r="F28" s="62" t="s">
        <v>4305</v>
      </c>
      <c r="G28" s="62" t="s">
        <v>447</v>
      </c>
      <c r="H28" s="65" t="s">
        <v>409</v>
      </c>
      <c r="I28" s="65" t="s">
        <v>407</v>
      </c>
      <c r="J28" s="67" t="s">
        <v>4401</v>
      </c>
      <c r="K28" s="62" t="str">
        <f>VLOOKUP(B28,Sheet5!$A$1:$H$471,8,0)</f>
        <v>sivakumar.sv@Ujjivan.com;tamilarasan.raja@ujjivan.com;sudhakar.babu@ujjivan.com;thiyagu.basavaraj@ujjivan.com;rajaguru.i@ujjivan.com;arasu.sokkalingam@ujjivan.com;</v>
      </c>
      <c r="L28" s="62" t="str">
        <f>VLOOKUP($B28,Sheet4!$B:$E,4,0)</f>
        <v xml:space="preserve">tn-krishnagiri-branch@ujjivan.com;helpdesk@ujjivan.com; </v>
      </c>
      <c r="M28" s="65" t="s">
        <v>1051</v>
      </c>
      <c r="N28" s="68" t="str">
        <f t="shared" si="1"/>
        <v xml:space="preserve">Dear Team, Please find attached list of prospect clients for REPEAT GL-LOANS (clients who have taken earlier an GL Loan) for you branch.
Thanks &amp; Regards,
MIS Team
</v>
      </c>
      <c r="O28" s="66" t="s">
        <v>1028</v>
      </c>
      <c r="X28" s="68" t="s">
        <v>3573</v>
      </c>
      <c r="Y28" s="120" t="s">
        <v>4924</v>
      </c>
      <c r="Z28" s="119" t="s">
        <v>3572</v>
      </c>
    </row>
    <row r="29" spans="1:26" ht="15.75" x14ac:dyDescent="0.25">
      <c r="A29" s="61" t="s">
        <v>403</v>
      </c>
      <c r="B29" s="147" t="s">
        <v>449</v>
      </c>
      <c r="C29" s="62" t="s">
        <v>470</v>
      </c>
      <c r="D29" s="62" t="str">
        <f t="shared" si="2"/>
        <v>shivaprasad.gm@ujjivan.com;ravi.naik@ujjivan.com;srinivas.govinda@ujjivan.com;</v>
      </c>
      <c r="E29" s="62" t="s">
        <v>471</v>
      </c>
      <c r="F29" s="62" t="s">
        <v>4306</v>
      </c>
      <c r="G29" s="62" t="s">
        <v>466</v>
      </c>
      <c r="H29" s="62"/>
      <c r="I29" s="62" t="s">
        <v>407</v>
      </c>
      <c r="J29" s="67" t="s">
        <v>4401</v>
      </c>
      <c r="K29" s="62" t="str">
        <f>VLOOKUP(B29,Sheet5!$A$1:$H$471,8,0)</f>
        <v>shivaprasad.gm@ujjivan.com;raju.rangappa@ujjivan.com;moinuddin.m@ujjivan.com;srinivas.govinda@ujjivan.com;shrungeshwara.cn@ujjivan.com;sureshkumar.komali@ujjivan.com;</v>
      </c>
      <c r="L29" s="62" t="str">
        <f>VLOOKUP($B29,Sheet4!$B:$E,4,0)</f>
        <v xml:space="preserve">blr-haveri-branch@ujjivan.com;helpdesk@ujjivan.com; </v>
      </c>
      <c r="M29" s="62" t="s">
        <v>1052</v>
      </c>
      <c r="N29" s="68" t="str">
        <f t="shared" si="1"/>
        <v xml:space="preserve">Dear Team, Please find attached list of prospect clients for REPEAT GL-LOANS (clients who have taken earlier an GL Loan) for you branch.
Thanks &amp; Regards,
MIS Team
</v>
      </c>
      <c r="O29" s="63" t="s">
        <v>1028</v>
      </c>
      <c r="X29" s="68" t="s">
        <v>3573</v>
      </c>
      <c r="Y29" s="120" t="s">
        <v>4924</v>
      </c>
      <c r="Z29" s="119" t="s">
        <v>3572</v>
      </c>
    </row>
    <row r="30" spans="1:26" ht="15.75" x14ac:dyDescent="0.25">
      <c r="A30" s="64" t="s">
        <v>403</v>
      </c>
      <c r="B30" s="148" t="s">
        <v>451</v>
      </c>
      <c r="C30" s="62" t="s">
        <v>3033</v>
      </c>
      <c r="D30" s="62" t="str">
        <f t="shared" si="2"/>
        <v>vishwanatha.nv@ujjivan.com;nagaraja.kk@ujjivan.com;srinivas.govinda@ujjivan.com;</v>
      </c>
      <c r="E30" s="62" t="s">
        <v>3589</v>
      </c>
      <c r="F30" s="62" t="s">
        <v>4307</v>
      </c>
      <c r="G30" s="62" t="s">
        <v>466</v>
      </c>
      <c r="H30" s="65" t="s">
        <v>406</v>
      </c>
      <c r="I30" s="65" t="s">
        <v>407</v>
      </c>
      <c r="J30" s="67" t="s">
        <v>4401</v>
      </c>
      <c r="K30" s="62" t="str">
        <f>VLOOKUP(B30,Sheet5!$A$1:$H$471,8,0)</f>
        <v>vishwanatha.nv@ujjivan.com;nagaraja.kk@ujjivan.com;moinuddin.m@ujjivan.com;srinivas.govinda@ujjivan.com;shrungeshwara.cn@ujjivan.com;sureshkumar.komali@ujjivan.com;</v>
      </c>
      <c r="L30" s="62" t="str">
        <f>VLOOKUP($B30,Sheet4!$B:$E,4,0)</f>
        <v xml:space="preserve">blr-davangeresouth-branch@ujjivan.com;helpdesk@ujjivan.com; </v>
      </c>
      <c r="M30" s="65" t="s">
        <v>1053</v>
      </c>
      <c r="N30" s="68" t="str">
        <f t="shared" si="1"/>
        <v xml:space="preserve">Dear Team, Please find attached list of prospect clients for REPEAT GL-LOANS (clients who have taken earlier an GL Loan) for you branch.
Thanks &amp; Regards,
MIS Team
</v>
      </c>
      <c r="O30" s="66" t="s">
        <v>1028</v>
      </c>
      <c r="X30" s="68" t="s">
        <v>3573</v>
      </c>
      <c r="Y30" s="120" t="s">
        <v>4924</v>
      </c>
      <c r="Z30" s="119" t="s">
        <v>3572</v>
      </c>
    </row>
    <row r="31" spans="1:26" ht="15.75" x14ac:dyDescent="0.25">
      <c r="A31" s="61" t="s">
        <v>403</v>
      </c>
      <c r="B31" s="147" t="s">
        <v>452</v>
      </c>
      <c r="C31" s="62" t="s">
        <v>3228</v>
      </c>
      <c r="D31" s="62" t="str">
        <f t="shared" si="2"/>
        <v>prakash.k@ujjivan.com;gowdra.prahalada@ujjivan.com;srinivas.govinda@ujjivan.com;</v>
      </c>
      <c r="E31" s="62" t="s">
        <v>453</v>
      </c>
      <c r="F31" s="62" t="s">
        <v>4308</v>
      </c>
      <c r="G31" s="62" t="s">
        <v>466</v>
      </c>
      <c r="H31" s="62" t="s">
        <v>406</v>
      </c>
      <c r="I31" s="62" t="s">
        <v>407</v>
      </c>
      <c r="J31" s="67" t="s">
        <v>4401</v>
      </c>
      <c r="K31" s="62" t="str">
        <f>VLOOKUP(B31,Sheet5!$A$1:$H$471,8,0)</f>
        <v>prakash.k@ujjivan.com;gowdra.prahalada@ujjivan.com;balakrishna.chottanahalli@ujjivan.com;srinivas.govinda@ujjivan.com;shrungeshwara.cn@ujjivan.com;yathisha.hb@ujjivan.com;</v>
      </c>
      <c r="L31" s="62" t="str">
        <f>VLOOKUP($B31,Sheet4!$B:$E,4,0)</f>
        <v xml:space="preserve">blr-tumkur-branch@ujjivan.com;helpdesk@ujjivan.com; </v>
      </c>
      <c r="M31" s="62" t="s">
        <v>1054</v>
      </c>
      <c r="N31" s="68" t="str">
        <f t="shared" si="1"/>
        <v xml:space="preserve">Dear Team, Please find attached list of prospect clients for REPEAT GL-LOANS (clients who have taken earlier an GL Loan) for you branch.
Thanks &amp; Regards,
MIS Team
</v>
      </c>
      <c r="O31" s="63" t="s">
        <v>1028</v>
      </c>
      <c r="X31" s="68" t="s">
        <v>3573</v>
      </c>
      <c r="Y31" s="120" t="s">
        <v>4924</v>
      </c>
      <c r="Z31" s="119" t="s">
        <v>3572</v>
      </c>
    </row>
    <row r="32" spans="1:26" ht="15.75" x14ac:dyDescent="0.25">
      <c r="A32" s="64" t="s">
        <v>403</v>
      </c>
      <c r="B32" s="148" t="s">
        <v>454</v>
      </c>
      <c r="C32" s="62" t="s">
        <v>3229</v>
      </c>
      <c r="D32" s="62" t="str">
        <f t="shared" si="2"/>
        <v>anjineya.v@ujjivan.com;nagaraj.naik@ujjivan.com;srinivas.govinda@ujjivan.com;</v>
      </c>
      <c r="E32" s="62" t="s">
        <v>3590</v>
      </c>
      <c r="F32" s="62" t="s">
        <v>4309</v>
      </c>
      <c r="G32" s="62" t="s">
        <v>466</v>
      </c>
      <c r="H32" s="65" t="s">
        <v>406</v>
      </c>
      <c r="I32" s="65" t="s">
        <v>407</v>
      </c>
      <c r="J32" s="67" t="s">
        <v>4401</v>
      </c>
      <c r="K32" s="62" t="str">
        <f>VLOOKUP(B32,Sheet5!$A$1:$H$471,8,0)</f>
        <v>mahadevaswamy.jadeswamy@ujjivan.com;nagaraj.naik@ujjivan.com;balakrishna.chottanahalli@ujjivan.com;srinivas.govinda@ujjivan.com;shrungeshwara.cn@ujjivan.com;yathisha.hb@ujjivan.com;</v>
      </c>
      <c r="L32" s="62" t="str">
        <f>VLOOKUP($B32,Sheet4!$B:$E,4,0)</f>
        <v xml:space="preserve">blr-chitradurga-branch@ujjivan.com;helpdesk@ujjivan.com; </v>
      </c>
      <c r="M32" s="65" t="s">
        <v>1055</v>
      </c>
      <c r="N32" s="68" t="str">
        <f t="shared" si="1"/>
        <v xml:space="preserve">Dear Team, Please find attached list of prospect clients for REPEAT GL-LOANS (clients who have taken earlier an GL Loan) for you branch.
Thanks &amp; Regards,
MIS Team
</v>
      </c>
      <c r="O32" s="66" t="s">
        <v>1028</v>
      </c>
      <c r="X32" s="68" t="s">
        <v>3573</v>
      </c>
      <c r="Y32" s="120" t="s">
        <v>4924</v>
      </c>
      <c r="Z32" s="119" t="s">
        <v>3572</v>
      </c>
    </row>
    <row r="33" spans="1:26" ht="15.75" x14ac:dyDescent="0.25">
      <c r="A33" s="61" t="s">
        <v>403</v>
      </c>
      <c r="B33" s="147" t="s">
        <v>457</v>
      </c>
      <c r="C33" s="62" t="s">
        <v>3230</v>
      </c>
      <c r="D33" s="62" t="str">
        <f t="shared" si="2"/>
        <v>sakthivelu.subramani@ujjivan.com;muthuraman.a@ujjivan.com;thiyagu.basavaraj@ujjivan.com;</v>
      </c>
      <c r="E33" s="62" t="s">
        <v>3591</v>
      </c>
      <c r="F33" s="62" t="s">
        <v>4310</v>
      </c>
      <c r="G33" s="62" t="s">
        <v>447</v>
      </c>
      <c r="H33" s="62" t="s">
        <v>409</v>
      </c>
      <c r="I33" s="62" t="s">
        <v>407</v>
      </c>
      <c r="J33" s="67" t="s">
        <v>4401</v>
      </c>
      <c r="K33" s="62" t="str">
        <f>VLOOKUP(B33,Sheet5!$A$1:$H$471,8,0)</f>
        <v>sakthivelu.subramani@ujjivan.com;kalaivani.j@ujjivan.com;bharath.m@ujjivan.com;thiyagu.basavaraj@ujjivan.com;rajaguru.i@ujjivan.com;arasu.sokkalingam@ujjivan.com;</v>
      </c>
      <c r="L33" s="62" t="str">
        <f>VLOOKUP($B33,Sheet4!$B:$E,4,0)</f>
        <v xml:space="preserve">tn-tirupathur-branch@ujjivan.com;helpdesk@ujjivan.com; </v>
      </c>
      <c r="M33" s="62" t="s">
        <v>1056</v>
      </c>
      <c r="N33" s="68" t="str">
        <f t="shared" si="1"/>
        <v xml:space="preserve">Dear Team, Please find attached list of prospect clients for REPEAT GL-LOANS (clients who have taken earlier an GL Loan) for you branch.
Thanks &amp; Regards,
MIS Team
</v>
      </c>
      <c r="O33" s="63" t="s">
        <v>1028</v>
      </c>
      <c r="X33" s="68" t="s">
        <v>3573</v>
      </c>
      <c r="Y33" s="120" t="s">
        <v>4924</v>
      </c>
      <c r="Z33" s="119" t="s">
        <v>3572</v>
      </c>
    </row>
    <row r="34" spans="1:26" ht="15.75" x14ac:dyDescent="0.25">
      <c r="A34" s="64" t="s">
        <v>403</v>
      </c>
      <c r="B34" s="148" t="s">
        <v>458</v>
      </c>
      <c r="C34" s="62" t="s">
        <v>3231</v>
      </c>
      <c r="D34" s="62" t="str">
        <f t="shared" si="2"/>
        <v>narasimha.mudugere@ujjivan.com;balanayaka.m@ujjivan.com;ravichandra.mm@ujjivan.com;</v>
      </c>
      <c r="E34" s="62" t="s">
        <v>459</v>
      </c>
      <c r="F34" s="62" t="s">
        <v>4311</v>
      </c>
      <c r="G34" s="62" t="s">
        <v>427</v>
      </c>
      <c r="H34" s="65" t="s">
        <v>409</v>
      </c>
      <c r="I34" s="65" t="s">
        <v>407</v>
      </c>
      <c r="J34" s="67" t="s">
        <v>4401</v>
      </c>
      <c r="K34" s="62" t="str">
        <f>VLOOKUP(B34,Sheet5!$A$1:$H$471,8,0)</f>
        <v>narasimha.mudugere@ujjivan.com;balanayka.muthanayka@ujjivan.com;narasimha.murthy@ujjivan.com;ravichandra.mm@ujjivan.com;umamaheswari.s@ujjivan.com;allisab.j@ujjivan.com;</v>
      </c>
      <c r="L34" s="62" t="str">
        <f>VLOOKUP($B34,Sheet4!$B:$E,4,0)</f>
        <v xml:space="preserve">blr-gowribidanur-branch@ujjivan.com;helpdesk@ujjivan.com; </v>
      </c>
      <c r="M34" s="65" t="s">
        <v>1057</v>
      </c>
      <c r="N34" s="68" t="str">
        <f t="shared" si="1"/>
        <v xml:space="preserve">Dear Team, Please find attached list of prospect clients for REPEAT GL-LOANS (clients who have taken earlier an GL Loan) for you branch.
Thanks &amp; Regards,
MIS Team
</v>
      </c>
      <c r="O34" s="66" t="s">
        <v>1028</v>
      </c>
      <c r="X34" s="68" t="s">
        <v>3573</v>
      </c>
      <c r="Y34" s="120" t="s">
        <v>4924</v>
      </c>
      <c r="Z34" s="119" t="s">
        <v>3572</v>
      </c>
    </row>
    <row r="35" spans="1:26" ht="15.75" x14ac:dyDescent="0.25">
      <c r="A35" s="61" t="s">
        <v>403</v>
      </c>
      <c r="B35" s="147" t="s">
        <v>460</v>
      </c>
      <c r="C35" s="62" t="s">
        <v>3232</v>
      </c>
      <c r="D35" s="62" t="str">
        <f t="shared" si="2"/>
        <v>vinoda.v@ujjivan.com;vasanth.h@ujjivan.com;srinivas.govinda@ujjivan.com;</v>
      </c>
      <c r="E35" s="62" t="s">
        <v>461</v>
      </c>
      <c r="F35" s="62" t="s">
        <v>4431</v>
      </c>
      <c r="G35" s="62" t="s">
        <v>466</v>
      </c>
      <c r="H35" s="62" t="s">
        <v>406</v>
      </c>
      <c r="I35" s="62" t="s">
        <v>407</v>
      </c>
      <c r="J35" s="67" t="s">
        <v>4401</v>
      </c>
      <c r="K35" s="62" t="str">
        <f>VLOOKUP(B35,Sheet5!$A$1:$H$471,8,0)</f>
        <v>hemaprakash@ujjivan.com;vasanth.h@ujjivan.com;balakrishna.chottanahalli@ujjivan.com;srinivas.govinda@ujjivan.com;shrungeshwara.cn@ujjivan.com;yathisha.hb@ujjivan.com;</v>
      </c>
      <c r="L35" s="62" t="str">
        <f>VLOOKUP($B35,Sheet4!$B:$E,4,0)</f>
        <v xml:space="preserve">blr-shimoga-branch@ujjivan.com;helpdesk@ujjivan.com; </v>
      </c>
      <c r="M35" s="62" t="s">
        <v>1058</v>
      </c>
      <c r="N35" s="68" t="str">
        <f t="shared" si="1"/>
        <v xml:space="preserve">Dear Team, Please find attached list of prospect clients for REPEAT GL-LOANS (clients who have taken earlier an GL Loan) for you branch.
Thanks &amp; Regards,
MIS Team
</v>
      </c>
      <c r="O35" s="63" t="s">
        <v>1028</v>
      </c>
      <c r="X35" s="68" t="s">
        <v>3573</v>
      </c>
      <c r="Y35" s="120" t="s">
        <v>4924</v>
      </c>
      <c r="Z35" s="119" t="s">
        <v>3572</v>
      </c>
    </row>
    <row r="36" spans="1:26" ht="15.75" x14ac:dyDescent="0.25">
      <c r="A36" s="64" t="s">
        <v>403</v>
      </c>
      <c r="B36" s="148" t="s">
        <v>462</v>
      </c>
      <c r="C36" s="62" t="s">
        <v>3034</v>
      </c>
      <c r="D36" s="62" t="str">
        <f t="shared" si="2"/>
        <v>ashakiran.tp@ujjivan.com;naveen.malleshappa@ujjivan.com;srinivas.govinda@ujjivan.com;</v>
      </c>
      <c r="E36" s="62" t="s">
        <v>3035</v>
      </c>
      <c r="F36" s="62" t="s">
        <v>4313</v>
      </c>
      <c r="G36" s="62" t="s">
        <v>466</v>
      </c>
      <c r="H36" s="65" t="s">
        <v>406</v>
      </c>
      <c r="I36" s="65" t="s">
        <v>407</v>
      </c>
      <c r="J36" s="67" t="s">
        <v>4401</v>
      </c>
      <c r="K36" s="62" t="str">
        <f>VLOOKUP(B36,Sheet5!$A$1:$H$471,8,0)</f>
        <v>ashakiran.tp@ujjivan.com;naveen.malleshappa@ujjivan.com;moinuddin.m@ujjivan.com;srinivas.govinda@ujjivan.com;shrungeshwara.cn@ujjivan.com;sureshkumar.komali@ujjivan.com;</v>
      </c>
      <c r="L36" s="62" t="str">
        <f>VLOOKUP($B36,Sheet4!$B:$E,4,0)</f>
        <v xml:space="preserve">blr-harihara-branch@ujjivan.com;helpdesk@ujjivan.com; </v>
      </c>
      <c r="M36" s="65" t="s">
        <v>1059</v>
      </c>
      <c r="N36" s="68" t="str">
        <f t="shared" si="1"/>
        <v xml:space="preserve">Dear Team, Please find attached list of prospect clients for REPEAT GL-LOANS (clients who have taken earlier an GL Loan) for you branch.
Thanks &amp; Regards,
MIS Team
</v>
      </c>
      <c r="O36" s="66" t="s">
        <v>1028</v>
      </c>
      <c r="X36" s="68" t="s">
        <v>3573</v>
      </c>
      <c r="Y36" s="120" t="s">
        <v>4924</v>
      </c>
      <c r="Z36" s="119" t="s">
        <v>3572</v>
      </c>
    </row>
    <row r="37" spans="1:26" ht="15.75" x14ac:dyDescent="0.25">
      <c r="A37" s="61" t="s">
        <v>403</v>
      </c>
      <c r="B37" s="147" t="s">
        <v>463</v>
      </c>
      <c r="C37" s="62" t="s">
        <v>464</v>
      </c>
      <c r="D37" s="62" t="str">
        <f t="shared" si="2"/>
        <v>puttaiah.karigowda@ujjivan.com;baskaracharya.km@ujjivan.com;ravichandra.mm@ujjivan.com;</v>
      </c>
      <c r="E37" s="62" t="s">
        <v>465</v>
      </c>
      <c r="F37" s="62" t="s">
        <v>4314</v>
      </c>
      <c r="G37" s="62" t="s">
        <v>427</v>
      </c>
      <c r="H37" s="62" t="s">
        <v>406</v>
      </c>
      <c r="I37" s="62" t="s">
        <v>407</v>
      </c>
      <c r="J37" s="67" t="s">
        <v>4401</v>
      </c>
      <c r="K37" s="62" t="str">
        <f>VLOOKUP(B37,Sheet5!$A$1:$H$471,8,0)</f>
        <v>Sunitha.somashekar@ujjivan.com;baskaracharya.km@ujjivan.com;nagaraju.g@ujjivan.com;ravichandra.mm@ujjivan.com;suresh.poojary@ujjivan.com;padmaprabha.gm@ujjivan.com;</v>
      </c>
      <c r="L37" s="62" t="str">
        <f>VLOOKUP($B37,Sheet4!$B:$E,4,0)</f>
        <v xml:space="preserve">blr-mysorebrindavan-branch@ujjivan.com;helpdesk@ujjivan.com; </v>
      </c>
      <c r="M37" s="62" t="s">
        <v>1060</v>
      </c>
      <c r="N37" s="68" t="str">
        <f t="shared" si="1"/>
        <v xml:space="preserve">Dear Team, Please find attached list of prospect clients for REPEAT GL-LOANS (clients who have taken earlier an GL Loan) for you branch.
Thanks &amp; Regards,
MIS Team
</v>
      </c>
      <c r="O37" s="63" t="s">
        <v>1028</v>
      </c>
      <c r="X37" s="68" t="s">
        <v>3573</v>
      </c>
      <c r="Y37" s="120" t="s">
        <v>4924</v>
      </c>
      <c r="Z37" s="119" t="s">
        <v>3572</v>
      </c>
    </row>
    <row r="38" spans="1:26" ht="15.75" x14ac:dyDescent="0.25">
      <c r="A38" s="64" t="s">
        <v>403</v>
      </c>
      <c r="B38" s="148" t="s">
        <v>467</v>
      </c>
      <c r="C38" s="62" t="s">
        <v>3233</v>
      </c>
      <c r="D38" s="62" t="str">
        <f t="shared" si="2"/>
        <v>mallappa.uppunasi@ujjivan.com;raju.rangappa@ujjivan.com;srinivas.govinda@ujjivan.com;</v>
      </c>
      <c r="E38" s="62" t="s">
        <v>3592</v>
      </c>
      <c r="F38" s="62" t="s">
        <v>4315</v>
      </c>
      <c r="G38" s="62" t="s">
        <v>466</v>
      </c>
      <c r="H38" s="65" t="s">
        <v>406</v>
      </c>
      <c r="I38" s="65" t="s">
        <v>407</v>
      </c>
      <c r="J38" s="67" t="s">
        <v>4401</v>
      </c>
      <c r="K38" s="62" t="str">
        <f>VLOOKUP(B38,Sheet5!$A$1:$H$471,8,0)</f>
        <v>mallappa.uppunasi@ujjivan.com;ravi.naik@ujjivan.com;balakrishna.chottanahalli@ujjivan.com;srinivas.govinda@ujjivan.com;shrungeshwara.cn@ujjivan.com;yathisha.hb@ujjivan.com;</v>
      </c>
      <c r="L38" s="62" t="str">
        <f>VLOOKUP($B38,Sheet4!$B:$E,4,0)</f>
        <v xml:space="preserve">blr-bhadravathi-branch@ujjivan.com;helpdesk@ujjivan.com; </v>
      </c>
      <c r="M38" s="65" t="s">
        <v>1061</v>
      </c>
      <c r="N38" s="68" t="str">
        <f t="shared" si="1"/>
        <v xml:space="preserve">Dear Team, Please find attached list of prospect clients for REPEAT GL-LOANS (clients who have taken earlier an GL Loan) for you branch.
Thanks &amp; Regards,
MIS Team
</v>
      </c>
      <c r="O38" s="66" t="s">
        <v>1028</v>
      </c>
      <c r="X38" s="68" t="s">
        <v>3573</v>
      </c>
      <c r="Y38" s="120" t="s">
        <v>4924</v>
      </c>
      <c r="Z38" s="119" t="s">
        <v>3572</v>
      </c>
    </row>
    <row r="39" spans="1:26" ht="15.75" x14ac:dyDescent="0.25">
      <c r="A39" s="61" t="s">
        <v>403</v>
      </c>
      <c r="B39" s="147" t="s">
        <v>468</v>
      </c>
      <c r="C39" s="62" t="s">
        <v>3234</v>
      </c>
      <c r="D39" s="62" t="str">
        <f t="shared" si="2"/>
        <v>sreenivasa.bb@ujjivan.com;dayananda.narasappa@ujjivan.com;srinivas.govinda@ujjivan.com;</v>
      </c>
      <c r="E39" s="62" t="s">
        <v>450</v>
      </c>
      <c r="F39" s="62" t="s">
        <v>4316</v>
      </c>
      <c r="G39" s="62" t="s">
        <v>466</v>
      </c>
      <c r="H39" s="62" t="s">
        <v>406</v>
      </c>
      <c r="I39" s="62" t="s">
        <v>407</v>
      </c>
      <c r="J39" s="67" t="s">
        <v>4401</v>
      </c>
      <c r="K39" s="62" t="str">
        <f>VLOOKUP(B39,Sheet5!$A$1:$H$471,8,0)</f>
        <v>divya.k@ujjivan.com;dayananda.narasappa@ujjivan.com;balakrishna.chottanahalli@ujjivan.com;srinivas.govinda@ujjivan.com;shrungeshwara.cn@ujjivan.com;yathisha.hb@ujjivan.com;</v>
      </c>
      <c r="L39" s="62" t="str">
        <f>VLOOKUP($B39,Sheet4!$B:$E,4,0)</f>
        <v xml:space="preserve">blr-tiptur-branch@ujjivan.com;helpdesk@ujjivan.com; </v>
      </c>
      <c r="M39" s="62" t="s">
        <v>1062</v>
      </c>
      <c r="N39" s="68" t="str">
        <f t="shared" si="1"/>
        <v xml:space="preserve">Dear Team, Please find attached list of prospect clients for REPEAT GL-LOANS (clients who have taken earlier an GL Loan) for you branch.
Thanks &amp; Regards,
MIS Team
</v>
      </c>
      <c r="O39" s="63" t="s">
        <v>1028</v>
      </c>
      <c r="X39" s="68" t="s">
        <v>3573</v>
      </c>
      <c r="Y39" s="120" t="s">
        <v>4924</v>
      </c>
      <c r="Z39" s="119" t="s">
        <v>3572</v>
      </c>
    </row>
    <row r="40" spans="1:26" ht="15.75" x14ac:dyDescent="0.25">
      <c r="A40" s="64" t="s">
        <v>403</v>
      </c>
      <c r="B40" s="148" t="s">
        <v>469</v>
      </c>
      <c r="C40" s="62" t="s">
        <v>3235</v>
      </c>
      <c r="D40" s="62" t="str">
        <f t="shared" si="2"/>
        <v>khajavali.m@ujjivan.com;shivananda.sv@ujjivan.com;srinivas.govinda@ujjivan.com;</v>
      </c>
      <c r="E40" s="62" t="s">
        <v>487</v>
      </c>
      <c r="F40" s="62" t="s">
        <v>4432</v>
      </c>
      <c r="G40" s="62" t="s">
        <v>466</v>
      </c>
      <c r="H40" s="65"/>
      <c r="I40" s="65" t="s">
        <v>407</v>
      </c>
      <c r="J40" s="67" t="s">
        <v>4401</v>
      </c>
      <c r="K40" s="62" t="str">
        <f>VLOOKUP(B40,Sheet5!$A$1:$H$471,8,0)</f>
        <v>khajavali.m@ujjivan.com;shivananda.sv@ujjivan.com;moinuddin.m@ujjivan.com;srinivas.govinda@ujjivan.com;shrungeshwara.cn@ujjivan.com;sureshkumar.komali@ujjivan.com;</v>
      </c>
      <c r="L40" s="62" t="str">
        <f>VLOOKUP($B40,Sheet4!$B:$E,4,0)</f>
        <v xml:space="preserve">blr-gadag-branch@ujjivan.com;helpdesk@ujjivan.com; </v>
      </c>
      <c r="M40" s="65" t="s">
        <v>1064</v>
      </c>
      <c r="N40" s="68" t="str">
        <f t="shared" si="1"/>
        <v xml:space="preserve">Dear Team, Please find attached list of prospect clients for REPEAT GL-LOANS (clients who have taken earlier an GL Loan) for you branch.
Thanks &amp; Regards,
MIS Team
</v>
      </c>
      <c r="O40" s="66" t="s">
        <v>1028</v>
      </c>
      <c r="X40" s="68" t="s">
        <v>3573</v>
      </c>
      <c r="Y40" s="120" t="s">
        <v>4924</v>
      </c>
      <c r="Z40" s="119" t="s">
        <v>3572</v>
      </c>
    </row>
    <row r="41" spans="1:26" ht="15.75" x14ac:dyDescent="0.25">
      <c r="A41" s="61" t="s">
        <v>403</v>
      </c>
      <c r="B41" s="147" t="s">
        <v>472</v>
      </c>
      <c r="C41" s="62" t="s">
        <v>3236</v>
      </c>
      <c r="D41" s="62" t="str">
        <f t="shared" si="2"/>
        <v>anandhan.pachiyappan@ujjivan.com;-;thiyagu.basavaraj@ujjivan.com;</v>
      </c>
      <c r="E41" s="62" t="s">
        <v>3593</v>
      </c>
      <c r="F41" s="62" t="s">
        <v>3608</v>
      </c>
      <c r="G41" s="62" t="s">
        <v>447</v>
      </c>
      <c r="H41" s="62" t="s">
        <v>409</v>
      </c>
      <c r="I41" s="62" t="s">
        <v>407</v>
      </c>
      <c r="J41" s="67" t="s">
        <v>4401</v>
      </c>
      <c r="K41" s="62" t="str">
        <f>VLOOKUP(B41,Sheet5!$A$1:$H$471,8,0)</f>
        <v>anandhan.pachiyappan@ujjivan.com;rajiv.gandhi@ujjivan.com;sudhakar.babu@ujjivan.com;thiyagu.basavaraj@ujjivan.com;rajaguru.i@ujjivan.com;muralidharan.n@ujjivan.com;</v>
      </c>
      <c r="L41" s="62" t="str">
        <f>VLOOKUP($B41,Sheet4!$B:$E,4,0)</f>
        <v xml:space="preserve">blr-dharmapuri-branch@ujjivan.com;helpdesk@ujjivan.com; </v>
      </c>
      <c r="M41" s="62" t="s">
        <v>1065</v>
      </c>
      <c r="N41" s="68" t="str">
        <f t="shared" si="1"/>
        <v xml:space="preserve">Dear Team, Please find attached list of prospect clients for REPEAT GL-LOANS (clients who have taken earlier an GL Loan) for you branch.
Thanks &amp; Regards,
MIS Team
</v>
      </c>
      <c r="O41" s="63" t="s">
        <v>1028</v>
      </c>
      <c r="X41" s="68" t="s">
        <v>3573</v>
      </c>
      <c r="Y41" s="120" t="s">
        <v>4924</v>
      </c>
      <c r="Z41" s="119" t="s">
        <v>3572</v>
      </c>
    </row>
    <row r="42" spans="1:26" ht="15.75" x14ac:dyDescent="0.25">
      <c r="A42" s="64" t="s">
        <v>403</v>
      </c>
      <c r="B42" s="148" t="s">
        <v>474</v>
      </c>
      <c r="C42" s="62" t="s">
        <v>475</v>
      </c>
      <c r="D42" s="62" t="str">
        <f t="shared" si="2"/>
        <v>narasimhaiah.yg@ujjivan.com;manohara.gr@ujjivan.com;ravichandra.mm@ujjivan.com;</v>
      </c>
      <c r="E42" s="62" t="s">
        <v>476</v>
      </c>
      <c r="F42" s="62" t="s">
        <v>4318</v>
      </c>
      <c r="G42" s="62" t="s">
        <v>427</v>
      </c>
      <c r="H42" s="65" t="s">
        <v>409</v>
      </c>
      <c r="I42" s="65" t="s">
        <v>407</v>
      </c>
      <c r="J42" s="67" t="s">
        <v>4401</v>
      </c>
      <c r="K42" s="62" t="str">
        <f>VLOOKUP(B42,Sheet5!$A$1:$H$471,8,0)</f>
        <v>narasimhaiah.yg@ujjivan.com;manohara.gr@ujjivan.com;narasimha.murthy@ujjivan.com;ravichandra.mm@ujjivan.com;umamaheswari.s@ujjivan.com;allisab.j@ujjivan.com;</v>
      </c>
      <c r="L42" s="62" t="str">
        <f>VLOOKUP($B42,Sheet4!$B:$E,4,0)</f>
        <v xml:space="preserve">blr-chintamani-branch@ujjivan.com;helpdesk@ujjivan.com; </v>
      </c>
      <c r="M42" s="65" t="s">
        <v>1066</v>
      </c>
      <c r="N42" s="68" t="str">
        <f t="shared" si="1"/>
        <v xml:space="preserve">Dear Team, Please find attached list of prospect clients for REPEAT GL-LOANS (clients who have taken earlier an GL Loan) for you branch.
Thanks &amp; Regards,
MIS Team
</v>
      </c>
      <c r="O42" s="66" t="s">
        <v>1028</v>
      </c>
      <c r="X42" s="68" t="s">
        <v>3573</v>
      </c>
      <c r="Y42" s="120" t="s">
        <v>4924</v>
      </c>
      <c r="Z42" s="119" t="s">
        <v>3572</v>
      </c>
    </row>
    <row r="43" spans="1:26" ht="15.75" x14ac:dyDescent="0.25">
      <c r="A43" s="61" t="s">
        <v>403</v>
      </c>
      <c r="B43" s="147" t="s">
        <v>477</v>
      </c>
      <c r="C43" s="62" t="s">
        <v>3237</v>
      </c>
      <c r="D43" s="62" t="str">
        <f t="shared" si="2"/>
        <v>anilkumar.hanumantaraya@ujjivan.com;vijay.sudharshan@ujjivan.com;sachinkumar.kb@ujjivan.com;</v>
      </c>
      <c r="E43" s="62" t="s">
        <v>3594</v>
      </c>
      <c r="F43" s="62" t="s">
        <v>4433</v>
      </c>
      <c r="G43" s="62" t="s">
        <v>405</v>
      </c>
      <c r="H43" s="62" t="s">
        <v>409</v>
      </c>
      <c r="I43" s="62" t="s">
        <v>407</v>
      </c>
      <c r="J43" s="67" t="s">
        <v>4401</v>
      </c>
      <c r="K43" s="62" t="str">
        <f>VLOOKUP(B43,Sheet5!$A$1:$H$471,8,0)</f>
        <v>anilkumar.hanumantaraya@ujjivan.com;vijay.sudharshan@ujjivan.com;sandeep.jain@ujjivan.com;sachinkumar.kb@ujjivan.com;umamaheswari.s@ujjivan.com;anand.rajkumar@ujjivan.com;</v>
      </c>
      <c r="L43" s="62" t="str">
        <f>VLOOKUP($B43,Sheet4!$B:$E,4,0)</f>
        <v xml:space="preserve">blr-devaiahpark-branch@ujjivan.com;helpdesk@ujjivan.com; </v>
      </c>
      <c r="M43" s="62" t="s">
        <v>1067</v>
      </c>
      <c r="N43" s="68" t="str">
        <f t="shared" si="1"/>
        <v xml:space="preserve">Dear Team, Please find attached list of prospect clients for REPEAT GL-LOANS (clients who have taken earlier an GL Loan) for you branch.
Thanks &amp; Regards,
MIS Team
</v>
      </c>
      <c r="O43" s="63" t="s">
        <v>1028</v>
      </c>
      <c r="X43" s="68" t="s">
        <v>3573</v>
      </c>
      <c r="Y43" s="120" t="s">
        <v>4924</v>
      </c>
      <c r="Z43" s="119" t="s">
        <v>3572</v>
      </c>
    </row>
    <row r="44" spans="1:26" ht="15.75" x14ac:dyDescent="0.25">
      <c r="A44" s="64" t="s">
        <v>403</v>
      </c>
      <c r="B44" s="148" t="s">
        <v>478</v>
      </c>
      <c r="C44" s="62" t="s">
        <v>3238</v>
      </c>
      <c r="D44" s="62" t="str">
        <f t="shared" si="2"/>
        <v>eranna.mudenoor@ujjivan.com;basavaraju.md@ujjivan.com;srinivas.govinda@ujjivan.com;</v>
      </c>
      <c r="E44" s="62" t="s">
        <v>3595</v>
      </c>
      <c r="F44" s="62" t="s">
        <v>4320</v>
      </c>
      <c r="G44" s="62" t="s">
        <v>466</v>
      </c>
      <c r="H44" s="65" t="s">
        <v>406</v>
      </c>
      <c r="I44" s="65" t="s">
        <v>407</v>
      </c>
      <c r="J44" s="67" t="s">
        <v>4401</v>
      </c>
      <c r="K44" s="62" t="str">
        <f>VLOOKUP(B44,Sheet5!$A$1:$H$471,8,0)</f>
        <v>sangamesha.basavaraj@ujjivan.com;basavaraju.md@ujjivan.com;balakrishna.chottanahalli@ujjivan.com;srinivas.govinda@ujjivan.com;shrungeshwara.cn@ujjivan.com;yathisha.hb@ujjivan.com;</v>
      </c>
      <c r="L44" s="62" t="str">
        <f>VLOOKUP($B44,Sheet4!$B:$E,4,0)</f>
        <v xml:space="preserve">blr-challakere-branch@ujjivan.com;helpdesk@ujjivan.com; </v>
      </c>
      <c r="M44" s="65" t="s">
        <v>1068</v>
      </c>
      <c r="N44" s="68" t="str">
        <f t="shared" si="1"/>
        <v xml:space="preserve">Dear Team, Please find attached list of prospect clients for REPEAT GL-LOANS (clients who have taken earlier an GL Loan) for you branch.
Thanks &amp; Regards,
MIS Team
</v>
      </c>
      <c r="O44" s="66" t="s">
        <v>1028</v>
      </c>
      <c r="X44" s="68" t="s">
        <v>3573</v>
      </c>
      <c r="Y44" s="120" t="s">
        <v>4924</v>
      </c>
      <c r="Z44" s="119" t="s">
        <v>3572</v>
      </c>
    </row>
    <row r="45" spans="1:26" ht="15.75" x14ac:dyDescent="0.25">
      <c r="A45" s="61" t="s">
        <v>403</v>
      </c>
      <c r="B45" s="147" t="s">
        <v>850</v>
      </c>
      <c r="C45" s="62" t="s">
        <v>3239</v>
      </c>
      <c r="D45" s="62" t="str">
        <f t="shared" si="2"/>
        <v>emmanuel.gnanaseelan@ujjivan.com;suresh.murugan@ujjivan.com;thiyagu.basavaraj@ujjivan.com;</v>
      </c>
      <c r="E45" s="62" t="s">
        <v>3596</v>
      </c>
      <c r="F45" s="62" t="s">
        <v>4321</v>
      </c>
      <c r="G45" s="62" t="s">
        <v>447</v>
      </c>
      <c r="H45" s="62" t="s">
        <v>409</v>
      </c>
      <c r="I45" s="62" t="s">
        <v>407</v>
      </c>
      <c r="J45" s="67" t="s">
        <v>4401</v>
      </c>
      <c r="K45" s="62" t="str">
        <f>VLOOKUP(B45,Sheet5!$A$1:$H$471,8,0)</f>
        <v>muthuraman.a@ujjivan.com;arun.r@ujjivan.com;bharath.m@ujjivan.com;thiyagu.basavaraj@ujjivan.com;rajaguru.i@ujjivan.com;arasu.sokkalingam@ujjivan.com;</v>
      </c>
      <c r="L45" s="62" t="str">
        <f>VLOOKUP($B45,Sheet4!$B:$E,4,0)</f>
        <v xml:space="preserve">tn-vaniambadi-branch@ujjivan.com;helpdesk@ujjivan.com; </v>
      </c>
      <c r="M45" s="62" t="s">
        <v>1069</v>
      </c>
      <c r="N45" s="68" t="str">
        <f t="shared" si="1"/>
        <v xml:space="preserve">Dear Team, Please find attached list of prospect clients for REPEAT GL-LOANS (clients who have taken earlier an GL Loan) for you branch.
Thanks &amp; Regards,
MIS Team
</v>
      </c>
      <c r="O45" s="63" t="s">
        <v>1028</v>
      </c>
      <c r="X45" s="68" t="s">
        <v>3573</v>
      </c>
      <c r="Y45" s="120" t="s">
        <v>4924</v>
      </c>
      <c r="Z45" s="119" t="s">
        <v>3572</v>
      </c>
    </row>
    <row r="46" spans="1:26" ht="15.75" x14ac:dyDescent="0.25">
      <c r="A46" s="64" t="s">
        <v>403</v>
      </c>
      <c r="B46" s="148" t="s">
        <v>479</v>
      </c>
      <c r="C46" s="62" t="s">
        <v>3240</v>
      </c>
      <c r="D46" s="62" t="str">
        <f t="shared" si="2"/>
        <v>chandrashekar.k@ujjivan.com;prahallad.k@ujjivan.com;ravichandra.mm@ujjivan.com;</v>
      </c>
      <c r="E46" s="62" t="s">
        <v>554</v>
      </c>
      <c r="F46" s="62" t="s">
        <v>4322</v>
      </c>
      <c r="G46" s="62" t="s">
        <v>427</v>
      </c>
      <c r="H46" s="65" t="s">
        <v>406</v>
      </c>
      <c r="I46" s="65" t="s">
        <v>407</v>
      </c>
      <c r="J46" s="67" t="s">
        <v>4401</v>
      </c>
      <c r="K46" s="62" t="str">
        <f>VLOOKUP(B46,Sheet5!$A$1:$H$471,8,0)</f>
        <v>chandrashekar.k@ujjivan.com;manjunatha.r@ujjivan.com;nagaraju.g@ujjivan.com;ravichandra.mm@ujjivan.com;suresh.poojary@ujjivan.com;naveen.upadhye@ujjvan.com;</v>
      </c>
      <c r="L46" s="62" t="str">
        <f>VLOOKUP($B46,Sheet4!$B:$E,4,0)</f>
        <v xml:space="preserve">blr-nanjangud-branch@ujjivan.com;helpdesk@ujjivan.com; </v>
      </c>
      <c r="M46" s="65" t="s">
        <v>1070</v>
      </c>
      <c r="N46" s="68" t="str">
        <f t="shared" si="1"/>
        <v xml:space="preserve">Dear Team, Please find attached list of prospect clients for REPEAT GL-LOANS (clients who have taken earlier an GL Loan) for you branch.
Thanks &amp; Regards,
MIS Team
</v>
      </c>
      <c r="O46" s="66" t="s">
        <v>1028</v>
      </c>
      <c r="X46" s="68" t="s">
        <v>3573</v>
      </c>
      <c r="Y46" s="120" t="s">
        <v>4924</v>
      </c>
      <c r="Z46" s="119" t="s">
        <v>3572</v>
      </c>
    </row>
    <row r="47" spans="1:26" ht="15.75" x14ac:dyDescent="0.25">
      <c r="A47" s="61" t="s">
        <v>403</v>
      </c>
      <c r="B47" s="147" t="s">
        <v>481</v>
      </c>
      <c r="C47" s="62" t="s">
        <v>3241</v>
      </c>
      <c r="D47" s="62" t="str">
        <f t="shared" si="2"/>
        <v>thrinesh.kumar@ujjivan.com;measak.kirubhakaran@ujjivan.com;thiyagu.basavaraj@ujjivan.com;</v>
      </c>
      <c r="E47" s="62" t="s">
        <v>3597</v>
      </c>
      <c r="F47" s="62" t="s">
        <v>4323</v>
      </c>
      <c r="G47" s="62" t="s">
        <v>447</v>
      </c>
      <c r="H47" s="62" t="s">
        <v>409</v>
      </c>
      <c r="I47" s="62" t="s">
        <v>407</v>
      </c>
      <c r="J47" s="67" t="s">
        <v>4401</v>
      </c>
      <c r="K47" s="62" t="str">
        <f>VLOOKUP(B47,Sheet5!$A$1:$H$471,8,0)</f>
        <v>manjunatha.ca@ujjivan.com;measak.kirubhakaran@ujjivan.com;sudhakar.babu@ujjivan.com;thiyagu.basavaraj@ujjivan.com;rajaguru.i@ujjivan.com;muralidharan.n@ujjivan.com;</v>
      </c>
      <c r="L47" s="62" t="str">
        <f>VLOOKUP($B47,Sheet4!$B:$E,4,0)</f>
        <v xml:space="preserve">tn-palacode-branch@ujjivan.com;helpdesk@ujjivan.com; </v>
      </c>
      <c r="M47" s="62" t="s">
        <v>1071</v>
      </c>
      <c r="N47" s="68" t="str">
        <f t="shared" si="1"/>
        <v xml:space="preserve">Dear Team, Please find attached list of prospect clients for REPEAT GL-LOANS (clients who have taken earlier an GL Loan) for you branch.
Thanks &amp; Regards,
MIS Team
</v>
      </c>
      <c r="O47" s="63" t="s">
        <v>1028</v>
      </c>
      <c r="X47" s="68" t="s">
        <v>3573</v>
      </c>
      <c r="Y47" s="120" t="s">
        <v>4924</v>
      </c>
      <c r="Z47" s="119" t="s">
        <v>3572</v>
      </c>
    </row>
    <row r="48" spans="1:26" ht="15.75" x14ac:dyDescent="0.25">
      <c r="A48" s="64" t="s">
        <v>403</v>
      </c>
      <c r="B48" s="148" t="s">
        <v>482</v>
      </c>
      <c r="C48" s="62" t="s">
        <v>483</v>
      </c>
      <c r="D48" s="62" t="str">
        <f t="shared" si="2"/>
        <v>vasanthkumar.e@ujjivan.com;shankar.hg@ujjivan.com;srinivas.govinda@ujjivan.com;</v>
      </c>
      <c r="E48" s="62" t="s">
        <v>484</v>
      </c>
      <c r="F48" s="62" t="s">
        <v>4324</v>
      </c>
      <c r="G48" s="62" t="s">
        <v>466</v>
      </c>
      <c r="H48" s="65" t="s">
        <v>406</v>
      </c>
      <c r="I48" s="65" t="s">
        <v>407</v>
      </c>
      <c r="J48" s="67" t="s">
        <v>4401</v>
      </c>
      <c r="K48" s="62" t="str">
        <f>VLOOKUP(B48,Sheet5!$A$1:$H$471,8,0)</f>
        <v>vasanthkumar.e@ujjivan.com;shankar.hg@ujjivan.com;balakrishna.chottanahalli@ujjivan.com;srinivas.govinda@ujjivan.com;shrungeshwara.cn@ujjivan.com;yathisha.hb@ujjivan.com;</v>
      </c>
      <c r="L48" s="62" t="str">
        <f>VLOOKUP($B48,Sheet4!$B:$E,4,0)</f>
        <v xml:space="preserve">blr-sira-branch@ujjivan.com;helpdesk@ujjivan.com; </v>
      </c>
      <c r="M48" s="65" t="s">
        <v>1072</v>
      </c>
      <c r="N48" s="68" t="str">
        <f t="shared" si="1"/>
        <v xml:space="preserve">Dear Team, Please find attached list of prospect clients for REPEAT GL-LOANS (clients who have taken earlier an GL Loan) for you branch.
Thanks &amp; Regards,
MIS Team
</v>
      </c>
      <c r="O48" s="66" t="s">
        <v>1028</v>
      </c>
      <c r="X48" s="68" t="s">
        <v>3573</v>
      </c>
      <c r="Y48" s="120" t="s">
        <v>4924</v>
      </c>
      <c r="Z48" s="119" t="s">
        <v>3572</v>
      </c>
    </row>
    <row r="49" spans="1:26" ht="15.75" x14ac:dyDescent="0.25">
      <c r="A49" s="61" t="s">
        <v>403</v>
      </c>
      <c r="B49" s="147" t="s">
        <v>485</v>
      </c>
      <c r="C49" s="62" t="s">
        <v>3242</v>
      </c>
      <c r="D49" s="62" t="str">
        <f t="shared" si="2"/>
        <v>gopinath.bs@ujjivan.com;ramajayam.b@ujjivan.com;sachinkumar.kb@ujjivan.com;</v>
      </c>
      <c r="E49" s="62" t="s">
        <v>3598</v>
      </c>
      <c r="F49" s="62" t="s">
        <v>4325</v>
      </c>
      <c r="G49" s="62" t="s">
        <v>405</v>
      </c>
      <c r="H49" s="62" t="s">
        <v>406</v>
      </c>
      <c r="I49" s="62" t="s">
        <v>407</v>
      </c>
      <c r="J49" s="67" t="s">
        <v>4401</v>
      </c>
      <c r="K49" s="62" t="str">
        <f>VLOOKUP(B49,Sheet5!$A$1:$H$471,8,0)</f>
        <v>raju.kr@ujjivan.com;ramajayam.b@ujjivan.com;vijaykumar.g@ujjivan.com;sachinkumar.kb@ujjivan.com;shekhar.poojary@ujjivan.com;kirankumar.ks@ujjivan.com;</v>
      </c>
      <c r="L49" s="62" t="str">
        <f>VLOOKUP($B49,Sheet4!$B:$E,4,0)</f>
        <v xml:space="preserve">blr-dommasandra-branch@ujjivan.com;helpdesk@ujjivan.com; </v>
      </c>
      <c r="M49" s="62" t="s">
        <v>1073</v>
      </c>
      <c r="N49" s="68" t="str">
        <f t="shared" si="1"/>
        <v xml:space="preserve">Dear Team, Please find attached list of prospect clients for REPEAT GL-LOANS (clients who have taken earlier an GL Loan) for you branch.
Thanks &amp; Regards,
MIS Team
</v>
      </c>
      <c r="O49" s="63" t="s">
        <v>1028</v>
      </c>
      <c r="X49" s="68" t="s">
        <v>3573</v>
      </c>
      <c r="Y49" s="120" t="s">
        <v>4924</v>
      </c>
      <c r="Z49" s="119" t="s">
        <v>3572</v>
      </c>
    </row>
    <row r="50" spans="1:26" ht="15.75" x14ac:dyDescent="0.25">
      <c r="A50" s="64" t="s">
        <v>403</v>
      </c>
      <c r="B50" s="148" t="s">
        <v>486</v>
      </c>
      <c r="C50" s="62" t="s">
        <v>3243</v>
      </c>
      <c r="D50" s="62" t="str">
        <f t="shared" si="2"/>
        <v>mallappa.balaraddi@ujjivan.com;prashant.hattiholi@ujjivan.com;srinivas.govinda@ujjivan.com;</v>
      </c>
      <c r="E50" s="62" t="s">
        <v>3599</v>
      </c>
      <c r="F50" s="62" t="s">
        <v>4434</v>
      </c>
      <c r="G50" s="62" t="s">
        <v>466</v>
      </c>
      <c r="H50" s="65"/>
      <c r="I50" s="65" t="s">
        <v>407</v>
      </c>
      <c r="J50" s="67" t="s">
        <v>4401</v>
      </c>
      <c r="K50" s="62" t="str">
        <f>VLOOKUP(B50,Sheet5!$A$1:$H$471,8,0)</f>
        <v>mallappa.balaraddi@ujjivan.com;prashant.hattiholi@ujjivan.com;basavaraj.yadoor@ujjivan.com;srinivas.govinda@ujjivan.com;shrungeshwara.cn@ujjivan.com;sureshkumar.komali@ujjivan.com;</v>
      </c>
      <c r="L50" s="62" t="str">
        <f>VLOOKUP($B50,Sheet4!$B:$E,4,0)</f>
        <v xml:space="preserve">blr-bailhongal-branch@ujjivan.com;helpdesk@ujjivan.com; </v>
      </c>
      <c r="M50" s="65" t="s">
        <v>1074</v>
      </c>
      <c r="N50" s="68" t="str">
        <f t="shared" si="1"/>
        <v xml:space="preserve">Dear Team, Please find attached list of prospect clients for REPEAT GL-LOANS (clients who have taken earlier an GL Loan) for you branch.
Thanks &amp; Regards,
MIS Team
</v>
      </c>
      <c r="O50" s="66" t="s">
        <v>1028</v>
      </c>
      <c r="X50" s="68" t="s">
        <v>3573</v>
      </c>
      <c r="Y50" s="120" t="s">
        <v>4924</v>
      </c>
      <c r="Z50" s="119" t="s">
        <v>3572</v>
      </c>
    </row>
    <row r="51" spans="1:26" ht="15.75" x14ac:dyDescent="0.25">
      <c r="A51" s="61" t="s">
        <v>403</v>
      </c>
      <c r="B51" s="147" t="s">
        <v>488</v>
      </c>
      <c r="C51" s="62" t="s">
        <v>848</v>
      </c>
      <c r="D51" s="62" t="str">
        <f t="shared" si="2"/>
        <v>shivanand.deshanur@ujjivan.com;ramesh.dasar@ujjivan.com;srinivas.govinda@ujjivan.com;</v>
      </c>
      <c r="E51" s="62" t="s">
        <v>3600</v>
      </c>
      <c r="F51" s="62" t="s">
        <v>4327</v>
      </c>
      <c r="G51" s="62" t="s">
        <v>466</v>
      </c>
      <c r="H51" s="62"/>
      <c r="I51" s="62" t="s">
        <v>407</v>
      </c>
      <c r="J51" s="67" t="s">
        <v>4401</v>
      </c>
      <c r="K51" s="62" t="str">
        <f>VLOOKUP(B51,Sheet5!$A$1:$H$471,8,0)</f>
        <v>shivanand.deshanur@ujjivan.com;ramesh.dasar@ujjivan.com;basavaraj.yadoor@ujjivan.com;srinivas.govinda@ujjivan.com;shrungeshwara.cn@ujjivan.com;sureshkumar.komali@ujjivan.com;</v>
      </c>
      <c r="L51" s="62" t="str">
        <f>VLOOKUP($B51,Sheet4!$B:$E,4,0)</f>
        <v xml:space="preserve">blr-gokak-branch@ujjivan.com;helpdesk@ujjivan.com; </v>
      </c>
      <c r="M51" s="62" t="s">
        <v>1075</v>
      </c>
      <c r="N51" s="68" t="str">
        <f t="shared" si="1"/>
        <v xml:space="preserve">Dear Team, Please find attached list of prospect clients for REPEAT GL-LOANS (clients who have taken earlier an GL Loan) for you branch.
Thanks &amp; Regards,
MIS Team
</v>
      </c>
      <c r="O51" s="63" t="s">
        <v>1028</v>
      </c>
      <c r="X51" s="68" t="s">
        <v>3573</v>
      </c>
      <c r="Y51" s="120" t="s">
        <v>4924</v>
      </c>
      <c r="Z51" s="119" t="s">
        <v>3572</v>
      </c>
    </row>
    <row r="52" spans="1:26" ht="15.75" x14ac:dyDescent="0.25">
      <c r="A52" s="64" t="s">
        <v>403</v>
      </c>
      <c r="B52" s="148" t="s">
        <v>490</v>
      </c>
      <c r="C52" s="62" t="s">
        <v>851</v>
      </c>
      <c r="D52" s="62" t="str">
        <f t="shared" si="2"/>
        <v>govind.malagimani@ujjivan.com;sabanna.telasang@ujjivan.com;srinivas.govinda@ujjivan.com;</v>
      </c>
      <c r="E52" s="62" t="s">
        <v>852</v>
      </c>
      <c r="F52" s="62" t="s">
        <v>4329</v>
      </c>
      <c r="G52" s="62" t="s">
        <v>466</v>
      </c>
      <c r="H52" s="65"/>
      <c r="I52" s="65" t="s">
        <v>407</v>
      </c>
      <c r="J52" s="67" t="s">
        <v>4401</v>
      </c>
      <c r="K52" s="62" t="str">
        <f>VLOOKUP(B52,Sheet5!$A$1:$H$471,8,0)</f>
        <v>govind.malagimani@ujjivan.com;sabanna.telasang@ujjivan.com;basavaraj.yadoor@ujjivan.com;srinivas.govinda@ujjivan.com;shekhar.poojary@ujjivan.com;basantakumar.pasupalak@ujjivan.com;</v>
      </c>
      <c r="L52" s="62" t="str">
        <f>VLOOKUP($B52,Sheet4!$B:$E,4,0)</f>
        <v xml:space="preserve">blr-athani-branch@ujjivan.com;helpdesk@ujjivan.com; </v>
      </c>
      <c r="M52" s="65" t="s">
        <v>1076</v>
      </c>
      <c r="N52" s="68" t="str">
        <f t="shared" si="1"/>
        <v xml:space="preserve">Dear Team, Please find attached list of prospect clients for REPEAT GL-LOANS (clients who have taken earlier an GL Loan) for you branch.
Thanks &amp; Regards,
MIS Team
</v>
      </c>
      <c r="O52" s="66" t="s">
        <v>1028</v>
      </c>
      <c r="X52" s="68" t="s">
        <v>3573</v>
      </c>
      <c r="Y52" s="120" t="s">
        <v>4924</v>
      </c>
      <c r="Z52" s="119" t="s">
        <v>3572</v>
      </c>
    </row>
    <row r="53" spans="1:26" ht="15.75" x14ac:dyDescent="0.25">
      <c r="A53" s="61" t="s">
        <v>403</v>
      </c>
      <c r="B53" s="147" t="s">
        <v>491</v>
      </c>
      <c r="C53" s="62" t="s">
        <v>3244</v>
      </c>
      <c r="D53" s="62" t="str">
        <f t="shared" si="2"/>
        <v>kiran.kumar@ujjivan.com;kamala.v@ujjivan.com;sachinkumar.kb@ujjivan.com;</v>
      </c>
      <c r="E53" s="62" t="s">
        <v>3601</v>
      </c>
      <c r="F53" s="62" t="s">
        <v>4331</v>
      </c>
      <c r="G53" s="62" t="s">
        <v>405</v>
      </c>
      <c r="H53" s="62" t="s">
        <v>409</v>
      </c>
      <c r="I53" s="62" t="s">
        <v>407</v>
      </c>
      <c r="J53" s="67" t="s">
        <v>4401</v>
      </c>
      <c r="K53" s="62" t="str">
        <f>VLOOKUP(B53,Sheet5!$A$1:$H$471,8,0)</f>
        <v>gnanesh.chandrashekar@ujjivan.com;kamala.v@ujjivan.com;sandeep.jain@ujjivan.com;sachinkumar.kb@ujjivan.com;shekhar.poojary@ujjivan.com;vineethkumar.v@ujjivan.com;</v>
      </c>
      <c r="L53" s="62" t="str">
        <f>VLOOKUP($B53,Sheet4!$B:$E,4,0)</f>
        <v xml:space="preserve">blr-chikbannavara-branch@ujjivan.com;helpdesk@ujjivan.com; </v>
      </c>
      <c r="M53" s="62" t="s">
        <v>1077</v>
      </c>
      <c r="N53" s="68" t="str">
        <f t="shared" si="1"/>
        <v xml:space="preserve">Dear Team, Please find attached list of prospect clients for REPEAT GL-LOANS (clients who have taken earlier an GL Loan) for you branch.
Thanks &amp; Regards,
MIS Team
</v>
      </c>
      <c r="O53" s="63" t="s">
        <v>1028</v>
      </c>
      <c r="X53" s="68" t="s">
        <v>3573</v>
      </c>
      <c r="Y53" s="120" t="s">
        <v>4924</v>
      </c>
      <c r="Z53" s="119" t="s">
        <v>3572</v>
      </c>
    </row>
    <row r="54" spans="1:26" ht="15.75" x14ac:dyDescent="0.25">
      <c r="A54" s="64" t="s">
        <v>403</v>
      </c>
      <c r="B54" s="148" t="s">
        <v>492</v>
      </c>
      <c r="C54" s="62" t="s">
        <v>3245</v>
      </c>
      <c r="D54" s="62" t="str">
        <f t="shared" si="2"/>
        <v>prabakaran.mk@ujjivan.com;gomathi.thangaraj@ujjivan.com;thiyagu.basavaraj@ujjivan.com;</v>
      </c>
      <c r="E54" s="62" t="s">
        <v>3602</v>
      </c>
      <c r="F54" s="62" t="s">
        <v>4435</v>
      </c>
      <c r="G54" s="62" t="s">
        <v>447</v>
      </c>
      <c r="H54" s="65" t="s">
        <v>409</v>
      </c>
      <c r="I54" s="65" t="s">
        <v>407</v>
      </c>
      <c r="J54" s="67" t="s">
        <v>4401</v>
      </c>
      <c r="K54" s="62" t="str">
        <f>VLOOKUP(B54,Sheet5!$A$1:$H$471,8,0)</f>
        <v>prabakaran.mk@ujjivan.com;gomathi.thangaraj@ujjivan.com;sudhakar.babu@ujjivan.com;thiyagu.basavaraj@ujjivan.com;rajaguru.i@ujjivan.com;muralidharan.n@ujjivan.com;</v>
      </c>
      <c r="L54" s="62" t="str">
        <f>VLOOKUP($B54,Sheet4!$B:$E,4,0)</f>
        <v xml:space="preserve">tn-erode-branch@ujjivan.com ;helpdesk@ujjivan.com; </v>
      </c>
      <c r="M54" s="65" t="s">
        <v>1078</v>
      </c>
      <c r="N54" s="68" t="str">
        <f t="shared" si="1"/>
        <v xml:space="preserve">Dear Team, Please find attached list of prospect clients for REPEAT GL-LOANS (clients who have taken earlier an GL Loan) for you branch.
Thanks &amp; Regards,
MIS Team
</v>
      </c>
      <c r="O54" s="66" t="s">
        <v>1028</v>
      </c>
      <c r="X54" s="68" t="s">
        <v>3573</v>
      </c>
      <c r="Y54" s="120" t="s">
        <v>4924</v>
      </c>
      <c r="Z54" s="119" t="s">
        <v>3572</v>
      </c>
    </row>
    <row r="55" spans="1:26" ht="15.75" x14ac:dyDescent="0.25">
      <c r="A55" s="61" t="s">
        <v>403</v>
      </c>
      <c r="B55" s="147" t="s">
        <v>494</v>
      </c>
      <c r="C55" s="62" t="s">
        <v>3246</v>
      </c>
      <c r="D55" s="62" t="str">
        <f t="shared" si="2"/>
        <v>gokula.kannan@ujjivan.com;parvathraj.t@ujjivan.com;thiyagu.basavaraj@ujjivan.com;</v>
      </c>
      <c r="E55" s="62" t="s">
        <v>3603</v>
      </c>
      <c r="F55" s="62" t="s">
        <v>4333</v>
      </c>
      <c r="G55" s="62" t="s">
        <v>447</v>
      </c>
      <c r="H55" s="62" t="s">
        <v>409</v>
      </c>
      <c r="I55" s="62" t="s">
        <v>407</v>
      </c>
      <c r="J55" s="67" t="s">
        <v>4401</v>
      </c>
      <c r="K55" s="62" t="str">
        <f>VLOOKUP(B55,Sheet5!$A$1:$H$471,8,0)</f>
        <v>gokula.kannan@ujjivan.com;parvathraj.t@ujjivan.com;bharath.m@ujjivan.com;thiyagu.basavaraj@ujjivan.com;rajaguru.i@ujjivan.com;arasu.sokkalingam@ujjivan.com;</v>
      </c>
      <c r="L55" s="62" t="str">
        <f>VLOOKUP($B55,Sheet4!$B:$E,4,0)</f>
        <v xml:space="preserve">tn-thiruvanamalai-branch@ujjivan.com;helpdesk@ujjivan.com; </v>
      </c>
      <c r="M55" s="62" t="s">
        <v>1079</v>
      </c>
      <c r="N55" s="68" t="str">
        <f t="shared" si="1"/>
        <v xml:space="preserve">Dear Team, Please find attached list of prospect clients for REPEAT GL-LOANS (clients who have taken earlier an GL Loan) for you branch.
Thanks &amp; Regards,
MIS Team
</v>
      </c>
      <c r="O55" s="63" t="s">
        <v>1028</v>
      </c>
      <c r="X55" s="68" t="s">
        <v>3573</v>
      </c>
      <c r="Y55" s="120" t="s">
        <v>4924</v>
      </c>
      <c r="Z55" s="119" t="s">
        <v>3572</v>
      </c>
    </row>
    <row r="56" spans="1:26" ht="15.75" x14ac:dyDescent="0.25">
      <c r="A56" s="64" t="s">
        <v>403</v>
      </c>
      <c r="B56" s="148" t="s">
        <v>495</v>
      </c>
      <c r="C56" s="62" t="s">
        <v>3247</v>
      </c>
      <c r="D56" s="62" t="str">
        <f t="shared" si="2"/>
        <v>nandhakumar.m@ujjivan.com;ramakrishnan.r@ujjivan.com;sridharan.manoharan@ujjivan.com;</v>
      </c>
      <c r="E56" s="62" t="s">
        <v>2687</v>
      </c>
      <c r="F56" s="62" t="s">
        <v>4436</v>
      </c>
      <c r="G56" s="62" t="s">
        <v>497</v>
      </c>
      <c r="H56" s="65" t="s">
        <v>498</v>
      </c>
      <c r="I56" s="65" t="s">
        <v>407</v>
      </c>
      <c r="J56" s="67" t="s">
        <v>4401</v>
      </c>
      <c r="K56" s="62" t="str">
        <f>VLOOKUP(B56,Sheet5!$A$1:$H$471,8,0)</f>
        <v>nandhakumar.m@ujjivan.com;ramakrishnan.r@ujjivan.com;sivakumar.h@ujjivan.com;sridharan.manoharan@ujjivan.com;boopathy.p@ujjivan.com;anand.ravindran@ujjivan.com;</v>
      </c>
      <c r="L56" s="62" t="str">
        <f>VLOOKUP($B56,Sheet4!$B:$E,4,0)</f>
        <v xml:space="preserve">tn-rspuram.coimbatore-branch@ujjivan.com;helpdesk@ujjivan.com; </v>
      </c>
      <c r="M56" s="65" t="s">
        <v>1080</v>
      </c>
      <c r="N56" s="68" t="str">
        <f t="shared" si="1"/>
        <v xml:space="preserve">Dear Team, Please find attached list of prospect clients for REPEAT GL-LOANS (clients who have taken earlier an GL Loan) for you branch.
Thanks &amp; Regards,
MIS Team
</v>
      </c>
      <c r="O56" s="66" t="s">
        <v>1028</v>
      </c>
      <c r="X56" s="68" t="s">
        <v>3573</v>
      </c>
      <c r="Y56" s="120" t="s">
        <v>4924</v>
      </c>
      <c r="Z56" s="119" t="s">
        <v>3572</v>
      </c>
    </row>
    <row r="57" spans="1:26" ht="15.75" x14ac:dyDescent="0.25">
      <c r="A57" s="61" t="s">
        <v>403</v>
      </c>
      <c r="B57" s="147" t="s">
        <v>499</v>
      </c>
      <c r="C57" s="62" t="s">
        <v>3248</v>
      </c>
      <c r="D57" s="62" t="str">
        <f t="shared" si="2"/>
        <v>mahakrishnan.a@ujjivan.com;manjunatha.ca@ujjivan.com;thiyagu.basavaraj@ujjivan.com;</v>
      </c>
      <c r="E57" s="62" t="s">
        <v>3604</v>
      </c>
      <c r="F57" s="62" t="s">
        <v>4335</v>
      </c>
      <c r="G57" s="62" t="s">
        <v>447</v>
      </c>
      <c r="H57" s="62" t="s">
        <v>409</v>
      </c>
      <c r="I57" s="62" t="s">
        <v>407</v>
      </c>
      <c r="J57" s="67" t="s">
        <v>4401</v>
      </c>
      <c r="K57" s="62" t="str">
        <f>VLOOKUP(B57,Sheet5!$A$1:$H$471,8,0)</f>
        <v>mahakrishnan.a@ujjivan.com;venkatachalam@ujjivan.com;sudhakar.babu@ujjivan.com;thiyagu.basavaraj@ujjivan.com;rajaguru.i@ujjivan.com;muralidharan.n@ujjivan.com;</v>
      </c>
      <c r="L57" s="62" t="str">
        <f>VLOOKUP($B57,Sheet4!$B:$E,4,0)</f>
        <v xml:space="preserve">tn-salem.suramangalam-branch@ujjivan.com;helpdesk@ujjivan.com; </v>
      </c>
      <c r="M57" s="62" t="s">
        <v>1081</v>
      </c>
      <c r="N57" s="68" t="str">
        <f t="shared" si="1"/>
        <v xml:space="preserve">Dear Team, Please find attached list of prospect clients for REPEAT GL-LOANS (clients who have taken earlier an GL Loan) for you branch.
Thanks &amp; Regards,
MIS Team
</v>
      </c>
      <c r="O57" s="63" t="s">
        <v>1028</v>
      </c>
      <c r="X57" s="68" t="s">
        <v>3573</v>
      </c>
      <c r="Y57" s="120" t="s">
        <v>4924</v>
      </c>
      <c r="Z57" s="119" t="s">
        <v>3572</v>
      </c>
    </row>
    <row r="58" spans="1:26" ht="15.75" x14ac:dyDescent="0.25">
      <c r="A58" s="64" t="s">
        <v>403</v>
      </c>
      <c r="B58" s="148" t="s">
        <v>500</v>
      </c>
      <c r="C58" s="62" t="s">
        <v>3249</v>
      </c>
      <c r="D58" s="62" t="str">
        <f t="shared" si="2"/>
        <v>hanumanthaiah.hanumaiah@ujjivan.com;prashanth.hn@ujjivan.com;ravichandra.mm@ujjivan.com;</v>
      </c>
      <c r="E58" s="62" t="s">
        <v>501</v>
      </c>
      <c r="F58" s="62" t="s">
        <v>4336</v>
      </c>
      <c r="G58" s="62" t="s">
        <v>427</v>
      </c>
      <c r="H58" s="65" t="s">
        <v>406</v>
      </c>
      <c r="I58" s="65" t="s">
        <v>407</v>
      </c>
      <c r="J58" s="67" t="s">
        <v>4401</v>
      </c>
      <c r="K58" s="62" t="str">
        <f>VLOOKUP(B58,Sheet5!$A$1:$H$471,8,0)</f>
        <v>hanumanthaiah.hanumaiah@ujjivan.com;palaksha.hb@ujjivan.com;narasimha.murthy@ujjivan.com;ravichandra.mm@ujjivan.com;suresh.poojary@ujjivan.com;harshith.hn@ujjivan.com;</v>
      </c>
      <c r="L58" s="62" t="str">
        <f>VLOOKUP($B58,Sheet4!$B:$E,4,0)</f>
        <v xml:space="preserve">blr-kengeri-branch@ujjivan.com;helpdesk@ujjivan.com; </v>
      </c>
      <c r="M58" s="65" t="s">
        <v>1082</v>
      </c>
      <c r="N58" s="68" t="str">
        <f t="shared" si="1"/>
        <v xml:space="preserve">Dear Team, Please find attached list of prospect clients for REPEAT GL-LOANS (clients who have taken earlier an GL Loan) for you branch.
Thanks &amp; Regards,
MIS Team
</v>
      </c>
      <c r="O58" s="66" t="s">
        <v>1028</v>
      </c>
      <c r="X58" s="68" t="s">
        <v>3573</v>
      </c>
      <c r="Y58" s="120" t="s">
        <v>4924</v>
      </c>
      <c r="Z58" s="119" t="s">
        <v>3572</v>
      </c>
    </row>
    <row r="59" spans="1:26" ht="15.75" x14ac:dyDescent="0.25">
      <c r="A59" s="61" t="s">
        <v>403</v>
      </c>
      <c r="B59" s="147" t="s">
        <v>502</v>
      </c>
      <c r="C59" s="62" t="s">
        <v>503</v>
      </c>
      <c r="D59" s="62" t="str">
        <f t="shared" si="2"/>
        <v>abdulrehaman.mulla@ujjivan.com;uday.morkar@ujjivan.com;srinivas.govinda@ujjivan.com;</v>
      </c>
      <c r="E59" s="62" t="s">
        <v>504</v>
      </c>
      <c r="F59" s="62" t="s">
        <v>4337</v>
      </c>
      <c r="G59" s="62" t="s">
        <v>466</v>
      </c>
      <c r="H59" s="62"/>
      <c r="I59" s="62" t="s">
        <v>407</v>
      </c>
      <c r="J59" s="67" t="s">
        <v>4401</v>
      </c>
      <c r="K59" s="62" t="str">
        <f>VLOOKUP(B59,Sheet5!$A$1:$H$471,8,0)</f>
        <v>abdulrehaman.mulla@ujjivan.com;uday.morkar@ujjivan.com;basavaraj.yadoor@ujjivan.com;srinivas.govinda@ujjivan.com;shekhar.poojary@ujjivan.com;basantakumar.pasupalak@ujjivan.com;</v>
      </c>
      <c r="L59" s="62" t="str">
        <f>VLOOKUP($B59,Sheet4!$B:$E,4,0)</f>
        <v xml:space="preserve">blr-jamkhandi-branch@ujjivan.com;helpdesk@ujjivan.com; </v>
      </c>
      <c r="M59" s="62" t="s">
        <v>1083</v>
      </c>
      <c r="N59" s="68" t="str">
        <f t="shared" si="1"/>
        <v xml:space="preserve">Dear Team, Please find attached list of prospect clients for REPEAT GL-LOANS (clients who have taken earlier an GL Loan) for you branch.
Thanks &amp; Regards,
MIS Team
</v>
      </c>
      <c r="O59" s="63" t="s">
        <v>1028</v>
      </c>
      <c r="X59" s="68" t="s">
        <v>3573</v>
      </c>
      <c r="Y59" s="120" t="s">
        <v>4924</v>
      </c>
      <c r="Z59" s="119" t="s">
        <v>3572</v>
      </c>
    </row>
    <row r="60" spans="1:26" ht="15.75" x14ac:dyDescent="0.25">
      <c r="A60" s="64" t="s">
        <v>403</v>
      </c>
      <c r="B60" s="148" t="s">
        <v>505</v>
      </c>
      <c r="C60" s="62" t="s">
        <v>3250</v>
      </c>
      <c r="D60" s="62" t="str">
        <f t="shared" si="2"/>
        <v>babu.vinayakumar@ujjivan.com;thirupathi.p@ujjivan.com;thiyagu.basavaraj@ujjivan.com;</v>
      </c>
      <c r="E60" s="62" t="s">
        <v>2890</v>
      </c>
      <c r="F60" s="62" t="s">
        <v>4437</v>
      </c>
      <c r="G60" s="62" t="s">
        <v>447</v>
      </c>
      <c r="H60" s="65" t="s">
        <v>409</v>
      </c>
      <c r="I60" s="65" t="s">
        <v>407</v>
      </c>
      <c r="J60" s="67" t="s">
        <v>4401</v>
      </c>
      <c r="K60" s="62" t="str">
        <f>VLOOKUP(B60,Sheet5!$A$1:$H$471,8,0)</f>
        <v>babu.vinayakumar@ujjivan.com;thirupathi.p@ujjivan.com;bharath.m@ujjivan.com;thiyagu.basavaraj@ujjivan.com;rajaguru.i@ujjivan.com;arasu.sokkalingam@ujjivan.com;</v>
      </c>
      <c r="L60" s="62" t="str">
        <f>VLOOKUP($B60,Sheet4!$B:$E,4,0)</f>
        <v xml:space="preserve">tn-arcot-branch@ujjivan.com;helpdesk@ujjivan.com; </v>
      </c>
      <c r="M60" s="65" t="s">
        <v>1084</v>
      </c>
      <c r="N60" s="68" t="str">
        <f t="shared" si="1"/>
        <v xml:space="preserve">Dear Team, Please find attached list of prospect clients for REPEAT GL-LOANS (clients who have taken earlier an GL Loan) for you branch.
Thanks &amp; Regards,
MIS Team
</v>
      </c>
      <c r="O60" s="66" t="s">
        <v>1028</v>
      </c>
      <c r="X60" s="68" t="s">
        <v>3573</v>
      </c>
      <c r="Y60" s="120" t="s">
        <v>4924</v>
      </c>
      <c r="Z60" s="119" t="s">
        <v>3572</v>
      </c>
    </row>
    <row r="61" spans="1:26" ht="15.75" x14ac:dyDescent="0.25">
      <c r="A61" s="61" t="s">
        <v>403</v>
      </c>
      <c r="B61" s="147" t="s">
        <v>506</v>
      </c>
      <c r="C61" s="62" t="s">
        <v>3251</v>
      </c>
      <c r="D61" s="62" t="str">
        <f t="shared" si="2"/>
        <v>mohamed.thasthageer@ujjivan.com;krishnamurthy.chinnan@ujjivan.com;thiyagu.basavaraj@ujjivan.com;</v>
      </c>
      <c r="E61" s="62" t="s">
        <v>3605</v>
      </c>
      <c r="F61" s="62" t="s">
        <v>4339</v>
      </c>
      <c r="G61" s="62" t="s">
        <v>447</v>
      </c>
      <c r="H61" s="62" t="s">
        <v>409</v>
      </c>
      <c r="I61" s="62" t="s">
        <v>407</v>
      </c>
      <c r="J61" s="67" t="s">
        <v>4401</v>
      </c>
      <c r="K61" s="62" t="str">
        <f>VLOOKUP(B61,Sheet5!$A$1:$H$471,8,0)</f>
        <v>mohamed.thasthageer@ujjivan.com;krishnamurthy.chinnan@ujjivan.com;sudhakar.babu@ujjivan.com;thiyagu.basavaraj@ujjivan.com;rajaguru.i@ujjivan.com;muralidharan.n@ujjivan.com;</v>
      </c>
      <c r="L61" s="62" t="str">
        <f>VLOOKUP($B61,Sheet4!$B:$E,4,0)</f>
        <v xml:space="preserve">tn-gobichetipalayam-branch@ujjivan.com;helpdesk@ujjivan.com; </v>
      </c>
      <c r="M61" s="62" t="s">
        <v>1085</v>
      </c>
      <c r="N61" s="68" t="str">
        <f t="shared" si="1"/>
        <v xml:space="preserve">Dear Team, Please find attached list of prospect clients for REPEAT GL-LOANS (clients who have taken earlier an GL Loan) for you branch.
Thanks &amp; Regards,
MIS Team
</v>
      </c>
      <c r="O61" s="63" t="s">
        <v>1028</v>
      </c>
      <c r="X61" s="68" t="s">
        <v>3573</v>
      </c>
      <c r="Y61" s="120" t="s">
        <v>4924</v>
      </c>
      <c r="Z61" s="119" t="s">
        <v>3572</v>
      </c>
    </row>
    <row r="62" spans="1:26" ht="15.75" x14ac:dyDescent="0.25">
      <c r="A62" s="64" t="s">
        <v>403</v>
      </c>
      <c r="B62" s="148" t="s">
        <v>507</v>
      </c>
      <c r="C62" s="62" t="s">
        <v>3252</v>
      </c>
      <c r="D62" s="62" t="str">
        <f t="shared" si="2"/>
        <v>mohankumar.ramasamy@ujjivan.com;anbazhagan.g@ujjivan.com;thiyagu.basavaraj@ujjivan.com;</v>
      </c>
      <c r="E62" s="62" t="s">
        <v>3606</v>
      </c>
      <c r="F62" s="62" t="s">
        <v>4438</v>
      </c>
      <c r="G62" s="62" t="s">
        <v>447</v>
      </c>
      <c r="H62" s="65" t="s">
        <v>409</v>
      </c>
      <c r="I62" s="65" t="s">
        <v>407</v>
      </c>
      <c r="J62" s="67" t="s">
        <v>4401</v>
      </c>
      <c r="K62" s="62" t="str">
        <f>VLOOKUP(B62,Sheet5!$A$1:$H$471,8,0)</f>
        <v>mohankumar.ramasamy@ujjivan.com;kalaigan.a@ujjivan.com;sudhakar.babu@ujjivan.com;thiyagu.basavaraj@ujjivan.com;rajaguru.i@ujjivan.com;muralidharan.n@ujjivan.com;</v>
      </c>
      <c r="L62" s="62" t="str">
        <f>VLOOKUP($B62,Sheet4!$B:$E,4,0)</f>
        <v xml:space="preserve">tn-komarapalyam-branch@ujjivan.com;helpdesk@ujjivan.com; </v>
      </c>
      <c r="M62" s="65" t="s">
        <v>1086</v>
      </c>
      <c r="N62" s="68" t="str">
        <f t="shared" si="1"/>
        <v xml:space="preserve">Dear Team, Please find attached list of prospect clients for REPEAT GL-LOANS (clients who have taken earlier an GL Loan) for you branch.
Thanks &amp; Regards,
MIS Team
</v>
      </c>
      <c r="O62" s="66" t="s">
        <v>1028</v>
      </c>
      <c r="X62" s="68" t="s">
        <v>3573</v>
      </c>
      <c r="Y62" s="120" t="s">
        <v>4924</v>
      </c>
      <c r="Z62" s="119" t="s">
        <v>3572</v>
      </c>
    </row>
    <row r="63" spans="1:26" ht="15.75" x14ac:dyDescent="0.25">
      <c r="A63" s="61" t="s">
        <v>403</v>
      </c>
      <c r="B63" s="147" t="s">
        <v>509</v>
      </c>
      <c r="C63" s="62" t="s">
        <v>3253</v>
      </c>
      <c r="D63" s="62" t="str">
        <f t="shared" si="2"/>
        <v>ramamoorthy.k@ujjivan.com;sathiskumar.r@ujjivan.com;thiyagu.basavaraj@ujjivan.com;</v>
      </c>
      <c r="E63" s="62" t="s">
        <v>3607</v>
      </c>
      <c r="F63" s="62" t="s">
        <v>4341</v>
      </c>
      <c r="G63" s="62" t="s">
        <v>447</v>
      </c>
      <c r="H63" s="62" t="s">
        <v>409</v>
      </c>
      <c r="I63" s="62" t="s">
        <v>407</v>
      </c>
      <c r="J63" s="67" t="s">
        <v>4401</v>
      </c>
      <c r="K63" s="62" t="str">
        <f>VLOOKUP(B63,Sheet5!$A$1:$H$471,8,0)</f>
        <v>ramamoorthy.k@ujjivan.com;sathiskumar.r@ujjivan.com;sudhakar.babu@ujjivan.com;thiyagu.basavaraj@ujjivan.com;rajaguru.i@ujjivan.com;muralidharan.n@ujjivan.com;</v>
      </c>
      <c r="L63" s="62" t="str">
        <f>VLOOKUP($B63,Sheet4!$B:$E,4,0)</f>
        <v xml:space="preserve">tn-tiruchengodu-branch@ujjivan.com;helpdesk@ujjivan.com; </v>
      </c>
      <c r="M63" s="62" t="s">
        <v>1088</v>
      </c>
      <c r="N63" s="68" t="str">
        <f t="shared" si="1"/>
        <v xml:space="preserve">Dear Team, Please find attached list of prospect clients for REPEAT GL-LOANS (clients who have taken earlier an GL Loan) for you branch.
Thanks &amp; Regards,
MIS Team
</v>
      </c>
      <c r="O63" s="63" t="s">
        <v>1028</v>
      </c>
      <c r="X63" s="68" t="s">
        <v>3573</v>
      </c>
      <c r="Y63" s="120" t="s">
        <v>4924</v>
      </c>
      <c r="Z63" s="119" t="s">
        <v>3572</v>
      </c>
    </row>
    <row r="64" spans="1:26" ht="15.75" x14ac:dyDescent="0.25">
      <c r="A64" s="64" t="s">
        <v>403</v>
      </c>
      <c r="B64" s="148" t="s">
        <v>510</v>
      </c>
      <c r="C64" s="62" t="s">
        <v>3254</v>
      </c>
      <c r="D64" s="62" t="str">
        <f t="shared" si="2"/>
        <v>-;ravi.chandran@ujjivan.com;gowtham@ujjivan.com;</v>
      </c>
      <c r="E64" s="62" t="s">
        <v>3608</v>
      </c>
      <c r="F64" s="62" t="s">
        <v>4439</v>
      </c>
      <c r="G64" s="62" t="s">
        <v>4555</v>
      </c>
      <c r="H64" s="65" t="s">
        <v>409</v>
      </c>
      <c r="I64" s="65" t="s">
        <v>407</v>
      </c>
      <c r="J64" s="67" t="s">
        <v>4401</v>
      </c>
      <c r="K64" s="62" t="str">
        <f>VLOOKUP(B64,Sheet5!$A$1:$H$471,8,0)</f>
        <v>Kathirvel.Sagadevan &lt;kathirvel.sagadevan@ujjivan.com&gt;;M Ravi Chandran &lt;ravi.chandran@ujjivan.com&gt;;balamurugan.raju@ujjivan.com;gowtham@ujjivan.com;rajaguru.i@ujjivan.com;muralidharan.n@ujjivan.com;</v>
      </c>
      <c r="L64" s="62" t="str">
        <f>VLOOKUP($B64,Sheet4!$B:$E,4,0)</f>
        <v xml:space="preserve">tn-paramathivelur-branch@ujjivan.com;helpdesk@ujjivan.com; </v>
      </c>
      <c r="M64" s="65" t="s">
        <v>1089</v>
      </c>
      <c r="N64" s="68" t="str">
        <f t="shared" si="1"/>
        <v xml:space="preserve">Dear Team, Please find attached list of prospect clients for REPEAT GL-LOANS (clients who have taken earlier an GL Loan) for you branch.
Thanks &amp; Regards,
MIS Team
</v>
      </c>
      <c r="O64" s="66" t="s">
        <v>1028</v>
      </c>
      <c r="X64" s="68" t="s">
        <v>3573</v>
      </c>
      <c r="Y64" s="120" t="s">
        <v>4924</v>
      </c>
      <c r="Z64" s="119" t="s">
        <v>3572</v>
      </c>
    </row>
    <row r="65" spans="1:26" ht="15.75" x14ac:dyDescent="0.25">
      <c r="A65" s="61" t="s">
        <v>403</v>
      </c>
      <c r="B65" s="147" t="s">
        <v>511</v>
      </c>
      <c r="C65" s="62" t="s">
        <v>3255</v>
      </c>
      <c r="D65" s="62" t="str">
        <f t="shared" si="2"/>
        <v>srinivasan.ponnuswamy@ujjivan.com;selva.ganapathi@ujjivan.com;sridharan.manoharan@ujjivan.com;</v>
      </c>
      <c r="E65" s="62" t="s">
        <v>496</v>
      </c>
      <c r="F65" s="62" t="s">
        <v>4343</v>
      </c>
      <c r="G65" s="62" t="s">
        <v>497</v>
      </c>
      <c r="H65" s="62" t="s">
        <v>498</v>
      </c>
      <c r="I65" s="62" t="s">
        <v>407</v>
      </c>
      <c r="J65" s="67" t="s">
        <v>4401</v>
      </c>
      <c r="K65" s="62" t="str">
        <f>VLOOKUP(B65,Sheet5!$A$1:$H$471,8,0)</f>
        <v>srinivasan.ponnuswamy@ujjivan.com;selva.ganapathi@ujjivan.com;sivakumar.h@ujjivan.com;sridharan.manoharan@ujjivan.com;boopathy.p@ujjivan.com;anand.ravindran@ujjivan.com;</v>
      </c>
      <c r="L65" s="62" t="str">
        <f>VLOOKUP($B65,Sheet4!$B:$E,4,0)</f>
        <v xml:space="preserve">tn-sundarapuram-branch@ujjivan.com;helpdesk@ujjivan.com; </v>
      </c>
      <c r="M65" s="62" t="s">
        <v>1090</v>
      </c>
      <c r="N65" s="68" t="str">
        <f t="shared" si="1"/>
        <v xml:space="preserve">Dear Team, Please find attached list of prospect clients for REPEAT GL-LOANS (clients who have taken earlier an GL Loan) for you branch.
Thanks &amp; Regards,
MIS Team
</v>
      </c>
      <c r="O65" s="63" t="s">
        <v>1028</v>
      </c>
      <c r="X65" s="68" t="s">
        <v>3573</v>
      </c>
      <c r="Y65" s="120" t="s">
        <v>4924</v>
      </c>
      <c r="Z65" s="119" t="s">
        <v>3572</v>
      </c>
    </row>
    <row r="66" spans="1:26" ht="15.75" x14ac:dyDescent="0.25">
      <c r="A66" s="64" t="s">
        <v>403</v>
      </c>
      <c r="B66" s="148" t="s">
        <v>512</v>
      </c>
      <c r="C66" s="62" t="s">
        <v>3256</v>
      </c>
      <c r="D66" s="62" t="str">
        <f t="shared" si="2"/>
        <v>manikandan.n@ujjivan.com;elavarasan.k@ujjivan.com;sridharan.manoharan@ujjivan.com;</v>
      </c>
      <c r="E66" s="62" t="s">
        <v>3609</v>
      </c>
      <c r="F66" s="62" t="s">
        <v>4344</v>
      </c>
      <c r="G66" s="62" t="s">
        <v>497</v>
      </c>
      <c r="H66" s="65" t="s">
        <v>498</v>
      </c>
      <c r="I66" s="65" t="s">
        <v>407</v>
      </c>
      <c r="J66" s="67" t="s">
        <v>4401</v>
      </c>
      <c r="K66" s="62" t="str">
        <f>VLOOKUP(B66,Sheet5!$A$1:$H$471,8,0)</f>
        <v>manikandan.n@ujjivan.com;thiyagu.rajendran@ujjivan.com;sivakumar.h@ujjivan.com;sridharan.manoharan@ujjivan.com;boopathy.p@ujjivan.com;anand.ravindran@ujjivan.com;</v>
      </c>
      <c r="L66" s="62" t="str">
        <f>VLOOKUP($B66,Sheet4!$B:$E,4,0)</f>
        <v xml:space="preserve">tn-singanallur-branch@ujjivan.com;helpdesk@ujjivan.com; </v>
      </c>
      <c r="M66" s="65" t="s">
        <v>1091</v>
      </c>
      <c r="N66" s="68" t="str">
        <f t="shared" si="1"/>
        <v xml:space="preserve">Dear Team, Please find attached list of prospect clients for REPEAT GL-LOANS (clients who have taken earlier an GL Loan) for you branch.
Thanks &amp; Regards,
MIS Team
</v>
      </c>
      <c r="O66" s="66" t="s">
        <v>1028</v>
      </c>
      <c r="X66" s="68" t="s">
        <v>3573</v>
      </c>
      <c r="Y66" s="120" t="s">
        <v>4924</v>
      </c>
      <c r="Z66" s="119" t="s">
        <v>3572</v>
      </c>
    </row>
    <row r="67" spans="1:26" ht="15.75" x14ac:dyDescent="0.25">
      <c r="A67" s="61" t="s">
        <v>403</v>
      </c>
      <c r="B67" s="147" t="s">
        <v>515</v>
      </c>
      <c r="C67" s="62" t="s">
        <v>3257</v>
      </c>
      <c r="D67" s="62" t="str">
        <f t="shared" si="2"/>
        <v>dalvin.r@ujjivan.com;prasanth@ujjivan.com;sridharan.manoharan@ujjivan.com;</v>
      </c>
      <c r="E67" s="62" t="s">
        <v>3610</v>
      </c>
      <c r="F67" s="62" t="s">
        <v>4440</v>
      </c>
      <c r="G67" s="62" t="s">
        <v>497</v>
      </c>
      <c r="H67" s="62" t="s">
        <v>498</v>
      </c>
      <c r="I67" s="62" t="s">
        <v>407</v>
      </c>
      <c r="J67" s="67" t="s">
        <v>4401</v>
      </c>
      <c r="K67" s="62" t="str">
        <f>VLOOKUP(B67,Sheet5!$A$1:$H$471,8,0)</f>
        <v>kannan.b@ujjivan.com;prasanth.b@ujjivan.com;sivakumar.h@ujjivan.com;sridharan.manoharan@ujjivan.com;boopathy.p@ujjivan.com;vijaya.prakash@ujjivan.com;</v>
      </c>
      <c r="L67" s="62" t="str">
        <f>VLOOKUP($B67,Sheet4!$B:$E,4,0)</f>
        <v xml:space="preserve">tn-mettupalayam-branch@ujjivan.com;helpdesk@ujjivan.com; </v>
      </c>
      <c r="M67" s="62" t="s">
        <v>1092</v>
      </c>
      <c r="N67" s="68" t="str">
        <f t="shared" si="1"/>
        <v xml:space="preserve">Dear Team, Please find attached list of prospect clients for REPEAT GL-LOANS (clients who have taken earlier an GL Loan) for you branch.
Thanks &amp; Regards,
MIS Team
</v>
      </c>
      <c r="O67" s="63" t="s">
        <v>1028</v>
      </c>
      <c r="X67" s="68" t="s">
        <v>3573</v>
      </c>
      <c r="Y67" s="120" t="s">
        <v>4924</v>
      </c>
      <c r="Z67" s="119" t="s">
        <v>3572</v>
      </c>
    </row>
    <row r="68" spans="1:26" ht="15.75" x14ac:dyDescent="0.25">
      <c r="A68" s="64" t="s">
        <v>403</v>
      </c>
      <c r="B68" s="148" t="s">
        <v>516</v>
      </c>
      <c r="C68" s="62" t="s">
        <v>3258</v>
      </c>
      <c r="D68" s="62" t="str">
        <f t="shared" si="2"/>
        <v>nagaraja.paneer@ujjivan.com;karthik.d@ujjivan.com;gowtham@ujjivan.com;</v>
      </c>
      <c r="E68" s="62" t="s">
        <v>493</v>
      </c>
      <c r="F68" s="62" t="s">
        <v>4345</v>
      </c>
      <c r="G68" s="62" t="s">
        <v>4555</v>
      </c>
      <c r="H68" s="65" t="s">
        <v>498</v>
      </c>
      <c r="I68" s="65" t="s">
        <v>407</v>
      </c>
      <c r="J68" s="67" t="s">
        <v>4401</v>
      </c>
      <c r="K68" s="62" t="str">
        <f>VLOOKUP(B68,Sheet5!$A$1:$H$471,8,0)</f>
        <v>nagaraja.paneer@ujjivan.com;sethupandiaraj.m@ujjivan.com;packiaraj.k@ujjivan.com;gowtham@ujjivan.com;boopathy.p@ujjivan.com;anand.ravindran@ujjivan.com;</v>
      </c>
      <c r="L68" s="62" t="str">
        <f>VLOOKUP($B68,Sheet4!$B:$E,4,0)</f>
        <v xml:space="preserve">tn-udumalpet-branch@ujjivan.com;helpdesk@ujjivan.com; </v>
      </c>
      <c r="M68" s="65" t="s">
        <v>1093</v>
      </c>
      <c r="N68" s="68" t="str">
        <f t="shared" si="1"/>
        <v xml:space="preserve">Dear Team, Please find attached list of prospect clients for REPEAT GL-LOANS (clients who have taken earlier an GL Loan) for you branch.
Thanks &amp; Regards,
MIS Team
</v>
      </c>
      <c r="O68" s="66" t="s">
        <v>1028</v>
      </c>
      <c r="X68" s="68" t="s">
        <v>3573</v>
      </c>
      <c r="Y68" s="120" t="s">
        <v>4924</v>
      </c>
      <c r="Z68" s="119" t="s">
        <v>3572</v>
      </c>
    </row>
    <row r="69" spans="1:26" ht="15.75" x14ac:dyDescent="0.25">
      <c r="A69" s="61" t="s">
        <v>403</v>
      </c>
      <c r="B69" s="147" t="s">
        <v>517</v>
      </c>
      <c r="C69" s="62" t="s">
        <v>3259</v>
      </c>
      <c r="D69" s="62" t="str">
        <f t="shared" si="2"/>
        <v>siva.karuppiah@ujjivan.com;siva.gurunath@ujjivan.com;gowtham@ujjivan.com;</v>
      </c>
      <c r="E69" s="62" t="s">
        <v>3611</v>
      </c>
      <c r="F69" s="62" t="s">
        <v>4346</v>
      </c>
      <c r="G69" s="62" t="s">
        <v>4555</v>
      </c>
      <c r="H69" s="62" t="s">
        <v>498</v>
      </c>
      <c r="I69" s="62" t="s">
        <v>407</v>
      </c>
      <c r="J69" s="67" t="s">
        <v>4401</v>
      </c>
      <c r="K69" s="62" t="str">
        <f>VLOOKUP(B69,Sheet5!$A$1:$H$471,8,0)</f>
        <v>siva.karuppiah@ujjivan.com;navas.sha703@ujjivan.com;packiaraj.k@ujjivan.com;gowtham@ujjivan.com;boopathy.p@ujjivan.com;anand.ravindran@ujjivan.com;</v>
      </c>
      <c r="L69" s="62" t="str">
        <f>VLOOKUP($B69,Sheet4!$B:$E,4,0)</f>
        <v xml:space="preserve">tn-dharapuram-branch@ujjivan.com;helpdesk@ujjivan.com; </v>
      </c>
      <c r="M69" s="62" t="s">
        <v>1094</v>
      </c>
      <c r="N69" s="68" t="str">
        <f t="shared" ref="N69:N132" si="3">X69&amp;" "&amp; Y69&amp;", "&amp;Z69</f>
        <v xml:space="preserve">Dear Team, Please find attached list of prospect clients for REPEAT GL-LOANS (clients who have taken earlier an GL Loan) for you branch.
Thanks &amp; Regards,
MIS Team
</v>
      </c>
      <c r="O69" s="63" t="s">
        <v>1028</v>
      </c>
      <c r="X69" s="68" t="s">
        <v>3573</v>
      </c>
      <c r="Y69" s="120" t="s">
        <v>4924</v>
      </c>
      <c r="Z69" s="119" t="s">
        <v>3572</v>
      </c>
    </row>
    <row r="70" spans="1:26" ht="15.75" x14ac:dyDescent="0.25">
      <c r="A70" s="64" t="s">
        <v>403</v>
      </c>
      <c r="B70" s="148" t="s">
        <v>519</v>
      </c>
      <c r="C70" s="62" t="s">
        <v>520</v>
      </c>
      <c r="D70" s="62" t="str">
        <f t="shared" ref="D70:D133" si="4">CONCATENATE(E70,";",F70,";",G70,";")</f>
        <v>aneesh.narayana@ujjivan.com;jinesh.mohanan@ujjivan.com;joshua.raja@ujjivan.com;</v>
      </c>
      <c r="E70" s="62" t="s">
        <v>521</v>
      </c>
      <c r="F70" s="62" t="s">
        <v>4347</v>
      </c>
      <c r="G70" s="62" t="s">
        <v>4556</v>
      </c>
      <c r="H70" s="65" t="s">
        <v>498</v>
      </c>
      <c r="I70" s="65" t="s">
        <v>407</v>
      </c>
      <c r="J70" s="67" t="s">
        <v>4401</v>
      </c>
      <c r="K70" s="62" t="str">
        <f>VLOOKUP(B70,Sheet5!$A$1:$H$471,8,0)</f>
        <v>sijil.babu@ujjivan.com;jinesh.mohanan@ujjivan.com;mahesh.mohan@ujjivan.com;joshua.raja@ujjivan.com;boopathy.p@ujjivan.com;vijayakumar.kp@ujjivan.com;</v>
      </c>
      <c r="L70" s="62" t="str">
        <f>VLOOKUP($B70,Sheet4!$B:$E,4,0)</f>
        <v xml:space="preserve">kl-vypin-branch@ujjivan.com;helpdesk@ujjivan.com; </v>
      </c>
      <c r="M70" s="65" t="s">
        <v>1095</v>
      </c>
      <c r="N70" s="68" t="str">
        <f t="shared" si="3"/>
        <v xml:space="preserve">Dear Team, Please find attached list of prospect clients for REPEAT GL-LOANS (clients who have taken earlier an GL Loan) for you branch.
Thanks &amp; Regards,
MIS Team
</v>
      </c>
      <c r="O70" s="66" t="s">
        <v>1028</v>
      </c>
      <c r="X70" s="68" t="s">
        <v>3573</v>
      </c>
      <c r="Y70" s="120" t="s">
        <v>4924</v>
      </c>
      <c r="Z70" s="119" t="s">
        <v>3572</v>
      </c>
    </row>
    <row r="71" spans="1:26" ht="15.75" x14ac:dyDescent="0.25">
      <c r="A71" s="61" t="s">
        <v>403</v>
      </c>
      <c r="B71" s="147" t="s">
        <v>523</v>
      </c>
      <c r="C71" s="62" t="s">
        <v>3260</v>
      </c>
      <c r="D71" s="62" t="str">
        <f t="shared" si="4"/>
        <v>sunil.cj@ujjivan.com;andriosan.kf@ujjivan.com;joshua.raja@ujjivan.com;</v>
      </c>
      <c r="E71" s="62" t="s">
        <v>3612</v>
      </c>
      <c r="F71" s="62" t="s">
        <v>4348</v>
      </c>
      <c r="G71" s="62" t="s">
        <v>4556</v>
      </c>
      <c r="H71" s="62" t="s">
        <v>498</v>
      </c>
      <c r="I71" s="62" t="s">
        <v>407</v>
      </c>
      <c r="J71" s="67" t="s">
        <v>4401</v>
      </c>
      <c r="K71" s="62" t="str">
        <f>VLOOKUP(B71,Sheet5!$A$1:$H$471,8,0)</f>
        <v>sunil.cj@ujjivan.com;ANDRIOSAN.KF@UJJIVAN.COM;mahesh.mohan@ujjivan.com;joshua.raja@ujjivan.com;boopathy.p@ujjivan.com;vijayakumar.kp@ujjivan.com;</v>
      </c>
      <c r="L71" s="62" t="str">
        <f>VLOOKUP($B71,Sheet4!$B:$E,4,0)</f>
        <v xml:space="preserve">kl-cochin.palluarthy-branch@ujjivan.com;helpdesk@ujjivan.com; </v>
      </c>
      <c r="M71" s="62" t="s">
        <v>1096</v>
      </c>
      <c r="N71" s="68" t="str">
        <f t="shared" si="3"/>
        <v xml:space="preserve">Dear Team, Please find attached list of prospect clients for REPEAT GL-LOANS (clients who have taken earlier an GL Loan) for you branch.
Thanks &amp; Regards,
MIS Team
</v>
      </c>
      <c r="O71" s="63" t="s">
        <v>1028</v>
      </c>
      <c r="X71" s="68" t="s">
        <v>3573</v>
      </c>
      <c r="Y71" s="120" t="s">
        <v>4924</v>
      </c>
      <c r="Z71" s="119" t="s">
        <v>3572</v>
      </c>
    </row>
    <row r="72" spans="1:26" ht="15.75" x14ac:dyDescent="0.25">
      <c r="A72" s="64" t="s">
        <v>403</v>
      </c>
      <c r="B72" s="148" t="s">
        <v>524</v>
      </c>
      <c r="C72" s="62" t="s">
        <v>3261</v>
      </c>
      <c r="D72" s="62" t="str">
        <f t="shared" si="4"/>
        <v>premnath.p@ujjivan.com;g.suresh@ujjivan.com;gowtham@ujjivan.com;</v>
      </c>
      <c r="E72" s="62" t="s">
        <v>2896</v>
      </c>
      <c r="F72" s="62" t="s">
        <v>4349</v>
      </c>
      <c r="G72" s="62" t="s">
        <v>4555</v>
      </c>
      <c r="H72" s="65" t="s">
        <v>409</v>
      </c>
      <c r="I72" s="65" t="s">
        <v>407</v>
      </c>
      <c r="J72" s="67" t="s">
        <v>4401</v>
      </c>
      <c r="K72" s="62" t="str">
        <f>VLOOKUP(B72,Sheet5!$A$1:$H$471,8,0)</f>
        <v>g.suresh@ujjivan.com;alagesan.marimuthu@ujjivan.com;packiaraj.k@ujjivan.com;gowtham@ujjivan.com;jothy.vasagam@ujjivan.com;balamurugan.subburaj@ujjivan.com;</v>
      </c>
      <c r="L72" s="62" t="str">
        <f>VLOOKUP($B72,Sheet4!$B:$E,4,0)</f>
        <v xml:space="preserve">tn-bodinayakanur-branch@ujjivan.com;helpdesk@ujjivan.com; </v>
      </c>
      <c r="M72" s="65" t="s">
        <v>1097</v>
      </c>
      <c r="N72" s="68" t="str">
        <f t="shared" si="3"/>
        <v xml:space="preserve">Dear Team, Please find attached list of prospect clients for REPEAT GL-LOANS (clients who have taken earlier an GL Loan) for you branch.
Thanks &amp; Regards,
MIS Team
</v>
      </c>
      <c r="O72" s="66" t="s">
        <v>1028</v>
      </c>
      <c r="X72" s="68" t="s">
        <v>3573</v>
      </c>
      <c r="Y72" s="120" t="s">
        <v>4924</v>
      </c>
      <c r="Z72" s="119" t="s">
        <v>3572</v>
      </c>
    </row>
    <row r="73" spans="1:26" ht="15.75" x14ac:dyDescent="0.25">
      <c r="A73" s="61" t="s">
        <v>403</v>
      </c>
      <c r="B73" s="147" t="s">
        <v>525</v>
      </c>
      <c r="C73" s="62" t="s">
        <v>3262</v>
      </c>
      <c r="D73" s="62" t="str">
        <f t="shared" si="4"/>
        <v>venkatesh.mani@ujjivan.com;pandiyan.c@ujjivan.com;thiyagu.basavaraj@ujjivan.com;</v>
      </c>
      <c r="E73" s="62" t="s">
        <v>3613</v>
      </c>
      <c r="F73" s="62" t="s">
        <v>4350</v>
      </c>
      <c r="G73" s="62" t="s">
        <v>447</v>
      </c>
      <c r="H73" s="62" t="s">
        <v>409</v>
      </c>
      <c r="I73" s="62" t="s">
        <v>407</v>
      </c>
      <c r="J73" s="67" t="s">
        <v>4401</v>
      </c>
      <c r="K73" s="62" t="str">
        <f>VLOOKUP(B73,Sheet5!$A$1:$H$471,8,0)</f>
        <v>"Vadivelan N" &lt;vadivelan.n@Ujjivan.com&gt;;"Pandiyan C" &lt;pandiyan.c@ujjivan.com&gt;;alex.premkumar@ujjivan.com;thiyagu.basavaraj@ujjivan.com;umamaheswari.s@ujjivan.com;srinath.r@ujjivan.com;</v>
      </c>
      <c r="L73" s="62" t="str">
        <f>VLOOKUP($B73,Sheet4!$B:$E,4,0)</f>
        <v xml:space="preserve">tn-pondi.moolakulam-branch@ujjivan.com;helpdesk@ujjivan.com; </v>
      </c>
      <c r="M73" s="62" t="s">
        <v>1098</v>
      </c>
      <c r="N73" s="68" t="str">
        <f t="shared" si="3"/>
        <v xml:space="preserve">Dear Team, Please find attached list of prospect clients for REPEAT GL-LOANS (clients who have taken earlier an GL Loan) for you branch.
Thanks &amp; Regards,
MIS Team
</v>
      </c>
      <c r="O73" s="63" t="s">
        <v>1028</v>
      </c>
      <c r="X73" s="68" t="s">
        <v>3573</v>
      </c>
      <c r="Y73" s="120" t="s">
        <v>4924</v>
      </c>
      <c r="Z73" s="119" t="s">
        <v>3572</v>
      </c>
    </row>
    <row r="74" spans="1:26" ht="15.75" x14ac:dyDescent="0.25">
      <c r="A74" s="64" t="s">
        <v>403</v>
      </c>
      <c r="B74" s="148" t="s">
        <v>526</v>
      </c>
      <c r="C74" s="62" t="s">
        <v>3263</v>
      </c>
      <c r="D74" s="62" t="str">
        <f t="shared" si="4"/>
        <v>mahesvaran.k@ujjivan.com;senthilkumar@ujjivan.com;gowtham@ujjivan.com;</v>
      </c>
      <c r="E74" s="62" t="s">
        <v>3614</v>
      </c>
      <c r="F74" s="62" t="s">
        <v>4441</v>
      </c>
      <c r="G74" s="62" t="s">
        <v>4555</v>
      </c>
      <c r="H74" s="65" t="s">
        <v>409</v>
      </c>
      <c r="I74" s="65" t="s">
        <v>407</v>
      </c>
      <c r="J74" s="67" t="s">
        <v>4401</v>
      </c>
      <c r="K74" s="62" t="str">
        <f>VLOOKUP(B74,Sheet5!$A$1:$H$471,8,0)</f>
        <v>mahesvaran.k@ujjivan.com;senthil.ramaraj@ujjivan.com;packiaraj.k@ujjivan.com;gowtham@ujjivan.com;jothy.vasagam@ujjivan.com;balamurugan.subburaj@ujjivan.com;</v>
      </c>
      <c r="L74" s="62" t="str">
        <f>VLOOKUP($B74,Sheet4!$B:$E,4,0)</f>
        <v xml:space="preserve">tn-periyakulam-branch@ujjivan.com;helpdesk@ujjivan.com; </v>
      </c>
      <c r="M74" s="65" t="s">
        <v>1099</v>
      </c>
      <c r="N74" s="68" t="str">
        <f t="shared" si="3"/>
        <v xml:space="preserve">Dear Team, Please find attached list of prospect clients for REPEAT GL-LOANS (clients who have taken earlier an GL Loan) for you branch.
Thanks &amp; Regards,
MIS Team
</v>
      </c>
      <c r="O74" s="66" t="s">
        <v>1028</v>
      </c>
      <c r="X74" s="68" t="s">
        <v>3573</v>
      </c>
      <c r="Y74" s="120" t="s">
        <v>4924</v>
      </c>
      <c r="Z74" s="119" t="s">
        <v>3572</v>
      </c>
    </row>
    <row r="75" spans="1:26" ht="15.75" x14ac:dyDescent="0.25">
      <c r="A75" s="61" t="s">
        <v>403</v>
      </c>
      <c r="B75" s="147" t="s">
        <v>527</v>
      </c>
      <c r="C75" s="62" t="s">
        <v>543</v>
      </c>
      <c r="D75" s="62" t="e">
        <f t="shared" si="4"/>
        <v>#N/A</v>
      </c>
      <c r="E75" s="62" t="s">
        <v>544</v>
      </c>
      <c r="F75" s="62" t="e">
        <v>#N/A</v>
      </c>
      <c r="G75" s="62" t="e">
        <v>#N/A</v>
      </c>
      <c r="H75" s="62" t="s">
        <v>498</v>
      </c>
      <c r="I75" s="62" t="s">
        <v>407</v>
      </c>
      <c r="J75" s="67" t="s">
        <v>4401</v>
      </c>
      <c r="K75" s="62" t="str">
        <f>VLOOKUP(B75,Sheet5!$A$1:$H$471,8,0)</f>
        <v>jineesh.unnikrishnan@ujjivan.com;NA;mahesh.mohan@ujjivan.com;;boopathy.p@ujjivan.com;vijayakumar.kp@ujjivan.com;</v>
      </c>
      <c r="L75" s="62" t="str">
        <f>VLOOKUP($B75,Sheet4!$B:$E,4,0)</f>
        <v xml:space="preserve">kl-paravur-branch@ujjivan.com ;helpdesk@ujjivan.com; </v>
      </c>
      <c r="M75" s="62" t="s">
        <v>1100</v>
      </c>
      <c r="N75" s="68" t="str">
        <f t="shared" si="3"/>
        <v xml:space="preserve">Dear Team, Please find attached list of prospect clients for REPEAT GL-LOANS (clients who have taken earlier an GL Loan) for you branch.
Thanks &amp; Regards,
MIS Team
</v>
      </c>
      <c r="O75" s="63" t="s">
        <v>1028</v>
      </c>
      <c r="X75" s="68" t="s">
        <v>3573</v>
      </c>
      <c r="Y75" s="120" t="s">
        <v>4924</v>
      </c>
      <c r="Z75" s="119" t="s">
        <v>3572</v>
      </c>
    </row>
    <row r="76" spans="1:26" ht="15.75" x14ac:dyDescent="0.25">
      <c r="A76" s="64" t="s">
        <v>403</v>
      </c>
      <c r="B76" s="148" t="s">
        <v>528</v>
      </c>
      <c r="C76" s="62" t="s">
        <v>2898</v>
      </c>
      <c r="D76" s="62" t="str">
        <f t="shared" si="4"/>
        <v>sandes.kumar@ujjivan.com;anju.udayan@ujjivan.com;joshua.raja@ujjivan.com;</v>
      </c>
      <c r="E76" s="62" t="s">
        <v>1439</v>
      </c>
      <c r="F76" s="62" t="s">
        <v>4353</v>
      </c>
      <c r="G76" s="62" t="s">
        <v>4556</v>
      </c>
      <c r="H76" s="65" t="s">
        <v>498</v>
      </c>
      <c r="I76" s="65" t="s">
        <v>407</v>
      </c>
      <c r="J76" s="67" t="s">
        <v>4401</v>
      </c>
      <c r="K76" s="62" t="str">
        <f>VLOOKUP(B76,Sheet5!$A$1:$H$471,8,0)</f>
        <v>prince.raje@ujjivan.com;anju.udayan@ujjivan.com;abhilash.thomas@ujjivan.com;joshua.raja@ujjivan.com;boopathy.p@ujjivan.com;0;</v>
      </c>
      <c r="L76" s="62" t="str">
        <f>VLOOKUP($B76,Sheet4!$B:$E,4,0)</f>
        <v xml:space="preserve">kl-udayamperoor-branch@ujjivan.com;helpdesk@ujjivan.com; </v>
      </c>
      <c r="M76" s="65" t="s">
        <v>1101</v>
      </c>
      <c r="N76" s="68" t="str">
        <f t="shared" si="3"/>
        <v xml:space="preserve">Dear Team, Please find attached list of prospect clients for REPEAT GL-LOANS (clients who have taken earlier an GL Loan) for you branch.
Thanks &amp; Regards,
MIS Team
</v>
      </c>
      <c r="O76" s="66" t="s">
        <v>1028</v>
      </c>
      <c r="X76" s="68" t="s">
        <v>3573</v>
      </c>
      <c r="Y76" s="120" t="s">
        <v>4924</v>
      </c>
      <c r="Z76" s="119" t="s">
        <v>3572</v>
      </c>
    </row>
    <row r="77" spans="1:26" ht="15.75" x14ac:dyDescent="0.25">
      <c r="A77" s="61" t="s">
        <v>403</v>
      </c>
      <c r="B77" s="147" t="s">
        <v>853</v>
      </c>
      <c r="C77" s="62" t="s">
        <v>3032</v>
      </c>
      <c r="D77" s="62" t="str">
        <f t="shared" si="4"/>
        <v>sanesh.kt@ujjivan.com;sarath.chandran@ujjivan.com;joshua.raja@ujjivan.com;</v>
      </c>
      <c r="E77" s="62" t="s">
        <v>3615</v>
      </c>
      <c r="F77" s="62" t="s">
        <v>4354</v>
      </c>
      <c r="G77" s="62" t="s">
        <v>4556</v>
      </c>
      <c r="H77" s="62" t="s">
        <v>498</v>
      </c>
      <c r="I77" s="62" t="s">
        <v>407</v>
      </c>
      <c r="J77" s="67" t="s">
        <v>4401</v>
      </c>
      <c r="K77" s="62" t="str">
        <f>VLOOKUP(B77,Sheet5!$A$1:$H$471,8,0)</f>
        <v>sanesh.kt@ujjivan.com;sarath.chandran@ujjivan.com;abhilash.thomas@ujjivan.com;joshua.raja@ujjivan.com;boopathy.p@ujjivan.com;0;</v>
      </c>
      <c r="L77" s="62" t="str">
        <f>VLOOKUP($B77,Sheet4!$B:$E,4,0)</f>
        <v xml:space="preserve">kl-cherthala-branch@ujjivan.com;helpdesk@ujjivan.com; </v>
      </c>
      <c r="M77" s="62" t="s">
        <v>1102</v>
      </c>
      <c r="N77" s="68" t="str">
        <f t="shared" si="3"/>
        <v xml:space="preserve">Dear Team, Please find attached list of prospect clients for REPEAT GL-LOANS (clients who have taken earlier an GL Loan) for you branch.
Thanks &amp; Regards,
MIS Team
</v>
      </c>
      <c r="O77" s="63" t="s">
        <v>1028</v>
      </c>
      <c r="X77" s="68" t="s">
        <v>3573</v>
      </c>
      <c r="Y77" s="120" t="s">
        <v>4924</v>
      </c>
      <c r="Z77" s="119" t="s">
        <v>3572</v>
      </c>
    </row>
    <row r="78" spans="1:26" ht="15.75" x14ac:dyDescent="0.25">
      <c r="A78" s="64" t="s">
        <v>403</v>
      </c>
      <c r="B78" s="148" t="s">
        <v>529</v>
      </c>
      <c r="C78" s="62" t="s">
        <v>3264</v>
      </c>
      <c r="D78" s="62" t="str">
        <f t="shared" si="4"/>
        <v>prabakaran.chidambaram@ujjivan.com;easwaran.palanisamy@ujjivan.com;gowtham@ujjivan.com;</v>
      </c>
      <c r="E78" s="62" t="s">
        <v>518</v>
      </c>
      <c r="F78" s="62" t="s">
        <v>4355</v>
      </c>
      <c r="G78" s="62" t="s">
        <v>4555</v>
      </c>
      <c r="H78" s="65" t="s">
        <v>409</v>
      </c>
      <c r="I78" s="65" t="s">
        <v>407</v>
      </c>
      <c r="J78" s="67" t="s">
        <v>4401</v>
      </c>
      <c r="K78" s="62" t="str">
        <f>VLOOKUP(B78,Sheet5!$A$1:$H$471,8,0)</f>
        <v>Rubickraja . V &lt;rubickraja.v@ujjivan.com&gt;;Easwaran Palanisamy &lt;easwaran.palanisamy@ujjivan.com&gt;;balamurugan.raju@ujjivan.com;gowtham@ujjivan.com;jothy.vasagam@ujjivan.com;balamurugan.subburaj@ujjivan.com;</v>
      </c>
      <c r="L78" s="62" t="str">
        <f>VLOOKUP($B78,Sheet4!$B:$E,4,0)</f>
        <v xml:space="preserve">tn-dindigul-branch@ujjivan.com;helpdesk@ujjivan.com; </v>
      </c>
      <c r="M78" s="65" t="s">
        <v>1103</v>
      </c>
      <c r="N78" s="68" t="str">
        <f t="shared" si="3"/>
        <v xml:space="preserve">Dear Team, Please find attached list of prospect clients for REPEAT GL-LOANS (clients who have taken earlier an GL Loan) for you branch.
Thanks &amp; Regards,
MIS Team
</v>
      </c>
      <c r="O78" s="66" t="s">
        <v>1028</v>
      </c>
      <c r="X78" s="68" t="s">
        <v>3573</v>
      </c>
      <c r="Y78" s="120" t="s">
        <v>4924</v>
      </c>
      <c r="Z78" s="119" t="s">
        <v>3572</v>
      </c>
    </row>
    <row r="79" spans="1:26" ht="15.75" x14ac:dyDescent="0.25">
      <c r="A79" s="61" t="s">
        <v>403</v>
      </c>
      <c r="B79" s="147" t="s">
        <v>530</v>
      </c>
      <c r="C79" s="62" t="s">
        <v>3265</v>
      </c>
      <c r="D79" s="62" t="str">
        <f t="shared" si="4"/>
        <v>anvar.ali@ujjivan.com;bastin.savariraj@ujjivan.com;thiyagu.basavaraj@ujjivan.com;</v>
      </c>
      <c r="E79" s="62" t="s">
        <v>3616</v>
      </c>
      <c r="F79" s="62" t="s">
        <v>4356</v>
      </c>
      <c r="G79" s="62" t="s">
        <v>447</v>
      </c>
      <c r="H79" s="62" t="s">
        <v>409</v>
      </c>
      <c r="I79" s="62" t="s">
        <v>407</v>
      </c>
      <c r="J79" s="67" t="s">
        <v>4401</v>
      </c>
      <c r="K79" s="62" t="str">
        <f>VLOOKUP(B79,Sheet5!$A$1:$H$471,8,0)</f>
        <v>"Anwar" &lt;anwar@ujjivan.com&gt;;"Bastin Savariraj A" &lt;bastin.savariraj@ujjivan.com&gt;;alex.premkumar@ujjivan.com;thiyagu.basavaraj@ujjivan.com;umamaheswari.s@ujjivan.com;srinath.r@ujjivan.com;</v>
      </c>
      <c r="L79" s="62" t="str">
        <f>VLOOKUP($B79,Sheet4!$B:$E,4,0)</f>
        <v xml:space="preserve">tn-panruti-branch@ujjivan.com;helpdesk@ujjivan.com; </v>
      </c>
      <c r="M79" s="62" t="s">
        <v>1104</v>
      </c>
      <c r="N79" s="68" t="str">
        <f t="shared" si="3"/>
        <v xml:space="preserve">Dear Team, Please find attached list of prospect clients for REPEAT GL-LOANS (clients who have taken earlier an GL Loan) for you branch.
Thanks &amp; Regards,
MIS Team
</v>
      </c>
      <c r="O79" s="63" t="s">
        <v>1028</v>
      </c>
      <c r="X79" s="68" t="s">
        <v>3573</v>
      </c>
      <c r="Y79" s="120" t="s">
        <v>4924</v>
      </c>
      <c r="Z79" s="119" t="s">
        <v>3572</v>
      </c>
    </row>
    <row r="80" spans="1:26" ht="15.75" x14ac:dyDescent="0.25">
      <c r="A80" s="64" t="s">
        <v>403</v>
      </c>
      <c r="B80" s="148" t="s">
        <v>532</v>
      </c>
      <c r="C80" s="62" t="s">
        <v>3266</v>
      </c>
      <c r="D80" s="62" t="str">
        <f t="shared" si="4"/>
        <v>ranjithkumar.s@ujjivan.com;thomas.jebaraj@ujjivan.com;thiyagu.basavaraj@ujjivan.com;</v>
      </c>
      <c r="E80" s="62" t="s">
        <v>3617</v>
      </c>
      <c r="F80" s="62" t="s">
        <v>4357</v>
      </c>
      <c r="G80" s="62" t="s">
        <v>447</v>
      </c>
      <c r="H80" s="65" t="s">
        <v>409</v>
      </c>
      <c r="I80" s="65" t="s">
        <v>407</v>
      </c>
      <c r="J80" s="67" t="s">
        <v>4401</v>
      </c>
      <c r="K80" s="62" t="str">
        <f>VLOOKUP(B80,Sheet5!$A$1:$H$471,8,0)</f>
        <v>"S Ranjith Kumar" &lt;ranjithkumar.s@ujjivan.com&gt;;"A Thomas Jebaraj" &lt;thomas.jebaraj@ujjivan.com&gt;;alex.premkumar@ujjivan.com;thiyagu.basavaraj@ujjivan.com;jothy.vasagam@ujjivan.com;amudha.s@ujjivan.com;</v>
      </c>
      <c r="L80" s="62" t="str">
        <f>VLOOKUP($B80,Sheet4!$B:$E,4,0)</f>
        <v xml:space="preserve">tn-virudhachalam-branch@ujjivan.com;helpdesk@ujjivan.com; </v>
      </c>
      <c r="M80" s="65" t="s">
        <v>1105</v>
      </c>
      <c r="N80" s="68" t="str">
        <f t="shared" si="3"/>
        <v xml:space="preserve">Dear Team, Please find attached list of prospect clients for REPEAT GL-LOANS (clients who have taken earlier an GL Loan) for you branch.
Thanks &amp; Regards,
MIS Team
</v>
      </c>
      <c r="O80" s="66" t="s">
        <v>1028</v>
      </c>
      <c r="X80" s="68" t="s">
        <v>3573</v>
      </c>
      <c r="Y80" s="120" t="s">
        <v>4924</v>
      </c>
      <c r="Z80" s="119" t="s">
        <v>3572</v>
      </c>
    </row>
    <row r="81" spans="1:26" ht="15.75" x14ac:dyDescent="0.25">
      <c r="A81" s="61" t="s">
        <v>403</v>
      </c>
      <c r="B81" s="147" t="s">
        <v>533</v>
      </c>
      <c r="C81" s="62" t="s">
        <v>3267</v>
      </c>
      <c r="D81" s="62" t="str">
        <f t="shared" si="4"/>
        <v>vadivelan.n@Ujjivan.com;tamilmani.m@ujjivan.com;thiyagu.basavaraj@ujjivan.com;</v>
      </c>
      <c r="E81" s="62" t="s">
        <v>531</v>
      </c>
      <c r="F81" s="62" t="s">
        <v>4442</v>
      </c>
      <c r="G81" s="62" t="s">
        <v>447</v>
      </c>
      <c r="H81" s="62" t="s">
        <v>409</v>
      </c>
      <c r="I81" s="62" t="s">
        <v>407</v>
      </c>
      <c r="J81" s="67" t="s">
        <v>4401</v>
      </c>
      <c r="K81" s="62" t="str">
        <f>VLOOKUP(B81,Sheet5!$A$1:$H$471,8,0)</f>
        <v>"Rajesh Irudaya Raj C" &lt;rajeshirudaya.raj@ujjivan.com&gt;;"Rajanandham.Chithamparam" &lt;rajanandham.chithamparam@ujjivan.com&gt;;alex.premkumar@ujjivan.com;thiyagu.basavaraj@ujjivan.com;umamaheswari.s@ujjivan.com;srinath.r@ujjivan.com;</v>
      </c>
      <c r="L81" s="62" t="str">
        <f>VLOOKUP($B81,Sheet4!$B:$E,4,0)</f>
        <v xml:space="preserve">tn-cuddalore-branch@ujjivan.com;helpdesk@ujjivan.com; </v>
      </c>
      <c r="M81" s="62" t="s">
        <v>1106</v>
      </c>
      <c r="N81" s="68" t="str">
        <f t="shared" si="3"/>
        <v xml:space="preserve">Dear Team, Please find attached list of prospect clients for REPEAT GL-LOANS (clients who have taken earlier an GL Loan) for you branch.
Thanks &amp; Regards,
MIS Team
</v>
      </c>
      <c r="O81" s="63" t="s">
        <v>1028</v>
      </c>
      <c r="X81" s="68" t="s">
        <v>3573</v>
      </c>
      <c r="Y81" s="120" t="s">
        <v>4924</v>
      </c>
      <c r="Z81" s="119" t="s">
        <v>3572</v>
      </c>
    </row>
    <row r="82" spans="1:26" ht="15.75" x14ac:dyDescent="0.25">
      <c r="A82" s="64" t="s">
        <v>403</v>
      </c>
      <c r="B82" s="148" t="s">
        <v>534</v>
      </c>
      <c r="C82" s="62" t="s">
        <v>3268</v>
      </c>
      <c r="D82" s="62" t="str">
        <f t="shared" si="4"/>
        <v>vino.jesaiah@ujjivan.com;kannan.b@ujjivan.com;sridharan.manoharan@ujjivan.com;</v>
      </c>
      <c r="E82" s="62" t="s">
        <v>535</v>
      </c>
      <c r="F82" s="62" t="s">
        <v>4359</v>
      </c>
      <c r="G82" s="62" t="s">
        <v>497</v>
      </c>
      <c r="H82" s="65" t="s">
        <v>498</v>
      </c>
      <c r="I82" s="65" t="s">
        <v>407</v>
      </c>
      <c r="J82" s="67" t="s">
        <v>4401</v>
      </c>
      <c r="K82" s="62" t="str">
        <f>VLOOKUP(B82,Sheet5!$A$1:$H$471,8,0)</f>
        <v>beersulthan.h@ujjivan.com;kannan.b@ujjivan.com;sivakumar.h@ujjivan.com;sridharan.manoharan@ujjivan.com;boopathy.p@ujjivan.com;vijaya.prakash@ujjivan.com;</v>
      </c>
      <c r="L82" s="62" t="str">
        <f>VLOOKUP($B82,Sheet4!$B:$E,4,0)</f>
        <v xml:space="preserve">tn-gudalur-branch@ujjivan.com;helpdesk@ujjivan.com; </v>
      </c>
      <c r="M82" s="65" t="s">
        <v>1107</v>
      </c>
      <c r="N82" s="68" t="str">
        <f t="shared" si="3"/>
        <v xml:space="preserve">Dear Team, Please find attached list of prospect clients for REPEAT GL-LOANS (clients who have taken earlier an GL Loan) for you branch.
Thanks &amp; Regards,
MIS Team
</v>
      </c>
      <c r="O82" s="66" t="s">
        <v>1028</v>
      </c>
      <c r="X82" s="68" t="s">
        <v>3573</v>
      </c>
      <c r="Y82" s="120" t="s">
        <v>4924</v>
      </c>
      <c r="Z82" s="119" t="s">
        <v>3572</v>
      </c>
    </row>
    <row r="83" spans="1:26" ht="15.75" x14ac:dyDescent="0.25">
      <c r="A83" s="61" t="s">
        <v>403</v>
      </c>
      <c r="B83" s="147" t="s">
        <v>854</v>
      </c>
      <c r="C83" s="62" t="s">
        <v>3269</v>
      </c>
      <c r="D83" s="62" t="str">
        <f t="shared" si="4"/>
        <v>sijomon.tm@ujjivan.com;azhagesan.k@ujjivan.com;sridharan.manoharan@ujjivan.com;</v>
      </c>
      <c r="E83" s="62" t="s">
        <v>3618</v>
      </c>
      <c r="F83" s="62" t="s">
        <v>4443</v>
      </c>
      <c r="G83" s="62" t="s">
        <v>497</v>
      </c>
      <c r="H83" s="62" t="s">
        <v>498</v>
      </c>
      <c r="I83" s="62" t="s">
        <v>407</v>
      </c>
      <c r="J83" s="67" t="s">
        <v>4401</v>
      </c>
      <c r="K83" s="62" t="str">
        <f>VLOOKUP(B83,Sheet5!$A$1:$H$471,8,0)</f>
        <v>sijomon.tm@ujjivan.com;azhagesan.k@ujjivan.com;sivakumar.h@ujjivan.com;sridharan.manoharan@ujjivan.com;boopathy.p@ujjivan.com;vijaya.prakash@ujjivan.com;</v>
      </c>
      <c r="L83" s="62" t="str">
        <f>VLOOKUP($B83,Sheet4!$B:$E,4,0)</f>
        <v xml:space="preserve">tn-coonoor-branch@ujjivan.com;helpdesk@ujjivan.com; </v>
      </c>
      <c r="M83" s="62" t="s">
        <v>1108</v>
      </c>
      <c r="N83" s="68" t="str">
        <f t="shared" si="3"/>
        <v xml:space="preserve">Dear Team, Please find attached list of prospect clients for REPEAT GL-LOANS (clients who have taken earlier an GL Loan) for you branch.
Thanks &amp; Regards,
MIS Team
</v>
      </c>
      <c r="O83" s="63" t="s">
        <v>1028</v>
      </c>
      <c r="X83" s="68" t="s">
        <v>3573</v>
      </c>
      <c r="Y83" s="120" t="s">
        <v>4924</v>
      </c>
      <c r="Z83" s="119" t="s">
        <v>3572</v>
      </c>
    </row>
    <row r="84" spans="1:26" ht="15.75" x14ac:dyDescent="0.25">
      <c r="A84" s="64" t="s">
        <v>403</v>
      </c>
      <c r="B84" s="148" t="s">
        <v>536</v>
      </c>
      <c r="C84" s="62" t="s">
        <v>3270</v>
      </c>
      <c r="D84" s="62" t="str">
        <f t="shared" si="4"/>
        <v>beersulthan.h@ujjivan.com;udhayakumar.murugan@ujjivan.com;sridharan.manoharan@ujjivan.com;</v>
      </c>
      <c r="E84" s="62" t="s">
        <v>3619</v>
      </c>
      <c r="F84" s="62" t="s">
        <v>4444</v>
      </c>
      <c r="G84" s="62" t="s">
        <v>497</v>
      </c>
      <c r="H84" s="65" t="s">
        <v>498</v>
      </c>
      <c r="I84" s="65" t="s">
        <v>407</v>
      </c>
      <c r="J84" s="67" t="s">
        <v>4401</v>
      </c>
      <c r="K84" s="62" t="str">
        <f>VLOOKUP(B84,Sheet5!$A$1:$H$471,8,0)</f>
        <v>vino.jesaiah@ujjivan.com;paramasivam.halan@ujjivan.com;sivakumar.h@ujjivan.com;sridharan.manoharan@ujjivan.com;boopathy.p@ujjivan.com;vijaya.prakash@ujjivan.com;</v>
      </c>
      <c r="L84" s="62" t="str">
        <f>VLOOKUP($B84,Sheet4!$B:$E,4,0)</f>
        <v xml:space="preserve">tn-ooty-branch@ujjivan.com;helpdesk@ujjivan.com; </v>
      </c>
      <c r="M84" s="65" t="s">
        <v>1109</v>
      </c>
      <c r="N84" s="68" t="str">
        <f t="shared" si="3"/>
        <v xml:space="preserve">Dear Team, Please find attached list of prospect clients for REPEAT GL-LOANS (clients who have taken earlier an GL Loan) for you branch.
Thanks &amp; Regards,
MIS Team
</v>
      </c>
      <c r="O84" s="66" t="s">
        <v>1028</v>
      </c>
      <c r="X84" s="68" t="s">
        <v>3573</v>
      </c>
      <c r="Y84" s="120" t="s">
        <v>4924</v>
      </c>
      <c r="Z84" s="119" t="s">
        <v>3572</v>
      </c>
    </row>
    <row r="85" spans="1:26" ht="15.75" x14ac:dyDescent="0.25">
      <c r="A85" s="61" t="s">
        <v>403</v>
      </c>
      <c r="B85" s="147" t="s">
        <v>537</v>
      </c>
      <c r="C85" s="62" t="s">
        <v>3271</v>
      </c>
      <c r="D85" s="62" t="str">
        <f t="shared" si="4"/>
        <v>nivedh.e@ujjivan.com;rajesh.rajendran@ujjivan.com;joshua.raja@ujjivan.com;</v>
      </c>
      <c r="E85" s="62" t="s">
        <v>3620</v>
      </c>
      <c r="F85" s="62" t="s">
        <v>4362</v>
      </c>
      <c r="G85" s="62" t="s">
        <v>4556</v>
      </c>
      <c r="H85" s="62" t="s">
        <v>498</v>
      </c>
      <c r="I85" s="62" t="s">
        <v>407</v>
      </c>
      <c r="J85" s="67" t="s">
        <v>4401</v>
      </c>
      <c r="K85" s="62" t="str">
        <f>VLOOKUP(B85,Sheet5!$A$1:$H$471,8,0)</f>
        <v>praveen.sasidharan@ujjivan.com;arya.prasad@ujjivan.com;abhilash.thomas@ujjivan.com;joshua.raja@ujjivan.com;boopathy.p@ujjivan.com;0;</v>
      </c>
      <c r="L85" s="62" t="str">
        <f>VLOOKUP($B85,Sheet4!$B:$E,4,0)</f>
        <v xml:space="preserve">kl-allepey-branch@ujjvian.com;helpdesk@ujjivan.com; </v>
      </c>
      <c r="M85" s="62" t="s">
        <v>1110</v>
      </c>
      <c r="N85" s="68" t="str">
        <f t="shared" si="3"/>
        <v xml:space="preserve">Dear Team, Please find attached list of prospect clients for REPEAT GL-LOANS (clients who have taken earlier an GL Loan) for you branch.
Thanks &amp; Regards,
MIS Team
</v>
      </c>
      <c r="O85" s="63" t="s">
        <v>1028</v>
      </c>
      <c r="X85" s="68" t="s">
        <v>3573</v>
      </c>
      <c r="Y85" s="120" t="s">
        <v>4924</v>
      </c>
      <c r="Z85" s="119" t="s">
        <v>3572</v>
      </c>
    </row>
    <row r="86" spans="1:26" ht="15.75" x14ac:dyDescent="0.25">
      <c r="A86" s="64" t="s">
        <v>403</v>
      </c>
      <c r="B86" s="148" t="s">
        <v>538</v>
      </c>
      <c r="C86" s="62" t="s">
        <v>2906</v>
      </c>
      <c r="D86" s="62" t="e">
        <f t="shared" si="4"/>
        <v>#N/A</v>
      </c>
      <c r="E86" s="62" t="s">
        <v>2908</v>
      </c>
      <c r="F86" s="62" t="e">
        <v>#N/A</v>
      </c>
      <c r="G86" s="62" t="e">
        <v>#N/A</v>
      </c>
      <c r="H86" s="65" t="s">
        <v>498</v>
      </c>
      <c r="I86" s="65" t="s">
        <v>407</v>
      </c>
      <c r="J86" s="67" t="s">
        <v>4401</v>
      </c>
      <c r="K86" s="62" t="str">
        <f>VLOOKUP(B86,Sheet5!$A$1:$H$471,8,0)</f>
        <v>nagasankar.narayanan@ujjivan.com;ranjith.selvaraj@ujjivan.com;packiaraj.k@ujjivan.com;;boopathy.p@ujjivan.com;anand.ravindran@ujjivan.com;</v>
      </c>
      <c r="L86" s="62" t="str">
        <f>VLOOKUP($B86,Sheet4!$B:$E,4,0)</f>
        <v xml:space="preserve">tn-anamalai-branch@ujjivan.com;helpdesk@ujjivan.com; </v>
      </c>
      <c r="M86" s="65" t="s">
        <v>1111</v>
      </c>
      <c r="N86" s="68" t="str">
        <f t="shared" si="3"/>
        <v xml:space="preserve">Dear Team, Please find attached list of prospect clients for REPEAT GL-LOANS (clients who have taken earlier an GL Loan) for you branch.
Thanks &amp; Regards,
MIS Team
</v>
      </c>
      <c r="O86" s="66" t="s">
        <v>1028</v>
      </c>
      <c r="X86" s="68" t="s">
        <v>3573</v>
      </c>
      <c r="Y86" s="120" t="s">
        <v>4924</v>
      </c>
      <c r="Z86" s="119" t="s">
        <v>3572</v>
      </c>
    </row>
    <row r="87" spans="1:26" ht="15.75" x14ac:dyDescent="0.25">
      <c r="A87" s="61" t="s">
        <v>403</v>
      </c>
      <c r="B87" s="147" t="s">
        <v>539</v>
      </c>
      <c r="C87" s="62" t="s">
        <v>540</v>
      </c>
      <c r="D87" s="62" t="e">
        <f t="shared" si="4"/>
        <v>#N/A</v>
      </c>
      <c r="E87" s="62" t="s">
        <v>541</v>
      </c>
      <c r="F87" s="62" t="e">
        <v>#N/A</v>
      </c>
      <c r="G87" s="62" t="e">
        <v>#N/A</v>
      </c>
      <c r="H87" s="62" t="s">
        <v>443</v>
      </c>
      <c r="I87" s="62" t="s">
        <v>407</v>
      </c>
      <c r="J87" s="67" t="s">
        <v>4401</v>
      </c>
      <c r="K87" s="62" t="str">
        <f>VLOOKUP(B87,Sheet5!$A$1:$H$471,8,0)</f>
        <v>rupesh.mokatkar@ujjivan.com;;basavaraj.yadoor@ujjivan.com;;shekhar.poojary@ujjivan.com;basantakumar.pasupalak@ujjivan.com;</v>
      </c>
      <c r="L87" s="62" t="str">
        <f>VLOOKUP($B87,Sheet4!$B:$E,4,0)</f>
        <v xml:space="preserve">goa-vasco-branch@ujjivan.com;helpdesk@ujjivan.com; </v>
      </c>
      <c r="M87" s="62" t="s">
        <v>1113</v>
      </c>
      <c r="N87" s="68" t="str">
        <f t="shared" si="3"/>
        <v xml:space="preserve">Dear Team, Please find attached list of prospect clients for REPEAT GL-LOANS (clients who have taken earlier an GL Loan) for you branch.
Thanks &amp; Regards,
MIS Team
</v>
      </c>
      <c r="O87" s="63" t="s">
        <v>1028</v>
      </c>
      <c r="X87" s="68" t="s">
        <v>3573</v>
      </c>
      <c r="Y87" s="120" t="s">
        <v>4924</v>
      </c>
      <c r="Z87" s="119" t="s">
        <v>3572</v>
      </c>
    </row>
    <row r="88" spans="1:26" ht="15.75" x14ac:dyDescent="0.25">
      <c r="A88" s="64" t="s">
        <v>403</v>
      </c>
      <c r="B88" s="148" t="s">
        <v>542</v>
      </c>
      <c r="C88" s="62" t="s">
        <v>567</v>
      </c>
      <c r="D88" s="62" t="e">
        <f t="shared" si="4"/>
        <v>#N/A</v>
      </c>
      <c r="E88" s="62" t="s">
        <v>568</v>
      </c>
      <c r="F88" s="62" t="e">
        <v>#N/A</v>
      </c>
      <c r="G88" s="62" t="e">
        <v>#N/A</v>
      </c>
      <c r="H88" s="65" t="s">
        <v>498</v>
      </c>
      <c r="I88" s="65" t="s">
        <v>407</v>
      </c>
      <c r="J88" s="67" t="s">
        <v>4401</v>
      </c>
      <c r="K88" s="62" t="str">
        <f>VLOOKUP(B88,Sheet5!$A$1:$H$471,8,0)</f>
        <v>nivedh.e@ujjivan.com;dayana.jose@ujjivan.com;mahesh.mohan@ujjivan.com;;boopathy.p@ujjivan.com;vijayakumar.kp@ujjivan.com;</v>
      </c>
      <c r="L88" s="62" t="str">
        <f>VLOOKUP($B88,Sheet4!$B:$E,4,0)</f>
        <v xml:space="preserve">kl-guruvayur-branch@ujjivan.com;helpdesk@ujjivan.com; </v>
      </c>
      <c r="M88" s="65" t="s">
        <v>1114</v>
      </c>
      <c r="N88" s="68" t="str">
        <f t="shared" si="3"/>
        <v xml:space="preserve">Dear Team, Please find attached list of prospect clients for REPEAT GL-LOANS (clients who have taken earlier an GL Loan) for you branch.
Thanks &amp; Regards,
MIS Team
</v>
      </c>
      <c r="O88" s="66" t="s">
        <v>1028</v>
      </c>
      <c r="X88" s="68" t="s">
        <v>3573</v>
      </c>
      <c r="Y88" s="120" t="s">
        <v>4924</v>
      </c>
      <c r="Z88" s="119" t="s">
        <v>3572</v>
      </c>
    </row>
    <row r="89" spans="1:26" ht="15.75" x14ac:dyDescent="0.25">
      <c r="A89" s="61" t="s">
        <v>403</v>
      </c>
      <c r="B89" s="147" t="s">
        <v>855</v>
      </c>
      <c r="C89" s="62" t="s">
        <v>3272</v>
      </c>
      <c r="D89" s="62" t="str">
        <f t="shared" si="4"/>
        <v>saiju.sadasivan@ujjivan.com;rajesh.ramachandran@ujjivan.com;joshua.raja@ujjivan.com;</v>
      </c>
      <c r="E89" s="62" t="s">
        <v>2911</v>
      </c>
      <c r="F89" s="62" t="s">
        <v>4365</v>
      </c>
      <c r="G89" s="62" t="s">
        <v>4556</v>
      </c>
      <c r="H89" s="62" t="s">
        <v>498</v>
      </c>
      <c r="I89" s="62" t="s">
        <v>407</v>
      </c>
      <c r="J89" s="67" t="s">
        <v>4401</v>
      </c>
      <c r="K89" s="62" t="str">
        <f>VLOOKUP(B89,Sheet5!$A$1:$H$471,8,0)</f>
        <v>saiju.sadasivan@ujjivan.com;sumisha.s@ujjivan.com;abhilash.thomas@ujjivan.com;joshua.raja@ujjivan.com;boopathy.p@ujjivan.com;0;</v>
      </c>
      <c r="L89" s="62" t="str">
        <f>VLOOKUP($B89,Sheet4!$B:$E,4,0)</f>
        <v xml:space="preserve">kl-haripad-branch@ujjivan.com;helpdesk@ujjivan.com; </v>
      </c>
      <c r="M89" s="62" t="s">
        <v>1115</v>
      </c>
      <c r="N89" s="68" t="str">
        <f t="shared" si="3"/>
        <v xml:space="preserve">Dear Team, Please find attached list of prospect clients for REPEAT GL-LOANS (clients who have taken earlier an GL Loan) for you branch.
Thanks &amp; Regards,
MIS Team
</v>
      </c>
      <c r="O89" s="63" t="s">
        <v>1028</v>
      </c>
      <c r="X89" s="68" t="s">
        <v>3573</v>
      </c>
      <c r="Y89" s="120" t="s">
        <v>4924</v>
      </c>
      <c r="Z89" s="119" t="s">
        <v>3572</v>
      </c>
    </row>
    <row r="90" spans="1:26" ht="15.75" x14ac:dyDescent="0.25">
      <c r="A90" s="64" t="s">
        <v>403</v>
      </c>
      <c r="B90" s="148" t="s">
        <v>545</v>
      </c>
      <c r="C90" s="62" t="s">
        <v>3273</v>
      </c>
      <c r="D90" s="62" t="e">
        <f t="shared" si="4"/>
        <v>#N/A</v>
      </c>
      <c r="E90" s="62" t="s">
        <v>3621</v>
      </c>
      <c r="F90" s="62" t="e">
        <v>#N/A</v>
      </c>
      <c r="G90" s="62" t="e">
        <v>#N/A</v>
      </c>
      <c r="H90" s="65" t="s">
        <v>498</v>
      </c>
      <c r="I90" s="65" t="s">
        <v>407</v>
      </c>
      <c r="J90" s="67" t="s">
        <v>4401</v>
      </c>
      <c r="K90" s="62" t="str">
        <f>VLOOKUP(B90,Sheet5!$A$1:$H$471,8,0)</f>
        <v>sanil.r@ujjivan.com;NA;mahesh.mohan@ujjivan.com;;boopathy.p@ujjivan.com;vijayakumar.kp@ujjivan.com;</v>
      </c>
      <c r="L90" s="62" t="str">
        <f>VLOOKUP($B90,Sheet4!$B:$E,4,0)</f>
        <v xml:space="preserve">kl-triprayar-branch@ujjivan.com;helpdesk@ujjivan.com; </v>
      </c>
      <c r="M90" s="65" t="s">
        <v>1116</v>
      </c>
      <c r="N90" s="68" t="str">
        <f t="shared" si="3"/>
        <v xml:space="preserve">Dear Team, Please find attached list of prospect clients for REPEAT GL-LOANS (clients who have taken earlier an GL Loan) for you branch.
Thanks &amp; Regards,
MIS Team
</v>
      </c>
      <c r="O90" s="66" t="s">
        <v>1028</v>
      </c>
      <c r="X90" s="68" t="s">
        <v>3573</v>
      </c>
      <c r="Y90" s="120" t="s">
        <v>4924</v>
      </c>
      <c r="Z90" s="119" t="s">
        <v>3572</v>
      </c>
    </row>
    <row r="91" spans="1:26" ht="15.75" x14ac:dyDescent="0.25">
      <c r="A91" s="61" t="s">
        <v>403</v>
      </c>
      <c r="B91" s="147" t="s">
        <v>546</v>
      </c>
      <c r="C91" s="62" t="s">
        <v>3274</v>
      </c>
      <c r="D91" s="62" t="str">
        <f t="shared" si="4"/>
        <v>geeta.anil@ujjivan.com;ravichandra.hk@ujjivan.com;ravichandra.mm@ujjivan.com;</v>
      </c>
      <c r="E91" s="62" t="s">
        <v>3622</v>
      </c>
      <c r="F91" s="62" t="s">
        <v>4366</v>
      </c>
      <c r="G91" s="62" t="s">
        <v>427</v>
      </c>
      <c r="H91" s="62" t="s">
        <v>406</v>
      </c>
      <c r="I91" s="62" t="s">
        <v>407</v>
      </c>
      <c r="J91" s="67" t="s">
        <v>4401</v>
      </c>
      <c r="K91" s="62" t="str">
        <f>VLOOKUP(B91,Sheet5!$A$1:$H$471,8,0)</f>
        <v>geeta.anil@ujjivan.com;ravichandra.hk@ujjivan.com;murali.mohan@ujjivan.com;ravichandra.mm@ujjivan.com;suresh.poojary@ujjivan.com;harshith.hn@ujjivan.com;</v>
      </c>
      <c r="L91" s="62" t="str">
        <f>VLOOKUP($B91,Sheet4!$B:$E,4,0)</f>
        <v xml:space="preserve">blr-srirangapatna-branch@ujjivan.com;helpdesk@ujjivan.com; </v>
      </c>
      <c r="M91" s="62" t="s">
        <v>1117</v>
      </c>
      <c r="N91" s="68" t="str">
        <f t="shared" si="3"/>
        <v xml:space="preserve">Dear Team, Please find attached list of prospect clients for REPEAT GL-LOANS (clients who have taken earlier an GL Loan) for you branch.
Thanks &amp; Regards,
MIS Team
</v>
      </c>
      <c r="O91" s="63" t="s">
        <v>1028</v>
      </c>
      <c r="X91" s="68" t="s">
        <v>3573</v>
      </c>
      <c r="Y91" s="120" t="s">
        <v>4924</v>
      </c>
      <c r="Z91" s="119" t="s">
        <v>3572</v>
      </c>
    </row>
    <row r="92" spans="1:26" ht="15.75" x14ac:dyDescent="0.25">
      <c r="A92" s="64" t="s">
        <v>403</v>
      </c>
      <c r="B92" s="148" t="s">
        <v>549</v>
      </c>
      <c r="C92" s="62" t="s">
        <v>547</v>
      </c>
      <c r="D92" s="62" t="str">
        <f t="shared" si="4"/>
        <v>chaluvaraju.bv@ujjivan.com;shanthakumari.cb@ujjivan.com;ravichandra.mm@ujjivan.com;</v>
      </c>
      <c r="E92" s="62" t="s">
        <v>548</v>
      </c>
      <c r="F92" s="62" t="s">
        <v>4367</v>
      </c>
      <c r="G92" s="62" t="s">
        <v>427</v>
      </c>
      <c r="H92" s="65" t="s">
        <v>406</v>
      </c>
      <c r="I92" s="65" t="s">
        <v>407</v>
      </c>
      <c r="J92" s="67" t="s">
        <v>4401</v>
      </c>
      <c r="K92" s="62" t="str">
        <f>VLOOKUP(B92,Sheet5!$A$1:$H$471,8,0)</f>
        <v>chaluvaraju.bv@ujjivan.com;manju.prasad@ujjivan.com;nagaraju.g@ujjivan.com;ravichandra.mm@ujjivan.com;suresh.poojary@ujjivan.com;padmaprabha.gm@ujjivan.com;</v>
      </c>
      <c r="L92" s="62" t="str">
        <f>VLOOKUP($B92,Sheet4!$B:$E,4,0)</f>
        <v xml:space="preserve">blr-mysoreagrahara-branch@ujjivan.com;helpdesk@ujjivan.com; </v>
      </c>
      <c r="M92" s="65" t="s">
        <v>1118</v>
      </c>
      <c r="N92" s="68" t="str">
        <f t="shared" si="3"/>
        <v xml:space="preserve">Dear Team, Please find attached list of prospect clients for REPEAT GL-LOANS (clients who have taken earlier an GL Loan) for you branch.
Thanks &amp; Regards,
MIS Team
</v>
      </c>
      <c r="O92" s="66" t="s">
        <v>1028</v>
      </c>
      <c r="X92" s="68" t="s">
        <v>3573</v>
      </c>
      <c r="Y92" s="120" t="s">
        <v>4924</v>
      </c>
      <c r="Z92" s="119" t="s">
        <v>3572</v>
      </c>
    </row>
    <row r="93" spans="1:26" ht="15.75" x14ac:dyDescent="0.25">
      <c r="A93" s="61" t="s">
        <v>403</v>
      </c>
      <c r="B93" s="147" t="s">
        <v>550</v>
      </c>
      <c r="C93" s="62" t="s">
        <v>3275</v>
      </c>
      <c r="D93" s="62" t="str">
        <f t="shared" si="4"/>
        <v>madavan.r@ujjivan.com;daniel.raj@ujjivan.com;gowtham@ujjivan.com;</v>
      </c>
      <c r="E93" s="62" t="s">
        <v>3623</v>
      </c>
      <c r="F93" s="62" t="s">
        <v>4368</v>
      </c>
      <c r="G93" s="62" t="s">
        <v>4555</v>
      </c>
      <c r="H93" s="62" t="s">
        <v>409</v>
      </c>
      <c r="I93" s="62" t="s">
        <v>407</v>
      </c>
      <c r="J93" s="67" t="s">
        <v>4401</v>
      </c>
      <c r="K93" s="62" t="str">
        <f>VLOOKUP(B93,Sheet5!$A$1:$H$471,8,0)</f>
        <v>E Kosumani &lt;kosumani.e@ujjivan.com&gt;;Daniel.Raj &lt;daniel.raj@ujjivan.com&gt;;balamurugan.raju@ujjivan.com;gowtham@ujjivan.com;jothy.vasagam@ujjivan.com;amudha.s@ujjivan.com;</v>
      </c>
      <c r="L93" s="62" t="str">
        <f>VLOOKUP($B93,Sheet4!$B:$E,4,0)</f>
        <v xml:space="preserve">tn-thiruvaiyaru-branch@ujjivan.com;helpdesk@ujjivan.com; </v>
      </c>
      <c r="M93" s="62" t="s">
        <v>1119</v>
      </c>
      <c r="N93" s="68" t="str">
        <f t="shared" si="3"/>
        <v xml:space="preserve">Dear Team, Please find attached list of prospect clients for REPEAT GL-LOANS (clients who have taken earlier an GL Loan) for you branch.
Thanks &amp; Regards,
MIS Team
</v>
      </c>
      <c r="O93" s="63" t="s">
        <v>1028</v>
      </c>
      <c r="X93" s="68" t="s">
        <v>3573</v>
      </c>
      <c r="Y93" s="120" t="s">
        <v>4924</v>
      </c>
      <c r="Z93" s="119" t="s">
        <v>3572</v>
      </c>
    </row>
    <row r="94" spans="1:26" ht="15.75" x14ac:dyDescent="0.25">
      <c r="A94" s="64" t="s">
        <v>403</v>
      </c>
      <c r="B94" s="148" t="s">
        <v>551</v>
      </c>
      <c r="C94" s="62" t="s">
        <v>3276</v>
      </c>
      <c r="D94" s="62" t="str">
        <f t="shared" si="4"/>
        <v>kosumani.e@ujjivan.com;karunakarn.saradha@ujjivan.com;gowtham@ujjivan.com;</v>
      </c>
      <c r="E94" s="62" t="s">
        <v>552</v>
      </c>
      <c r="F94" s="62" t="s">
        <v>4369</v>
      </c>
      <c r="G94" s="62" t="s">
        <v>4555</v>
      </c>
      <c r="H94" s="65" t="s">
        <v>409</v>
      </c>
      <c r="I94" s="65" t="s">
        <v>407</v>
      </c>
      <c r="J94" s="67" t="s">
        <v>4401</v>
      </c>
      <c r="K94" s="62" t="str">
        <f>VLOOKUP(B94,Sheet5!$A$1:$H$471,8,0)</f>
        <v>Karthik C &lt;karthik.chandrasekaran@ujjivan.com&gt;;Karunakarn R &lt;karunakarn.saradha@ujjivan.com&gt;;balamurugan.raju@ujjivan.com;gowtham@ujjivan.com;jothy.vasagam@ujjivan.com;amudha.s@ujjivan.com;</v>
      </c>
      <c r="L94" s="62" t="str">
        <f>VLOOKUP($B94,Sheet4!$B:$E,4,0)</f>
        <v xml:space="preserve">tn-kumbakonam-branch@ujjivan.com;helpdesk@ujjivan.com; </v>
      </c>
      <c r="M94" s="65" t="s">
        <v>1120</v>
      </c>
      <c r="N94" s="68" t="str">
        <f t="shared" si="3"/>
        <v xml:space="preserve">Dear Team, Please find attached list of prospect clients for REPEAT GL-LOANS (clients who have taken earlier an GL Loan) for you branch.
Thanks &amp; Regards,
MIS Team
</v>
      </c>
      <c r="O94" s="66" t="s">
        <v>1028</v>
      </c>
      <c r="X94" s="68" t="s">
        <v>3573</v>
      </c>
      <c r="Y94" s="120" t="s">
        <v>4924</v>
      </c>
      <c r="Z94" s="119" t="s">
        <v>3572</v>
      </c>
    </row>
    <row r="95" spans="1:26" ht="15.75" x14ac:dyDescent="0.25">
      <c r="A95" s="61" t="s">
        <v>403</v>
      </c>
      <c r="B95" s="147" t="s">
        <v>553</v>
      </c>
      <c r="C95" s="62" t="s">
        <v>3277</v>
      </c>
      <c r="D95" s="62" t="str">
        <f t="shared" si="4"/>
        <v>puttaswamy.ranganaika@ujjivan.com;prasanna.r@ujjivan.com;ravichandra.mm@ujjivan.com;</v>
      </c>
      <c r="E95" s="62" t="s">
        <v>480</v>
      </c>
      <c r="F95" s="62" t="s">
        <v>4445</v>
      </c>
      <c r="G95" s="62" t="s">
        <v>427</v>
      </c>
      <c r="H95" s="62" t="s">
        <v>427</v>
      </c>
      <c r="I95" s="62" t="s">
        <v>407</v>
      </c>
      <c r="J95" s="67" t="s">
        <v>4401</v>
      </c>
      <c r="K95" s="62" t="str">
        <f>VLOOKUP(B95,Sheet5!$A$1:$H$471,8,0)</f>
        <v>puttaswamy.ranganaika@ujjivan.com;prasanna.r@ujjivan.com;nagaraju.g@ujjivan.com;ravichandra.mm@ujjivan.com;suresh.poojary@ujjivan.com;naveen.upadhye@ujjvan.com;</v>
      </c>
      <c r="L95" s="62" t="str">
        <f>VLOOKUP($B95,Sheet4!$B:$E,4,0)</f>
        <v xml:space="preserve">blr-gundlupet-branch@ujjivan.com;helpdesk@ujjivan.com; </v>
      </c>
      <c r="M95" s="62" t="s">
        <v>1121</v>
      </c>
      <c r="N95" s="68" t="str">
        <f t="shared" si="3"/>
        <v xml:space="preserve">Dear Team, Please find attached list of prospect clients for REPEAT GL-LOANS (clients who have taken earlier an GL Loan) for you branch.
Thanks &amp; Regards,
MIS Team
</v>
      </c>
      <c r="O95" s="63" t="s">
        <v>1028</v>
      </c>
      <c r="X95" s="68" t="s">
        <v>3573</v>
      </c>
      <c r="Y95" s="120" t="s">
        <v>4924</v>
      </c>
      <c r="Z95" s="119" t="s">
        <v>3572</v>
      </c>
    </row>
    <row r="96" spans="1:26" ht="15.75" x14ac:dyDescent="0.25">
      <c r="A96" s="64" t="s">
        <v>403</v>
      </c>
      <c r="B96" s="148" t="s">
        <v>555</v>
      </c>
      <c r="C96" s="62" t="s">
        <v>3278</v>
      </c>
      <c r="D96" s="62" t="str">
        <f t="shared" si="4"/>
        <v>ravi.alavasalli@ujjivan.com;mahadevaswamy.jadeswamy@ujjivan.com;ravichandra.mm@ujjivan.com;</v>
      </c>
      <c r="E96" s="62" t="s">
        <v>556</v>
      </c>
      <c r="F96" s="62" t="s">
        <v>4371</v>
      </c>
      <c r="G96" s="62" t="s">
        <v>427</v>
      </c>
      <c r="H96" s="65" t="s">
        <v>427</v>
      </c>
      <c r="I96" s="65" t="s">
        <v>407</v>
      </c>
      <c r="J96" s="67" t="s">
        <v>4401</v>
      </c>
      <c r="K96" s="62" t="str">
        <f>VLOOKUP(B96,Sheet5!$A$1:$H$471,8,0)</f>
        <v>shantharaju.g@Ujjivan.com;anilkumar.gowda@ujjivan.com;nagaraju.g@ujjivan.com;ravichandra.mm@ujjivan.com;suresh.poojary@ujjivan.com;padmaprabha.gm@ujjivan.com;</v>
      </c>
      <c r="L96" s="62" t="str">
        <f>VLOOKUP($B96,Sheet4!$B:$E,4,0)</f>
        <v xml:space="preserve">blr-tnarasipura-branch@ujjivan.com;helpdesk@ujjivan.com; </v>
      </c>
      <c r="M96" s="65" t="s">
        <v>1122</v>
      </c>
      <c r="N96" s="68" t="str">
        <f t="shared" si="3"/>
        <v xml:space="preserve">Dear Team, Please find attached list of prospect clients for REPEAT GL-LOANS (clients who have taken earlier an GL Loan) for you branch.
Thanks &amp; Regards,
MIS Team
</v>
      </c>
      <c r="O96" s="66" t="s">
        <v>1028</v>
      </c>
      <c r="X96" s="68" t="s">
        <v>3573</v>
      </c>
      <c r="Y96" s="120" t="s">
        <v>4924</v>
      </c>
      <c r="Z96" s="119" t="s">
        <v>3572</v>
      </c>
    </row>
    <row r="97" spans="1:26" ht="15.75" x14ac:dyDescent="0.25">
      <c r="A97" s="61" t="s">
        <v>403</v>
      </c>
      <c r="B97" s="147" t="s">
        <v>557</v>
      </c>
      <c r="C97" s="62" t="s">
        <v>3279</v>
      </c>
      <c r="D97" s="62" t="str">
        <f t="shared" si="4"/>
        <v>xavier.i@ujjivan.com;shanmuga.s@ujjivan.com;gowtham@ujjivan.com;</v>
      </c>
      <c r="E97" s="62" t="s">
        <v>508</v>
      </c>
      <c r="F97" s="62" t="s">
        <v>4446</v>
      </c>
      <c r="G97" s="62" t="s">
        <v>4555</v>
      </c>
      <c r="H97" s="62"/>
      <c r="I97" s="62"/>
      <c r="J97" s="67" t="s">
        <v>4401</v>
      </c>
      <c r="K97" s="62" t="str">
        <f>VLOOKUP(B97,Sheet5!$A$1:$H$471,8,0)</f>
        <v>Xavier . I &lt;xavier.i@ujjivan.com&gt;;Manikandan T &lt;manikandan.t@ujjivan.com&gt;;balamurugan.raju@ujjivan.com;gowtham@ujjivan.com;jothy.vasagam@ujjivan.com;amudha.s@ujjivan.com;</v>
      </c>
      <c r="L97" s="62" t="str">
        <f>VLOOKUP($B97,Sheet4!$B:$E,4,0)</f>
        <v xml:space="preserve">tn-trichy-branch@ujjivan.com;helpdesk@ujjivan.com; </v>
      </c>
      <c r="M97" s="62" t="s">
        <v>1123</v>
      </c>
      <c r="N97" s="68" t="str">
        <f t="shared" si="3"/>
        <v xml:space="preserve">Dear Team, Please find attached list of prospect clients for REPEAT GL-LOANS (clients who have taken earlier an GL Loan) for you branch.
Thanks &amp; Regards,
MIS Team
</v>
      </c>
      <c r="O97" s="63" t="s">
        <v>1028</v>
      </c>
      <c r="X97" s="68" t="s">
        <v>3573</v>
      </c>
      <c r="Y97" s="120" t="s">
        <v>4924</v>
      </c>
      <c r="Z97" s="119" t="s">
        <v>3572</v>
      </c>
    </row>
    <row r="98" spans="1:26" ht="15.75" x14ac:dyDescent="0.25">
      <c r="A98" s="64" t="s">
        <v>403</v>
      </c>
      <c r="B98" s="148" t="s">
        <v>558</v>
      </c>
      <c r="C98" s="62" t="s">
        <v>559</v>
      </c>
      <c r="D98" s="62" t="str">
        <f t="shared" si="4"/>
        <v>puttaiah.hd@ujjivan.com;pradeep.iggalore@ujjivan.com;ravichandra.mm@ujjivan.com;</v>
      </c>
      <c r="E98" s="62" t="s">
        <v>560</v>
      </c>
      <c r="F98" s="62" t="s">
        <v>4372</v>
      </c>
      <c r="G98" s="62" t="s">
        <v>427</v>
      </c>
      <c r="H98" s="65" t="s">
        <v>427</v>
      </c>
      <c r="I98" s="65" t="s">
        <v>407</v>
      </c>
      <c r="J98" s="67" t="s">
        <v>4401</v>
      </c>
      <c r="K98" s="62" t="str">
        <f>VLOOKUP(B98,Sheet5!$A$1:$H$471,8,0)</f>
        <v>puttaiah.hd@ujjivan.com;pradeep.iggalore@ujjivan.com;nagaraju.g@ujjivan.com;ravichandra.mm@ujjivan.com;suresh.poojary@ujjivan.com;padmaprabha.gm@ujjivan.com;</v>
      </c>
      <c r="L98" s="62" t="str">
        <f>VLOOKUP($B98,Sheet4!$B:$E,4,0)</f>
        <v xml:space="preserve">blr-chamarajanagar-branch@ujjivan.com;helpdesk@ujjivan.com; </v>
      </c>
      <c r="M98" s="65" t="s">
        <v>1124</v>
      </c>
      <c r="N98" s="68" t="str">
        <f t="shared" si="3"/>
        <v xml:space="preserve">Dear Team, Please find attached list of prospect clients for REPEAT GL-LOANS (clients who have taken earlier an GL Loan) for you branch.
Thanks &amp; Regards,
MIS Team
</v>
      </c>
      <c r="O98" s="66" t="s">
        <v>1028</v>
      </c>
      <c r="X98" s="68" t="s">
        <v>3573</v>
      </c>
      <c r="Y98" s="120" t="s">
        <v>4924</v>
      </c>
      <c r="Z98" s="119" t="s">
        <v>3572</v>
      </c>
    </row>
    <row r="99" spans="1:26" ht="15.75" x14ac:dyDescent="0.25">
      <c r="A99" s="61" t="s">
        <v>403</v>
      </c>
      <c r="B99" s="147" t="s">
        <v>561</v>
      </c>
      <c r="C99" s="62" t="s">
        <v>3280</v>
      </c>
      <c r="D99" s="62" t="str">
        <f t="shared" si="4"/>
        <v>theertha.kumar@ujjivan.com;munikumar.bn@ujjivan.com;sachinkumar.kb@ujjivan.com;</v>
      </c>
      <c r="E99" s="62" t="s">
        <v>562</v>
      </c>
      <c r="F99" s="62" t="s">
        <v>4373</v>
      </c>
      <c r="G99" s="62" t="s">
        <v>405</v>
      </c>
      <c r="H99" s="62" t="s">
        <v>406</v>
      </c>
      <c r="I99" s="62" t="s">
        <v>407</v>
      </c>
      <c r="J99" s="67" t="s">
        <v>4401</v>
      </c>
      <c r="K99" s="62" t="str">
        <f>VLOOKUP(B99,Sheet5!$A$1:$H$471,8,0)</f>
        <v>theertha.kumar@ujjivan.com;muniraja.muniyappa@ujjivan.com;pratap.reddy@ujjivan.com;sachinkumar.kb@ujjivan.com;shekhar.poojary@ujjivan.com;kirankumar.ks@ujjivan.com;</v>
      </c>
      <c r="L99" s="62" t="str">
        <f>VLOOKUP($B99,Sheet4!$B:$E,4,0)</f>
        <v xml:space="preserve">blr-hoskote-branch@ujjivan.com;helpdesk@ujjivan.com; </v>
      </c>
      <c r="M99" s="62" t="s">
        <v>1125</v>
      </c>
      <c r="N99" s="68" t="str">
        <f t="shared" si="3"/>
        <v xml:space="preserve">Dear Team, Please find attached list of prospect clients for REPEAT GL-LOANS (clients who have taken earlier an GL Loan) for you branch.
Thanks &amp; Regards,
MIS Team
</v>
      </c>
      <c r="O99" s="63" t="s">
        <v>1028</v>
      </c>
      <c r="X99" s="68" t="s">
        <v>3573</v>
      </c>
      <c r="Y99" s="120" t="s">
        <v>4924</v>
      </c>
      <c r="Z99" s="119" t="s">
        <v>3572</v>
      </c>
    </row>
    <row r="100" spans="1:26" ht="15.75" x14ac:dyDescent="0.25">
      <c r="A100" s="64" t="s">
        <v>403</v>
      </c>
      <c r="B100" s="148" t="s">
        <v>563</v>
      </c>
      <c r="C100" s="62" t="s">
        <v>3281</v>
      </c>
      <c r="D100" s="62" t="str">
        <f t="shared" si="4"/>
        <v>raja.maruthappa@ujjivan.com;saravanan.g@ujjivan.com;gowtham@ujjivan.com;</v>
      </c>
      <c r="E100" s="62" t="s">
        <v>3624</v>
      </c>
      <c r="F100" s="62" t="s">
        <v>4447</v>
      </c>
      <c r="G100" s="62" t="s">
        <v>4555</v>
      </c>
      <c r="H100" s="65"/>
      <c r="I100" s="65"/>
      <c r="J100" s="67" t="s">
        <v>4401</v>
      </c>
      <c r="K100" s="62" t="str">
        <f>VLOOKUP(B100,Sheet5!$A$1:$H$471,8,0)</f>
        <v>Vijila P &lt;vijila.p@ujjivan.com&gt;;Saravanan G &lt;saravanan.g@ujjivan.com&gt;;balamurugan.raju@ujjivan.com;gowtham@ujjivan.com;jothy.vasagam@ujjivan.com;amudha.s@ujjivan.com;</v>
      </c>
      <c r="L100" s="62" t="str">
        <f>VLOOKUP($B100,Sheet4!$B:$E,4,0)</f>
        <v xml:space="preserve">tn-mannargudi-branch@ujjivan.com;helpdesk@ujjivan.com; </v>
      </c>
      <c r="M100" s="65" t="s">
        <v>1126</v>
      </c>
      <c r="N100" s="68" t="str">
        <f t="shared" si="3"/>
        <v xml:space="preserve">Dear Team, Please find attached list of prospect clients for REPEAT GL-LOANS (clients who have taken earlier an GL Loan) for you branch.
Thanks &amp; Regards,
MIS Team
</v>
      </c>
      <c r="O100" s="66" t="s">
        <v>1028</v>
      </c>
      <c r="X100" s="68" t="s">
        <v>3573</v>
      </c>
      <c r="Y100" s="120" t="s">
        <v>4924</v>
      </c>
      <c r="Z100" s="119" t="s">
        <v>3572</v>
      </c>
    </row>
    <row r="101" spans="1:26" ht="15.75" x14ac:dyDescent="0.25">
      <c r="A101" s="61" t="s">
        <v>403</v>
      </c>
      <c r="B101" s="147" t="s">
        <v>564</v>
      </c>
      <c r="C101" s="62" t="s">
        <v>3282</v>
      </c>
      <c r="D101" s="62" t="str">
        <f t="shared" si="4"/>
        <v>chandrashekar.chikkaiah@ujjivan.com;nagasimha@ujjivan.com;sachinkumar.kb@ujjivan.com;</v>
      </c>
      <c r="E101" s="62" t="s">
        <v>565</v>
      </c>
      <c r="F101" s="62" t="s">
        <v>4374</v>
      </c>
      <c r="G101" s="62" t="s">
        <v>405</v>
      </c>
      <c r="H101" s="62" t="s">
        <v>406</v>
      </c>
      <c r="I101" s="62" t="s">
        <v>407</v>
      </c>
      <c r="J101" s="67" t="s">
        <v>4401</v>
      </c>
      <c r="K101" s="62" t="str">
        <f>VLOOKUP(B101,Sheet5!$A$1:$H$471,8,0)</f>
        <v>darshan.r@ujjivan.com;nagasimha@ujjivan.com;vijaykumar.g@ujjivan.com;sachinkumar.kb@ujjivan.com;umamaheswari.s@ujjivan.com;ashwin.prakash@ujjivan.com;</v>
      </c>
      <c r="L101" s="62" t="str">
        <f>VLOOKUP($B101,Sheet4!$B:$E,4,0)</f>
        <v xml:space="preserve">blr-bannerghatta-branch@ujjivan.com;helpdesk@ujjivan.com; </v>
      </c>
      <c r="M101" s="62" t="s">
        <v>1127</v>
      </c>
      <c r="N101" s="68" t="str">
        <f t="shared" si="3"/>
        <v xml:space="preserve">Dear Team, Please find attached list of prospect clients for REPEAT GL-LOANS (clients who have taken earlier an GL Loan) for you branch.
Thanks &amp; Regards,
MIS Team
</v>
      </c>
      <c r="O101" s="63" t="s">
        <v>1028</v>
      </c>
      <c r="X101" s="68" t="s">
        <v>3573</v>
      </c>
      <c r="Y101" s="120" t="s">
        <v>4924</v>
      </c>
      <c r="Z101" s="119" t="s">
        <v>3572</v>
      </c>
    </row>
    <row r="102" spans="1:26" ht="15.75" x14ac:dyDescent="0.25">
      <c r="A102" s="64" t="s">
        <v>403</v>
      </c>
      <c r="B102" s="148" t="s">
        <v>566</v>
      </c>
      <c r="C102" s="62" t="s">
        <v>3283</v>
      </c>
      <c r="D102" s="62" t="str">
        <f t="shared" si="4"/>
        <v>rajesh.r@ujjivan.com;shyam.prasad@ujjivan.com;joshua.raja@ujjivan.com;</v>
      </c>
      <c r="E102" s="62" t="s">
        <v>3625</v>
      </c>
      <c r="F102" s="62" t="s">
        <v>4375</v>
      </c>
      <c r="G102" s="62" t="s">
        <v>4556</v>
      </c>
      <c r="H102" s="65"/>
      <c r="I102" s="65"/>
      <c r="J102" s="67" t="s">
        <v>4401</v>
      </c>
      <c r="K102" s="62" t="str">
        <f>VLOOKUP(B102,Sheet5!$A$1:$H$471,8,0)</f>
        <v>rajesh.r@ujjivan.com;syam.prasad@ujjivan.com;abhilash.thomas@ujjivan.com;joshua.raja@ujjivan.com;boopathy.p@ujjivan.com;0;</v>
      </c>
      <c r="L102" s="62" t="str">
        <f>VLOOKUP($B102,Sheet4!$B:$E,4,0)</f>
        <v xml:space="preserve">helpdesk@ujjivan.com;helpdesk@ujjivan.com; </v>
      </c>
      <c r="M102" s="65" t="s">
        <v>1128</v>
      </c>
      <c r="N102" s="68" t="str">
        <f t="shared" si="3"/>
        <v xml:space="preserve">Dear Team, Please find attached list of prospect clients for REPEAT GL-LOANS (clients who have taken earlier an GL Loan) for you branch.
Thanks &amp; Regards,
MIS Team
</v>
      </c>
      <c r="O102" s="66" t="s">
        <v>1028</v>
      </c>
      <c r="X102" s="68" t="s">
        <v>3573</v>
      </c>
      <c r="Y102" s="120" t="s">
        <v>4924</v>
      </c>
      <c r="Z102" s="119" t="s">
        <v>3572</v>
      </c>
    </row>
    <row r="103" spans="1:26" ht="15.75" x14ac:dyDescent="0.25">
      <c r="A103" s="61" t="s">
        <v>403</v>
      </c>
      <c r="B103" s="147" t="s">
        <v>569</v>
      </c>
      <c r="C103" s="62" t="s">
        <v>3284</v>
      </c>
      <c r="D103" s="62" t="str">
        <f t="shared" si="4"/>
        <v>nagesh.ganapati@ujjivan.com;dasar.yr@ujjivan.com;srinivas.govinda@ujjivan.com;</v>
      </c>
      <c r="E103" s="62" t="s">
        <v>3207</v>
      </c>
      <c r="F103" s="62" t="s">
        <v>4304</v>
      </c>
      <c r="G103" s="62" t="s">
        <v>466</v>
      </c>
      <c r="H103" s="62"/>
      <c r="I103" s="62"/>
      <c r="J103" s="67" t="s">
        <v>4401</v>
      </c>
      <c r="K103" s="62" t="str">
        <f>VLOOKUP(B103,Sheet5!$A$1:$H$471,8,0)</f>
        <v>nagesh.ganapati@ujjivan.com;dasar.yr@ujjivan.com;basavaraj.yadoor@ujjivan.com;srinivas.govinda@ujjivan.com;shekhar.poojary@ujjivan.com;basantakumar.pasupalak@ujjivan.com;</v>
      </c>
      <c r="L103" s="62" t="str">
        <f>VLOOKUP($B103,Sheet4!$B:$E,4,0)</f>
        <v xml:space="preserve">blr-chikodi-branch@ujjivan.com;helpdesk@ujjivan.com; </v>
      </c>
      <c r="M103" s="62" t="s">
        <v>1129</v>
      </c>
      <c r="N103" s="68" t="str">
        <f t="shared" si="3"/>
        <v xml:space="preserve">Dear Team, Please find attached list of prospect clients for REPEAT GL-LOANS (clients who have taken earlier an GL Loan) for you branch.
Thanks &amp; Regards,
MIS Team
</v>
      </c>
      <c r="O103" s="63" t="s">
        <v>1028</v>
      </c>
      <c r="X103" s="68" t="s">
        <v>3573</v>
      </c>
      <c r="Y103" s="120" t="s">
        <v>4924</v>
      </c>
      <c r="Z103" s="119" t="s">
        <v>3572</v>
      </c>
    </row>
    <row r="104" spans="1:26" ht="15.75" x14ac:dyDescent="0.25">
      <c r="A104" s="64" t="s">
        <v>403</v>
      </c>
      <c r="B104" s="148" t="s">
        <v>570</v>
      </c>
      <c r="C104" s="62" t="s">
        <v>3285</v>
      </c>
      <c r="D104" s="62" t="str">
        <f t="shared" si="4"/>
        <v>rama.krishnan@ujjivan.com;velu.sami@ujjivan.com;thiyagu.basavaraj@ujjivan.com;</v>
      </c>
      <c r="E104" s="62" t="s">
        <v>3626</v>
      </c>
      <c r="F104" s="62" t="s">
        <v>4376</v>
      </c>
      <c r="G104" s="62" t="s">
        <v>447</v>
      </c>
      <c r="H104" s="65"/>
      <c r="I104" s="65"/>
      <c r="J104" s="67" t="s">
        <v>4401</v>
      </c>
      <c r="K104" s="62" t="str">
        <f>VLOOKUP(B104,Sheet5!$A$1:$H$471,8,0)</f>
        <v>"Ramakrishnan S" &lt;rama.krishnan@ujjivan.com&gt;;"Harikumar.." &lt;harikumar@ujjivan.com&gt;;alex.premkumar@ujjivan.com;thiyagu.basavaraj@ujjivan.com;jothy.vasagam@ujjivan.com;amudha.s@ujjivan.com;</v>
      </c>
      <c r="L104" s="62" t="str">
        <f>VLOOKUP($B104,Sheet4!$B:$E,4,0)</f>
        <v xml:space="preserve">helpdesk@ujjivan.com;helpdesk@ujjivan.com; </v>
      </c>
      <c r="M104" s="65" t="s">
        <v>1130</v>
      </c>
      <c r="N104" s="68" t="str">
        <f t="shared" si="3"/>
        <v xml:space="preserve">Dear Team, Please find attached list of prospect clients for REPEAT GL-LOANS (clients who have taken earlier an GL Loan) for you branch.
Thanks &amp; Regards,
MIS Team
</v>
      </c>
      <c r="O104" s="66" t="s">
        <v>1028</v>
      </c>
      <c r="X104" s="68" t="s">
        <v>3573</v>
      </c>
      <c r="Y104" s="120" t="s">
        <v>4924</v>
      </c>
      <c r="Z104" s="119" t="s">
        <v>3572</v>
      </c>
    </row>
    <row r="105" spans="1:26" ht="15.75" x14ac:dyDescent="0.25">
      <c r="A105" s="61" t="s">
        <v>403</v>
      </c>
      <c r="B105" s="147" t="s">
        <v>571</v>
      </c>
      <c r="C105" s="62" t="s">
        <v>3286</v>
      </c>
      <c r="D105" s="62" t="str">
        <f t="shared" si="4"/>
        <v>karthik.chandrasekaran@ujjivan.com;indhrakumar.t@ujjivan.com;gowtham@ujjivan.com;</v>
      </c>
      <c r="E105" s="62" t="s">
        <v>856</v>
      </c>
      <c r="F105" s="62" t="s">
        <v>4377</v>
      </c>
      <c r="G105" s="62" t="s">
        <v>4555</v>
      </c>
      <c r="H105" s="62"/>
      <c r="I105" s="62"/>
      <c r="J105" s="67" t="s">
        <v>4401</v>
      </c>
      <c r="K105" s="62" t="str">
        <f>VLOOKUP(B105,Sheet5!$A$1:$H$471,8,0)</f>
        <v>stalin.r &lt;stalin.r@ujjivan.com&gt;;Indhrakumar T &lt;indhrakumar.t@ujjivan.com&gt;;balamurugan.raju@ujjivan.com;gowtham@ujjivan.com;jothy.vasagam@ujjivan.com;amudha.s@ujjivan.com;</v>
      </c>
      <c r="L105" s="62" t="str">
        <f>VLOOKUP($B105,Sheet4!$B:$E,4,0)</f>
        <v xml:space="preserve">helpdesk@ujjivan.com;helpdesk@ujjivan.com; </v>
      </c>
      <c r="M105" s="62" t="s">
        <v>1131</v>
      </c>
      <c r="N105" s="68" t="str">
        <f t="shared" si="3"/>
        <v xml:space="preserve">Dear Team, Please find attached list of prospect clients for REPEAT GL-LOANS (clients who have taken earlier an GL Loan) for you branch.
Thanks &amp; Regards,
MIS Team
</v>
      </c>
      <c r="O105" s="63" t="s">
        <v>1028</v>
      </c>
      <c r="X105" s="68" t="s">
        <v>3573</v>
      </c>
      <c r="Y105" s="120" t="s">
        <v>4924</v>
      </c>
      <c r="Z105" s="119" t="s">
        <v>3572</v>
      </c>
    </row>
    <row r="106" spans="1:26" ht="15.75" x14ac:dyDescent="0.25">
      <c r="A106" s="64" t="s">
        <v>403</v>
      </c>
      <c r="B106" s="148" t="s">
        <v>572</v>
      </c>
      <c r="C106" s="62" t="s">
        <v>3287</v>
      </c>
      <c r="D106" s="62" t="str">
        <f t="shared" si="4"/>
        <v>shantharaju.g@Ujjivan.com;sathisha.m@ujjivan.com;ravichandra.mm@ujjivan.com;</v>
      </c>
      <c r="E106" s="62" t="s">
        <v>573</v>
      </c>
      <c r="F106" s="62" t="s">
        <v>4448</v>
      </c>
      <c r="G106" s="62" t="s">
        <v>427</v>
      </c>
      <c r="H106" s="65"/>
      <c r="I106" s="65"/>
      <c r="J106" s="67" t="s">
        <v>4401</v>
      </c>
      <c r="K106" s="62" t="str">
        <f>VLOOKUP(B106,Sheet5!$A$1:$H$471,8,0)</f>
        <v>ravi.alavasalli@ujjivan.com;sathisha.m@ujjivan.com;nagaraju.g@ujjivan.com;ravichandra.mm@ujjivan.com;suresh.poojary@ujjivan.com;padmaprabha.gm@ujjivan.com;</v>
      </c>
      <c r="L106" s="62" t="str">
        <f>VLOOKUP($B106,Sheet4!$B:$E,4,0)</f>
        <v xml:space="preserve">blr-kollegal-branch@ujjivan.com;helpdesk@ujjivan.com; </v>
      </c>
      <c r="M106" s="65" t="s">
        <v>1132</v>
      </c>
      <c r="N106" s="68" t="str">
        <f t="shared" si="3"/>
        <v xml:space="preserve">Dear Team, Please find attached list of prospect clients for REPEAT GL-LOANS (clients who have taken earlier an GL Loan) for you branch.
Thanks &amp; Regards,
MIS Team
</v>
      </c>
      <c r="O106" s="66" t="s">
        <v>1028</v>
      </c>
      <c r="X106" s="68" t="s">
        <v>3573</v>
      </c>
      <c r="Y106" s="120" t="s">
        <v>4924</v>
      </c>
      <c r="Z106" s="119" t="s">
        <v>3572</v>
      </c>
    </row>
    <row r="107" spans="1:26" ht="15.75" x14ac:dyDescent="0.25">
      <c r="A107" s="61" t="s">
        <v>403</v>
      </c>
      <c r="B107" s="147" t="s">
        <v>574</v>
      </c>
      <c r="C107" s="62" t="s">
        <v>3288</v>
      </c>
      <c r="D107" s="62" t="str">
        <f t="shared" si="4"/>
        <v>sreejith.j@ujjivan.com;arun.krishnan@ujjivan.com;joshua.raja@ujjivan.com;</v>
      </c>
      <c r="E107" s="62" t="s">
        <v>575</v>
      </c>
      <c r="F107" s="62" t="s">
        <v>4379</v>
      </c>
      <c r="G107" s="62" t="s">
        <v>4556</v>
      </c>
      <c r="H107" s="62"/>
      <c r="I107" s="62"/>
      <c r="J107" s="67" t="s">
        <v>4401</v>
      </c>
      <c r="K107" s="62" t="str">
        <f>VLOOKUP(B107,Sheet5!$A$1:$H$471,8,0)</f>
        <v>srejith.nair@ujjivan.com;adarsh.ullas@ujjivan.com;abhilash.thomas@ujjivan.com;joshua.raja@ujjivan.com;boopathy.p@ujjivan.com;0;</v>
      </c>
      <c r="L107" s="62" t="str">
        <f>VLOOKUP($B107,Sheet4!$B:$E,4,0)</f>
        <v xml:space="preserve">kl-kottarakara-branch@ujjivan.com;helpdesk@ujjivan.com; </v>
      </c>
      <c r="M107" s="62" t="s">
        <v>1133</v>
      </c>
      <c r="N107" s="68" t="str">
        <f t="shared" si="3"/>
        <v xml:space="preserve">Dear Team, Please find attached list of prospect clients for REPEAT GL-LOANS (clients who have taken earlier an GL Loan) for you branch.
Thanks &amp; Regards,
MIS Team
</v>
      </c>
      <c r="O107" s="63" t="s">
        <v>1028</v>
      </c>
      <c r="X107" s="68" t="s">
        <v>3573</v>
      </c>
      <c r="Y107" s="120" t="s">
        <v>4924</v>
      </c>
      <c r="Z107" s="119" t="s">
        <v>3572</v>
      </c>
    </row>
    <row r="108" spans="1:26" ht="15.75" x14ac:dyDescent="0.25">
      <c r="A108" s="64" t="s">
        <v>403</v>
      </c>
      <c r="B108" s="148" t="s">
        <v>576</v>
      </c>
      <c r="C108" s="62" t="s">
        <v>3289</v>
      </c>
      <c r="D108" s="62" t="str">
        <f t="shared" si="4"/>
        <v>bhakiyaraj.k@ujjivan.com;sivamani.r@ujjivan.com;gowtham@ujjivan.com;</v>
      </c>
      <c r="E108" s="62" t="s">
        <v>577</v>
      </c>
      <c r="F108" s="62" t="s">
        <v>4449</v>
      </c>
      <c r="G108" s="62" t="s">
        <v>4555</v>
      </c>
      <c r="H108" s="65"/>
      <c r="I108" s="65"/>
      <c r="J108" s="67" t="s">
        <v>4401</v>
      </c>
      <c r="K108" s="62" t="str">
        <f>VLOOKUP(B108,Sheet5!$A$1:$H$471,8,0)</f>
        <v>Bhakiyaraj .�K &lt;bhakiyaraj.k@ujjivan.com&gt;;Neppoliyan S &lt;neppoliyan.s@ujjivan.com&gt;;balamurugan.raju@ujjivan.com;gowtham@ujjivan.com;jothy.vasagam@ujjivan.com;amudha.s@ujjivan.com;</v>
      </c>
      <c r="L108" s="62" t="str">
        <f>VLOOKUP($B108,Sheet4!$B:$E,4,0)</f>
        <v xml:space="preserve">tn-mayiladuthurai-branch@ujjivan.com;helpdesk@ujjivan.com; </v>
      </c>
      <c r="M108" s="65" t="s">
        <v>1134</v>
      </c>
      <c r="N108" s="68" t="str">
        <f t="shared" si="3"/>
        <v xml:space="preserve">Dear Team, Please find attached list of prospect clients for REPEAT GL-LOANS (clients who have taken earlier an GL Loan) for you branch.
Thanks &amp; Regards,
MIS Team
</v>
      </c>
      <c r="O108" s="66" t="s">
        <v>1028</v>
      </c>
      <c r="X108" s="68" t="s">
        <v>3573</v>
      </c>
      <c r="Y108" s="120" t="s">
        <v>4924</v>
      </c>
      <c r="Z108" s="119" t="s">
        <v>3572</v>
      </c>
    </row>
    <row r="109" spans="1:26" ht="15.75" x14ac:dyDescent="0.25">
      <c r="A109" s="61" t="s">
        <v>403</v>
      </c>
      <c r="B109" s="147" t="s">
        <v>578</v>
      </c>
      <c r="C109" s="62" t="s">
        <v>2925</v>
      </c>
      <c r="D109" s="62" t="str">
        <f t="shared" si="4"/>
        <v>mallesha.hn@ujjivan.com;Mahesh.nanjappa@ujjivan.com;ravichandra.mm@ujjivan.com;</v>
      </c>
      <c r="E109" s="62" t="s">
        <v>2927</v>
      </c>
      <c r="F109" s="62" t="s">
        <v>4381</v>
      </c>
      <c r="G109" s="62" t="s">
        <v>427</v>
      </c>
      <c r="H109" s="62"/>
      <c r="I109" s="62"/>
      <c r="J109" s="67" t="s">
        <v>4401</v>
      </c>
      <c r="K109" s="62" t="str">
        <f>VLOOKUP(B109,Sheet5!$A$1:$H$471,8,0)</f>
        <v>mallesha.hn@ujjivan.com;Mahesh.nanjappa@ujjivan.com;murali.mohan@ujjivan.com;ravichandra.mm@ujjivan.com;suresh.poojary@ujjivan.com;naveen.upadhye@ujjvan.com;</v>
      </c>
      <c r="L109" s="62" t="str">
        <f>VLOOKUP($B109,Sheet4!$B:$E,4,0)</f>
        <v xml:space="preserve">blr-hdkote-branch@ujjivan.com;helpdesk@ujjivan.com; </v>
      </c>
      <c r="M109" s="62" t="s">
        <v>1135</v>
      </c>
      <c r="N109" s="68" t="str">
        <f t="shared" si="3"/>
        <v xml:space="preserve">Dear Team, Please find attached list of prospect clients for REPEAT GL-LOANS (clients who have taken earlier an GL Loan) for you branch.
Thanks &amp; Regards,
MIS Team
</v>
      </c>
      <c r="O109" s="63" t="s">
        <v>1028</v>
      </c>
      <c r="X109" s="68" t="s">
        <v>3573</v>
      </c>
      <c r="Y109" s="120" t="s">
        <v>4924</v>
      </c>
      <c r="Z109" s="119" t="s">
        <v>3572</v>
      </c>
    </row>
    <row r="110" spans="1:26" ht="15.75" x14ac:dyDescent="0.25">
      <c r="A110" s="64" t="s">
        <v>403</v>
      </c>
      <c r="B110" s="148" t="s">
        <v>579</v>
      </c>
      <c r="C110" s="62" t="s">
        <v>861</v>
      </c>
      <c r="D110" s="62" t="str">
        <f t="shared" si="4"/>
        <v>yogananda.jayaram@ujjivan.com;mahesha.n@ujjivan.com;ravichandra.mm@ujjivan.com;</v>
      </c>
      <c r="E110" s="62" t="s">
        <v>862</v>
      </c>
      <c r="F110" s="62" t="s">
        <v>4450</v>
      </c>
      <c r="G110" s="62" t="s">
        <v>427</v>
      </c>
      <c r="H110" s="65"/>
      <c r="I110" s="65"/>
      <c r="J110" s="67" t="s">
        <v>4401</v>
      </c>
      <c r="K110" s="62" t="str">
        <f>VLOOKUP(B110,Sheet5!$A$1:$H$471,8,0)</f>
        <v>yogananda.jayaram@ujjivan.com;mahesha.n@ujjivan.com;murali.mohan@ujjivan.com;ravichandra.mm@ujjivan.com;suresh.poojary@ujjivan.com;naveen.upadhye@ujjvan.com;</v>
      </c>
      <c r="L110" s="62" t="str">
        <f>VLOOKUP($B110,Sheet4!$B:$E,4,0)</f>
        <v xml:space="preserve">blr-krnagara-branch@ujjivan.com;helpdesk@ujjivan.com; </v>
      </c>
      <c r="M110" s="65" t="s">
        <v>1136</v>
      </c>
      <c r="N110" s="68" t="str">
        <f t="shared" si="3"/>
        <v xml:space="preserve">Dear Team, Please find attached list of prospect clients for REPEAT GL-LOANS (clients who have taken earlier an GL Loan) for you branch.
Thanks &amp; Regards,
MIS Team
</v>
      </c>
      <c r="O110" s="66" t="s">
        <v>1028</v>
      </c>
      <c r="X110" s="68" t="s">
        <v>3573</v>
      </c>
      <c r="Y110" s="120" t="s">
        <v>4924</v>
      </c>
      <c r="Z110" s="119" t="s">
        <v>3572</v>
      </c>
    </row>
    <row r="111" spans="1:26" ht="15.75" x14ac:dyDescent="0.25">
      <c r="A111" s="61" t="s">
        <v>403</v>
      </c>
      <c r="B111" s="147" t="s">
        <v>580</v>
      </c>
      <c r="C111" s="62" t="s">
        <v>586</v>
      </c>
      <c r="D111" s="62" t="str">
        <f t="shared" si="4"/>
        <v>kalirajan.m@ujjivan.com;selvakumar.m@ujjivan.com;gowtham@ujjivan.com;</v>
      </c>
      <c r="E111" s="62" t="s">
        <v>587</v>
      </c>
      <c r="F111" s="62" t="s">
        <v>4382</v>
      </c>
      <c r="G111" s="62" t="s">
        <v>4555</v>
      </c>
      <c r="H111" s="62"/>
      <c r="I111" s="62"/>
      <c r="J111" s="67" t="s">
        <v>4401</v>
      </c>
      <c r="K111" s="62" t="str">
        <f>VLOOKUP(B111,Sheet5!$A$1:$H$471,8,0)</f>
        <v>dhanapal.t@ujjivan.com;selvakumar.m@ujjivan.com;john.wesley@ujjivan.com;gowtham@ujjivan.com;jothy.vasagam@ujjivan.com;p.rajasekar@ujjivan.com;</v>
      </c>
      <c r="L111" s="62" t="str">
        <f>VLOOKUP($B111,Sheet4!$B:$E,4,0)</f>
        <v xml:space="preserve">tn-rajapalayam-branch@ujjivan.com;helpdesk@ujjivan.com; </v>
      </c>
      <c r="M111" s="62" t="s">
        <v>1137</v>
      </c>
      <c r="N111" s="68" t="str">
        <f t="shared" si="3"/>
        <v xml:space="preserve">Dear Team, Please find attached list of prospect clients for REPEAT GL-LOANS (clients who have taken earlier an GL Loan) for you branch.
Thanks &amp; Regards,
MIS Team
</v>
      </c>
      <c r="O111" s="63" t="s">
        <v>1028</v>
      </c>
      <c r="X111" s="68" t="s">
        <v>3573</v>
      </c>
      <c r="Y111" s="120" t="s">
        <v>4924</v>
      </c>
      <c r="Z111" s="119" t="s">
        <v>3572</v>
      </c>
    </row>
    <row r="112" spans="1:26" ht="15.75" x14ac:dyDescent="0.25">
      <c r="A112" s="64" t="s">
        <v>403</v>
      </c>
      <c r="B112" s="148" t="s">
        <v>581</v>
      </c>
      <c r="C112" s="62" t="s">
        <v>3290</v>
      </c>
      <c r="D112" s="62" t="str">
        <f t="shared" si="4"/>
        <v>rajesh.chaluvaiah@ujjivan.com;suman.mahadeva@ujjivan.com;ravichandra.mm@ujjivan.com;</v>
      </c>
      <c r="E112" s="62" t="s">
        <v>3627</v>
      </c>
      <c r="F112" s="62" t="s">
        <v>4383</v>
      </c>
      <c r="G112" s="62" t="s">
        <v>427</v>
      </c>
      <c r="H112" s="65"/>
      <c r="I112" s="65"/>
      <c r="J112" s="67" t="s">
        <v>4401</v>
      </c>
      <c r="K112" s="62" t="str">
        <f>VLOOKUP(B112,Sheet5!$A$1:$H$471,8,0)</f>
        <v>rajesh.chaluvaiah@ujjivan.com;manikanta.gowda@ujjivan.com;murali.mohan@ujjivan.com;ravichandra.mm@ujjivan.com;suresh.poojary@ujjivan.com;harshith.hn@ujjivan.com;</v>
      </c>
      <c r="L112" s="62" t="str">
        <f>VLOOKUP($B112,Sheet4!$B:$E,4,0)</f>
        <v xml:space="preserve">blr-krpete-branch@ujjivan.com;helpdesk@ujjivan.com; </v>
      </c>
      <c r="M112" s="65" t="s">
        <v>1138</v>
      </c>
      <c r="N112" s="68" t="str">
        <f t="shared" si="3"/>
        <v xml:space="preserve">Dear Team, Please find attached list of prospect clients for REPEAT GL-LOANS (clients who have taken earlier an GL Loan) for you branch.
Thanks &amp; Regards,
MIS Team
</v>
      </c>
      <c r="O112" s="66" t="s">
        <v>1028</v>
      </c>
      <c r="X112" s="68" t="s">
        <v>3573</v>
      </c>
      <c r="Y112" s="120" t="s">
        <v>4924</v>
      </c>
      <c r="Z112" s="119" t="s">
        <v>3572</v>
      </c>
    </row>
    <row r="113" spans="1:26" ht="15.75" x14ac:dyDescent="0.25">
      <c r="A113" s="61" t="s">
        <v>403</v>
      </c>
      <c r="B113" s="147" t="s">
        <v>584</v>
      </c>
      <c r="C113" s="62" t="s">
        <v>3291</v>
      </c>
      <c r="D113" s="62" t="str">
        <f t="shared" si="4"/>
        <v>mayilsamy@ujjivan.com;arun.r@ujjivan.com;thiyagu.basavaraj@ujjivan.com;</v>
      </c>
      <c r="E113" s="62" t="s">
        <v>3628</v>
      </c>
      <c r="F113" s="62" t="s">
        <v>4384</v>
      </c>
      <c r="G113" s="62" t="s">
        <v>447</v>
      </c>
      <c r="H113" s="62"/>
      <c r="I113" s="62"/>
      <c r="J113" s="67" t="s">
        <v>4401</v>
      </c>
      <c r="K113" s="62" t="str">
        <f>VLOOKUP(B113,Sheet5!$A$1:$H$471,8,0)</f>
        <v>emmanuel.gnanaseelan@ujjivan.com;vijai.subramani@ujjivan.com;bharath.m@ujjivan.com;thiyagu.basavaraj@ujjivan.com;umamaheswari.s@ujjivan.com;srinath.r@ujjivan.com;</v>
      </c>
      <c r="L113" s="62" t="str">
        <f>VLOOKUP($B113,Sheet4!$B:$E,4,0)</f>
        <v xml:space="preserve">tn-kanchipuram-branch@ujjivan.com;helpdesk@ujjivan.com; </v>
      </c>
      <c r="M113" s="62" t="s">
        <v>1139</v>
      </c>
      <c r="N113" s="68" t="str">
        <f t="shared" si="3"/>
        <v xml:space="preserve">Dear Team, Please find attached list of prospect clients for REPEAT GL-LOANS (clients who have taken earlier an GL Loan) for you branch.
Thanks &amp; Regards,
MIS Team
</v>
      </c>
      <c r="O113" s="63" t="s">
        <v>1028</v>
      </c>
      <c r="X113" s="68" t="s">
        <v>3573</v>
      </c>
      <c r="Y113" s="120" t="s">
        <v>4924</v>
      </c>
      <c r="Z113" s="119" t="s">
        <v>3572</v>
      </c>
    </row>
    <row r="114" spans="1:26" ht="15.75" x14ac:dyDescent="0.25">
      <c r="A114" s="64" t="s">
        <v>403</v>
      </c>
      <c r="B114" s="148" t="s">
        <v>585</v>
      </c>
      <c r="C114" s="62" t="s">
        <v>3292</v>
      </c>
      <c r="D114" s="62" t="str">
        <f t="shared" si="4"/>
        <v>alaguraja.solai@ujjivan.com;guruvaraj.sogusa@ujjivan.com;gowtham@ujjivan.com;</v>
      </c>
      <c r="E114" s="62" t="s">
        <v>3629</v>
      </c>
      <c r="F114" s="62" t="s">
        <v>4385</v>
      </c>
      <c r="G114" s="62" t="s">
        <v>4555</v>
      </c>
      <c r="H114" s="65"/>
      <c r="I114" s="65"/>
      <c r="J114" s="67" t="s">
        <v>4401</v>
      </c>
      <c r="K114" s="62" t="str">
        <f>VLOOKUP(B114,Sheet5!$A$1:$H$471,8,0)</f>
        <v>guruvaraj.sogusa@ujjivan.com;marimuthuraja.r@ujjivan.com;john.wesley@ujjivan.com;gowtham@ujjivan.com;jothy.vasagam@ujjivan.com;p.rajasekar@ujjivan.com;</v>
      </c>
      <c r="L114" s="62" t="str">
        <f>VLOOKUP($B114,Sheet4!$B:$E,4,0)</f>
        <v xml:space="preserve">tn-sivakasi-branch@ujjivan.com;helpdesk@ujjivan.com; </v>
      </c>
      <c r="M114" s="65" t="s">
        <v>1140</v>
      </c>
      <c r="N114" s="68" t="str">
        <f t="shared" si="3"/>
        <v xml:space="preserve">Dear Team, Please find attached list of prospect clients for REPEAT GL-LOANS (clients who have taken earlier an GL Loan) for you branch.
Thanks &amp; Regards,
MIS Team
</v>
      </c>
      <c r="O114" s="66" t="s">
        <v>1028</v>
      </c>
      <c r="X114" s="68" t="s">
        <v>3573</v>
      </c>
      <c r="Y114" s="120" t="s">
        <v>4924</v>
      </c>
      <c r="Z114" s="119" t="s">
        <v>3572</v>
      </c>
    </row>
    <row r="115" spans="1:26" ht="15.75" x14ac:dyDescent="0.25">
      <c r="A115" s="61" t="s">
        <v>403</v>
      </c>
      <c r="B115" s="147" t="s">
        <v>588</v>
      </c>
      <c r="C115" s="62" t="s">
        <v>3293</v>
      </c>
      <c r="D115" s="62" t="e">
        <f t="shared" si="4"/>
        <v>#N/A</v>
      </c>
      <c r="E115" s="62" t="s">
        <v>3630</v>
      </c>
      <c r="F115" s="62" t="e">
        <v>#N/A</v>
      </c>
      <c r="G115" s="62" t="e">
        <v>#N/A</v>
      </c>
      <c r="H115" s="62"/>
      <c r="I115" s="62"/>
      <c r="J115" s="67" t="s">
        <v>4401</v>
      </c>
      <c r="K115" s="62" t="str">
        <f>VLOOKUP(B115,Sheet5!$A$1:$H$471,8,0)</f>
        <v>kalidass.b@ujjivan.com;avudaiselvan.k@ujjivan.com;john.wesley@ujjivan.com;;jothy.vasagam@ujjivan.com;p.rajasekar@ujjivan.com;</v>
      </c>
      <c r="L115" s="62" t="str">
        <f>VLOOKUP($B115,Sheet4!$B:$E,4,0)</f>
        <v xml:space="preserve">tn-ambasamudram-branch@ujjivan.com;helpdesk@ujjivan.com; </v>
      </c>
      <c r="M115" s="62" t="s">
        <v>1141</v>
      </c>
      <c r="N115" s="68" t="str">
        <f t="shared" si="3"/>
        <v xml:space="preserve">Dear Team, Please find attached list of prospect clients for REPEAT GL-LOANS (clients who have taken earlier an GL Loan) for you branch.
Thanks &amp; Regards,
MIS Team
</v>
      </c>
      <c r="O115" s="63" t="s">
        <v>1028</v>
      </c>
      <c r="X115" s="68" t="s">
        <v>3573</v>
      </c>
      <c r="Y115" s="120" t="s">
        <v>4924</v>
      </c>
      <c r="Z115" s="119" t="s">
        <v>3572</v>
      </c>
    </row>
    <row r="116" spans="1:26" ht="15.75" x14ac:dyDescent="0.25">
      <c r="A116" s="64" t="s">
        <v>403</v>
      </c>
      <c r="B116" s="148" t="s">
        <v>591</v>
      </c>
      <c r="C116" s="62" t="s">
        <v>2931</v>
      </c>
      <c r="D116" s="62" t="str">
        <f t="shared" si="4"/>
        <v>syed.mushtak@ujjivan.com;kalidass.b@ujjivan.com;thiyagu.basavaraj@ujjivan.com;</v>
      </c>
      <c r="E116" s="62" t="s">
        <v>1441</v>
      </c>
      <c r="F116" s="62" t="s">
        <v>4387</v>
      </c>
      <c r="G116" s="62" t="s">
        <v>447</v>
      </c>
      <c r="H116" s="65" t="s">
        <v>409</v>
      </c>
      <c r="I116" s="65" t="s">
        <v>407</v>
      </c>
      <c r="J116" s="67" t="s">
        <v>4401</v>
      </c>
      <c r="K116" s="62" t="str">
        <f>VLOOKUP(B116,Sheet5!$A$1:$H$471,8,0)</f>
        <v>syed.mushtak@ujjivan.com;loganathan.selvaraj@ujjivan.com;sudhakar.babu@ujjivan.com;thiyagu.basavaraj@ujjivan.com;rajaguru.i@ujjivan.com;muralidharan.n@ujjivan.com;</v>
      </c>
      <c r="L116" s="62" t="str">
        <f>VLOOKUP($B116,Sheet4!$B:$E,4,0)</f>
        <v xml:space="preserve">tn-rasipuram-branch@ujjivan.com;helpdesk@ujjivan.com; </v>
      </c>
      <c r="M116" s="65" t="s">
        <v>1142</v>
      </c>
      <c r="N116" s="68" t="str">
        <f t="shared" si="3"/>
        <v xml:space="preserve">Dear Team, Please find attached list of prospect clients for REPEAT GL-LOANS (clients who have taken earlier an GL Loan) for you branch.
Thanks &amp; Regards,
MIS Team
</v>
      </c>
      <c r="O116" s="66" t="s">
        <v>1028</v>
      </c>
      <c r="X116" s="68" t="s">
        <v>3573</v>
      </c>
      <c r="Y116" s="120" t="s">
        <v>4924</v>
      </c>
      <c r="Z116" s="119" t="s">
        <v>3572</v>
      </c>
    </row>
    <row r="117" spans="1:26" ht="15.75" x14ac:dyDescent="0.25">
      <c r="A117" s="61" t="s">
        <v>403</v>
      </c>
      <c r="B117" s="147" t="s">
        <v>592</v>
      </c>
      <c r="C117" s="62" t="s">
        <v>3294</v>
      </c>
      <c r="D117" s="62" t="str">
        <f t="shared" si="4"/>
        <v>ashokkumar.janardhana@ujjivan.com;venkatesh.dm@ujjivan.com;sachinkumar.kb@ujjivan.com;</v>
      </c>
      <c r="E117" s="62" t="s">
        <v>3631</v>
      </c>
      <c r="F117" s="62" t="s">
        <v>4388</v>
      </c>
      <c r="G117" s="62" t="s">
        <v>405</v>
      </c>
      <c r="H117" s="62"/>
      <c r="I117" s="62"/>
      <c r="J117" s="67" t="s">
        <v>4401</v>
      </c>
      <c r="K117" s="62" t="str">
        <f>VLOOKUP(B117,Sheet5!$A$1:$H$471,8,0)</f>
        <v>ashokkumar.janardhana@ujjivan.com;venkatesh.dm@ujjivan.com;sandeep.jain@ujjivan.com;sachinkumar.kb@ujjivan.com;shekhar.poojary@ujjivan.com;vineethkumar.v@ujjivan.com;</v>
      </c>
      <c r="L117" s="62" t="str">
        <f>VLOOKUP($B117,Sheet4!$B:$E,4,0)</f>
        <v xml:space="preserve">blr-nelamangala-branch@ujjivan.com;helpdesk@ujjivan.com; </v>
      </c>
      <c r="M117" s="62" t="s">
        <v>1143</v>
      </c>
      <c r="N117" s="68" t="str">
        <f t="shared" si="3"/>
        <v xml:space="preserve">Dear Team, Please find attached list of prospect clients for REPEAT GL-LOANS (clients who have taken earlier an GL Loan) for you branch.
Thanks &amp; Regards,
MIS Team
</v>
      </c>
      <c r="O117" s="63" t="s">
        <v>1028</v>
      </c>
      <c r="X117" s="68" t="s">
        <v>3573</v>
      </c>
      <c r="Y117" s="120" t="s">
        <v>4924</v>
      </c>
      <c r="Z117" s="119" t="s">
        <v>3572</v>
      </c>
    </row>
    <row r="118" spans="1:26" ht="15.75" x14ac:dyDescent="0.25">
      <c r="A118" s="64" t="s">
        <v>403</v>
      </c>
      <c r="B118" s="148" t="s">
        <v>593</v>
      </c>
      <c r="C118" s="62" t="s">
        <v>3295</v>
      </c>
      <c r="D118" s="62" t="str">
        <f t="shared" si="4"/>
        <v>s.achuthaneyan@ujjivan.com;kannan.m@ujjivan.com;gowtham@ujjivan.com;</v>
      </c>
      <c r="E118" s="62" t="s">
        <v>3632</v>
      </c>
      <c r="F118" s="62" t="s">
        <v>4389</v>
      </c>
      <c r="G118" s="62" t="s">
        <v>4555</v>
      </c>
      <c r="H118" s="65"/>
      <c r="I118" s="65"/>
      <c r="J118" s="67" t="s">
        <v>4401</v>
      </c>
      <c r="K118" s="62" t="str">
        <f>VLOOKUP(B118,Sheet5!$A$1:$H$471,8,0)</f>
        <v>varatha.rajan@ujjivan.com;sakthisivam.r@ujjivan.com;john.wesley@ujjivan.com;gowtham@ujjivan.com;jothy.vasagam@ujjivan.com;p.rajasekar@ujjivan.com;</v>
      </c>
      <c r="L118" s="62" t="str">
        <f>VLOOKUP($B118,Sheet4!$B:$E,4,0)</f>
        <v xml:space="preserve">tn-tenkasi-branch@ujjivan.com;helpdesk@ujjivan.com; </v>
      </c>
      <c r="M118" s="65" t="s">
        <v>1144</v>
      </c>
      <c r="N118" s="68" t="str">
        <f t="shared" si="3"/>
        <v xml:space="preserve">Dear Team, Please find attached list of prospect clients for REPEAT GL-LOANS (clients who have taken earlier an GL Loan) for you branch.
Thanks &amp; Regards,
MIS Team
</v>
      </c>
      <c r="O118" s="66" t="s">
        <v>1028</v>
      </c>
      <c r="X118" s="68" t="s">
        <v>3573</v>
      </c>
      <c r="Y118" s="120" t="s">
        <v>4924</v>
      </c>
      <c r="Z118" s="119" t="s">
        <v>3572</v>
      </c>
    </row>
    <row r="119" spans="1:26" ht="15.75" x14ac:dyDescent="0.25">
      <c r="A119" s="61" t="s">
        <v>403</v>
      </c>
      <c r="B119" s="147" t="s">
        <v>594</v>
      </c>
      <c r="C119" s="62" t="s">
        <v>3296</v>
      </c>
      <c r="D119" s="62" t="str">
        <f t="shared" si="4"/>
        <v>p.sivaprakash@ujjivan.com;krishna.kumar@ujjivan.com;gowtham@ujjivan.com;</v>
      </c>
      <c r="E119" s="62" t="s">
        <v>3633</v>
      </c>
      <c r="F119" s="62" t="s">
        <v>4390</v>
      </c>
      <c r="G119" s="62" t="s">
        <v>4555</v>
      </c>
      <c r="H119" s="62"/>
      <c r="I119" s="62"/>
      <c r="J119" s="67" t="s">
        <v>4401</v>
      </c>
      <c r="K119" s="62" t="str">
        <f>VLOOKUP(B119,Sheet5!$A$1:$H$471,8,0)</f>
        <v>p.sivaprakash@ujjivan.com;krishna.kumar@ujjivan.com;packiaraj.k@ujjivan.com;gowtham@ujjivan.com;jothy.vasagam@ujjivan.com;balamurugan.subburaj@ujjivan.com;</v>
      </c>
      <c r="L119" s="62" t="str">
        <f>VLOOKUP($B119,Sheet4!$B:$E,4,0)</f>
        <v xml:space="preserve">tn-cumbum-branch@ujjivan.com;helpdesk@ujjivan.com; </v>
      </c>
      <c r="M119" s="62" t="s">
        <v>1145</v>
      </c>
      <c r="N119" s="68" t="str">
        <f t="shared" si="3"/>
        <v xml:space="preserve">Dear Team, Please find attached list of prospect clients for REPEAT GL-LOANS (clients who have taken earlier an GL Loan) for you branch.
Thanks &amp; Regards,
MIS Team
</v>
      </c>
      <c r="O119" s="63" t="s">
        <v>1028</v>
      </c>
      <c r="X119" s="68" t="s">
        <v>3573</v>
      </c>
      <c r="Y119" s="120" t="s">
        <v>4924</v>
      </c>
      <c r="Z119" s="119" t="s">
        <v>3572</v>
      </c>
    </row>
    <row r="120" spans="1:26" ht="15.75" x14ac:dyDescent="0.25">
      <c r="A120" s="64" t="s">
        <v>403</v>
      </c>
      <c r="B120" s="148" t="s">
        <v>595</v>
      </c>
      <c r="C120" s="62" t="s">
        <v>3297</v>
      </c>
      <c r="D120" s="62" t="str">
        <f t="shared" si="4"/>
        <v>chithiraikkani.i@ujjivan.com;ramar@ujjivan.com;gowtham@ujjivan.com;</v>
      </c>
      <c r="E120" s="62" t="s">
        <v>3634</v>
      </c>
      <c r="F120" s="62" t="s">
        <v>4391</v>
      </c>
      <c r="G120" s="62" t="s">
        <v>4555</v>
      </c>
      <c r="H120" s="65"/>
      <c r="I120" s="65"/>
      <c r="J120" s="67" t="s">
        <v>4401</v>
      </c>
      <c r="K120" s="62" t="str">
        <f>VLOOKUP(B120,Sheet5!$A$1:$H$471,8,0)</f>
        <v>chithiraikkani.i@ujjivan.com;ramar@ujjivan.com;john.wesley@ujjivan.com;gowtham@ujjivan.com;jothy.vasagam@ujjivan.com;p.rajasekar@ujjivan.com;</v>
      </c>
      <c r="L120" s="62" t="str">
        <f>VLOOKUP($B120,Sheet4!$B:$E,4,0)</f>
        <v xml:space="preserve">tn-sankarankovil-branch@ujjivan.com;helpdesk@ujjivan.com; </v>
      </c>
      <c r="M120" s="65" t="s">
        <v>1146</v>
      </c>
      <c r="N120" s="68" t="str">
        <f t="shared" si="3"/>
        <v xml:space="preserve">Dear Team, Please find attached list of prospect clients for REPEAT GL-LOANS (clients who have taken earlier an GL Loan) for you branch.
Thanks &amp; Regards,
MIS Team
</v>
      </c>
      <c r="O120" s="66" t="s">
        <v>1028</v>
      </c>
      <c r="X120" s="68" t="s">
        <v>3573</v>
      </c>
      <c r="Y120" s="120" t="s">
        <v>4924</v>
      </c>
      <c r="Z120" s="119" t="s">
        <v>3572</v>
      </c>
    </row>
    <row r="121" spans="1:26" ht="15.75" x14ac:dyDescent="0.25">
      <c r="A121" s="61" t="s">
        <v>403</v>
      </c>
      <c r="B121" s="147" t="s">
        <v>597</v>
      </c>
      <c r="C121" s="62" t="s">
        <v>589</v>
      </c>
      <c r="D121" s="62" t="str">
        <f t="shared" si="4"/>
        <v>palani.kumar@ujjivan.com;ganeshkumar.k@ujjivan.com;gowtham@ujjivan.com;</v>
      </c>
      <c r="E121" s="62" t="s">
        <v>590</v>
      </c>
      <c r="F121" s="62" t="s">
        <v>4392</v>
      </c>
      <c r="G121" s="62" t="s">
        <v>4555</v>
      </c>
      <c r="H121" s="62"/>
      <c r="I121" s="62"/>
      <c r="J121" s="67" t="s">
        <v>4401</v>
      </c>
      <c r="K121" s="62" t="str">
        <f>VLOOKUP(B121,Sheet5!$A$1:$H$471,8,0)</f>
        <v>palani.kumar@ujjivan.com;ganeshkumar.k@ujjivan.com;john.wesley@ujjivan.com;gowtham@ujjivan.com;jothy.vasagam@ujjivan.com;p.rajasekar@ujjivan.com;</v>
      </c>
      <c r="L121" s="62" t="str">
        <f>VLOOKUP($B121,Sheet4!$B:$E,4,0)</f>
        <v xml:space="preserve">tn-aruppukottai-branch@ujjivan.com;helpdesk@ujjivan.com; </v>
      </c>
      <c r="M121" s="62" t="s">
        <v>1147</v>
      </c>
      <c r="N121" s="68" t="str">
        <f t="shared" si="3"/>
        <v xml:space="preserve">Dear Team, Please find attached list of prospect clients for REPEAT GL-LOANS (clients who have taken earlier an GL Loan) for you branch.
Thanks &amp; Regards,
MIS Team
</v>
      </c>
      <c r="O121" s="63" t="s">
        <v>1028</v>
      </c>
      <c r="X121" s="68" t="s">
        <v>3573</v>
      </c>
      <c r="Y121" s="120" t="s">
        <v>4924</v>
      </c>
      <c r="Z121" s="119" t="s">
        <v>3572</v>
      </c>
    </row>
    <row r="122" spans="1:26" ht="15.75" x14ac:dyDescent="0.25">
      <c r="A122" s="64" t="s">
        <v>403</v>
      </c>
      <c r="B122" s="148" t="s">
        <v>598</v>
      </c>
      <c r="C122" s="62" t="s">
        <v>4558</v>
      </c>
      <c r="D122" s="62" t="e">
        <f t="shared" si="4"/>
        <v>#N/A</v>
      </c>
      <c r="E122" s="62">
        <v>0</v>
      </c>
      <c r="F122" s="62" t="e">
        <v>#N/A</v>
      </c>
      <c r="G122" s="62" t="e">
        <v>#N/A</v>
      </c>
      <c r="H122" s="65"/>
      <c r="I122" s="65"/>
      <c r="J122" s="67" t="s">
        <v>4401</v>
      </c>
      <c r="K122" s="62" t="str">
        <f>VLOOKUP(B122,Sheet5!$A$1:$H$471,8,0)</f>
        <v>;;;;jothy.vasagam@ujjivan.com;balamurugan.subburaj@ujjivan.com;</v>
      </c>
      <c r="L122" s="62" t="str">
        <f>VLOOKUP($B122,Sheet4!$B:$E,4,0)</f>
        <v xml:space="preserve">tn-vathalagundu-branch@ujjivan.com;helpdesk@ujjivan.com; </v>
      </c>
      <c r="M122" s="65" t="s">
        <v>1148</v>
      </c>
      <c r="N122" s="68"/>
      <c r="O122" s="66" t="s">
        <v>1028</v>
      </c>
      <c r="X122" s="68" t="s">
        <v>3573</v>
      </c>
      <c r="Y122" s="120" t="s">
        <v>4924</v>
      </c>
      <c r="Z122" s="119" t="s">
        <v>3572</v>
      </c>
    </row>
    <row r="123" spans="1:26" ht="15.75" x14ac:dyDescent="0.25">
      <c r="A123" s="61" t="s">
        <v>403</v>
      </c>
      <c r="B123" s="147" t="s">
        <v>857</v>
      </c>
      <c r="C123" s="62" t="s">
        <v>3298</v>
      </c>
      <c r="D123" s="62" t="str">
        <f t="shared" si="4"/>
        <v>gladson.vethachalam@ujjivan.com;marimuthu.v@ujjivan.com;gowtham@ujjivan.com;</v>
      </c>
      <c r="E123" s="62" t="s">
        <v>3635</v>
      </c>
      <c r="F123" s="62" t="s">
        <v>4393</v>
      </c>
      <c r="G123" s="62" t="s">
        <v>4555</v>
      </c>
      <c r="H123" s="62"/>
      <c r="I123" s="62"/>
      <c r="J123" s="67" t="s">
        <v>4401</v>
      </c>
      <c r="K123" s="62" t="str">
        <f>VLOOKUP(B123,Sheet5!$A$1:$H$471,8,0)</f>
        <v>gladson.vethachalam@ujjivan.com;marimuthu.v@ujjivan.com;john.wesley@ujjivan.com;gowtham@ujjivan.com;jothy.vasagam@ujjivan.com;p.rajasekar@ujjivan.com;</v>
      </c>
      <c r="L123" s="62" t="str">
        <f>VLOOKUP($B123,Sheet4!$B:$E,4,0)</f>
        <v xml:space="preserve">tn-tirunelveli-branch@ujjivan.com;helpdesk@ujjivan.com; </v>
      </c>
      <c r="M123" s="62" t="s">
        <v>1149</v>
      </c>
      <c r="N123" s="68" t="str">
        <f t="shared" si="3"/>
        <v xml:space="preserve">Dear Team, Please find attached list of prospect clients for REPEAT GL-LOANS (clients who have taken earlier an GL Loan) for you branch.
Thanks &amp; Regards,
MIS Team
</v>
      </c>
      <c r="O123" s="63" t="s">
        <v>1028</v>
      </c>
      <c r="X123" s="68" t="s">
        <v>3573</v>
      </c>
      <c r="Y123" s="120" t="s">
        <v>4924</v>
      </c>
      <c r="Z123" s="119" t="s">
        <v>3572</v>
      </c>
    </row>
    <row r="124" spans="1:26" ht="15.75" x14ac:dyDescent="0.25">
      <c r="A124" s="64" t="s">
        <v>403</v>
      </c>
      <c r="B124" s="148" t="s">
        <v>858</v>
      </c>
      <c r="C124" s="62" t="s">
        <v>3299</v>
      </c>
      <c r="D124" s="62" t="str">
        <f t="shared" si="4"/>
        <v>raja.kumar@ujjivan.com;saravanakumar.m@ujjivan.com;gowtham@ujjivan.com;</v>
      </c>
      <c r="E124" s="62" t="s">
        <v>859</v>
      </c>
      <c r="F124" s="62" t="s">
        <v>4394</v>
      </c>
      <c r="G124" s="62" t="s">
        <v>4555</v>
      </c>
      <c r="H124" s="65"/>
      <c r="I124" s="65"/>
      <c r="J124" s="67" t="s">
        <v>4401</v>
      </c>
      <c r="K124" s="62" t="str">
        <f>VLOOKUP(B124,Sheet5!$A$1:$H$471,8,0)</f>
        <v>raja.kumar@ujjivan.com;;john.wesley@ujjivan.com;gowtham@ujjivan.com;jothy.vasagam@ujjivan.com;p.rajasekar@ujjivan.com;</v>
      </c>
      <c r="L124" s="62" t="str">
        <f>VLOOKUP($B124,Sheet4!$B:$E,4,0)</f>
        <v xml:space="preserve">tn-nagarcoil-branch@ujjivan.com;helpdesk@ujjivan.com; </v>
      </c>
      <c r="M124" s="65" t="s">
        <v>1150</v>
      </c>
      <c r="N124" s="68" t="str">
        <f t="shared" si="3"/>
        <v xml:space="preserve">Dear Team, Please find attached list of prospect clients for REPEAT GL-LOANS (clients who have taken earlier an GL Loan) for you branch.
Thanks &amp; Regards,
MIS Team
</v>
      </c>
      <c r="O124" s="66" t="s">
        <v>1028</v>
      </c>
      <c r="X124" s="68" t="s">
        <v>3573</v>
      </c>
      <c r="Y124" s="120" t="s">
        <v>4924</v>
      </c>
      <c r="Z124" s="119" t="s">
        <v>3572</v>
      </c>
    </row>
    <row r="125" spans="1:26" ht="15.75" x14ac:dyDescent="0.25">
      <c r="A125" s="61" t="s">
        <v>403</v>
      </c>
      <c r="B125" s="147" t="s">
        <v>860</v>
      </c>
      <c r="C125" s="62" t="s">
        <v>582</v>
      </c>
      <c r="D125" s="62" t="str">
        <f t="shared" si="4"/>
        <v>raghunandan.hs@ujjivan.com;Sunitha.somashekar@ujjivan.com;ravichandra.mm@ujjivan.com;</v>
      </c>
      <c r="E125" s="62" t="s">
        <v>583</v>
      </c>
      <c r="F125" s="62" t="s">
        <v>4395</v>
      </c>
      <c r="G125" s="62" t="s">
        <v>427</v>
      </c>
      <c r="H125" s="62"/>
      <c r="I125" s="62"/>
      <c r="J125" s="67" t="s">
        <v>4401</v>
      </c>
      <c r="K125" s="62" t="str">
        <f>VLOOKUP(B125,Sheet5!$A$1:$H$471,8,0)</f>
        <v>raghunandan.hs@ujjivan.com;srikanth.siddaraju@ujjivan.com;murali.mohan@ujjivan.com;ravichandra.mm@ujjivan.com;suresh.poojary@ujjivan.com;harshith.hn@ujjivan.com;</v>
      </c>
      <c r="L125" s="62" t="str">
        <f>VLOOKUP($B125,Sheet4!$B:$E,4,0)</f>
        <v xml:space="preserve">blr-pandavapura-branch@ujjivan.com;helpdesk@ujjivan.com; </v>
      </c>
      <c r="M125" s="62" t="s">
        <v>1151</v>
      </c>
      <c r="N125" s="68" t="str">
        <f t="shared" si="3"/>
        <v xml:space="preserve">Dear Team, Please find attached list of prospect clients for REPEAT GL-LOANS (clients who have taken earlier an GL Loan) for you branch.
Thanks &amp; Regards,
MIS Team
</v>
      </c>
      <c r="O125" s="63" t="s">
        <v>1028</v>
      </c>
      <c r="X125" s="68" t="s">
        <v>3573</v>
      </c>
      <c r="Y125" s="120" t="s">
        <v>4924</v>
      </c>
      <c r="Z125" s="119" t="s">
        <v>3572</v>
      </c>
    </row>
    <row r="126" spans="1:26" ht="15.75" x14ac:dyDescent="0.25">
      <c r="A126" s="64" t="s">
        <v>403</v>
      </c>
      <c r="B126" s="148" t="s">
        <v>863</v>
      </c>
      <c r="C126" s="62" t="s">
        <v>3300</v>
      </c>
      <c r="D126" s="62" t="str">
        <f t="shared" si="4"/>
        <v>ramakrishnan.thangamalai@ujjivan.com;karthik.kathir@ujjivan.com;gowtham@ujjivan.com;</v>
      </c>
      <c r="E126" s="62" t="s">
        <v>596</v>
      </c>
      <c r="F126" s="62" t="s">
        <v>4396</v>
      </c>
      <c r="G126" s="62" t="s">
        <v>4555</v>
      </c>
      <c r="H126" s="65"/>
      <c r="I126" s="65"/>
      <c r="J126" s="67" t="s">
        <v>4401</v>
      </c>
      <c r="K126" s="62" t="str">
        <f>VLOOKUP(B126,Sheet5!$A$1:$H$471,8,0)</f>
        <v>s.achuthaneyan@ujjivan.com;karthik.kathir@ujjivan.com;packiaraj.k@ujjivan.com;gowtham@ujjivan.com;jothy.vasagam@ujjivan.com;balamurugan.subburaj@ujjivan.com;</v>
      </c>
      <c r="L126" s="62" t="str">
        <f>VLOOKUP($B126,Sheet4!$B:$E,4,0)</f>
        <v xml:space="preserve">tn-madurai-branch@ujjivan.com;helpdesk@ujjivan.com; </v>
      </c>
      <c r="M126" s="65" t="s">
        <v>1152</v>
      </c>
      <c r="N126" s="68" t="str">
        <f t="shared" si="3"/>
        <v xml:space="preserve">Dear Team, Please find attached list of prospect clients for REPEAT GL-LOANS (clients who have taken earlier an GL Loan) for you branch.
Thanks &amp; Regards,
MIS Team
</v>
      </c>
      <c r="O126" s="66" t="s">
        <v>1028</v>
      </c>
      <c r="X126" s="68" t="s">
        <v>3573</v>
      </c>
      <c r="Y126" s="120" t="s">
        <v>4924</v>
      </c>
      <c r="Z126" s="119" t="s">
        <v>3572</v>
      </c>
    </row>
    <row r="127" spans="1:26" ht="15.75" x14ac:dyDescent="0.25">
      <c r="A127" s="61" t="s">
        <v>864</v>
      </c>
      <c r="B127" s="147" t="s">
        <v>865</v>
      </c>
      <c r="C127" s="62" t="s">
        <v>3301</v>
      </c>
      <c r="D127" s="62" t="str">
        <f t="shared" si="4"/>
        <v>sanjay.tiwari@ujjivan.com;narendra.sinha@ujjivan.com;dharmendra.kumar@ujjivan.com;</v>
      </c>
      <c r="E127" s="62" t="s">
        <v>2812</v>
      </c>
      <c r="F127" s="62" t="s">
        <v>4200</v>
      </c>
      <c r="G127" s="62" t="s">
        <v>868</v>
      </c>
      <c r="H127" s="62" t="s">
        <v>869</v>
      </c>
      <c r="I127" s="62" t="s">
        <v>870</v>
      </c>
      <c r="J127" s="67" t="s">
        <v>4401</v>
      </c>
      <c r="K127" s="62" t="str">
        <f>VLOOKUP(B127,Sheet5!$A$1:$H$471,8,0)</f>
        <v>ombeer.sharma@ujjivan.com;monica.dhariwal@ujjivan.com;neelkant.tyagi@ujjivan.com;dharmendra.kumar@ujjivan.com;;;</v>
      </c>
      <c r="L127" s="62" t="str">
        <f>VLOOKUP($B127,Sheet4!$B:$E,4,0)</f>
        <v xml:space="preserve">del-yamunavihar-branch@ujjivan.com;helpdeskdelhi@ujjivan.com; </v>
      </c>
      <c r="M127" s="62" t="s">
        <v>1153</v>
      </c>
      <c r="N127" s="68" t="str">
        <f t="shared" si="3"/>
        <v xml:space="preserve">Dear Team, Please find attached list of prospect clients for REPEAT GL-LOANS (clients who have taken earlier an GL Loan) for you branch.
Thanks &amp; Regards,
MIS Team
</v>
      </c>
      <c r="O127" s="63" t="s">
        <v>1028</v>
      </c>
      <c r="X127" s="68" t="s">
        <v>3573</v>
      </c>
      <c r="Y127" s="120" t="s">
        <v>4924</v>
      </c>
      <c r="Z127" s="119" t="s">
        <v>3572</v>
      </c>
    </row>
    <row r="128" spans="1:26" ht="15.75" x14ac:dyDescent="0.25">
      <c r="A128" s="64" t="s">
        <v>864</v>
      </c>
      <c r="B128" s="148" t="s">
        <v>871</v>
      </c>
      <c r="C128" s="62" t="s">
        <v>877</v>
      </c>
      <c r="D128" s="62" t="str">
        <f t="shared" si="4"/>
        <v>nitinkumar.sharma@ujjivan.com;ombeer.sharma@ujjivan.com;dharmendra.kumar@ujjivan.com;</v>
      </c>
      <c r="E128" s="62" t="s">
        <v>878</v>
      </c>
      <c r="F128" s="62" t="s">
        <v>4201</v>
      </c>
      <c r="G128" s="62" t="s">
        <v>868</v>
      </c>
      <c r="H128" s="65" t="s">
        <v>869</v>
      </c>
      <c r="I128" s="65" t="s">
        <v>870</v>
      </c>
      <c r="J128" s="67" t="s">
        <v>4401</v>
      </c>
      <c r="K128" s="62" t="str">
        <f>VLOOKUP(B128,Sheet5!$A$1:$H$471,8,0)</f>
        <v>atul.prakash@ujjivan.com;soumya.shukla@ujjivan.com;kumar.vivek@ujjivan.com;dharmendra.kumar@ujjivan.com;;;</v>
      </c>
      <c r="L128" s="62" t="str">
        <f>VLOOKUP($B128,Sheet4!$B:$E,4,0)</f>
        <v xml:space="preserve">del-madangir-branch@ujjivan.com;helpdeskdelhi@ujjivan.com; </v>
      </c>
      <c r="M128" s="65" t="s">
        <v>1154</v>
      </c>
      <c r="N128" s="68" t="str">
        <f t="shared" si="3"/>
        <v xml:space="preserve">Dear Team, Please find attached list of prospect clients for REPEAT GL-LOANS (clients who have taken earlier an GL Loan) for you branch.
Thanks &amp; Regards,
MIS Team
</v>
      </c>
      <c r="O128" s="66" t="s">
        <v>1028</v>
      </c>
      <c r="X128" s="68" t="s">
        <v>3573</v>
      </c>
      <c r="Y128" s="120" t="s">
        <v>4924</v>
      </c>
      <c r="Z128" s="119" t="s">
        <v>3572</v>
      </c>
    </row>
    <row r="129" spans="1:26" ht="15.75" x14ac:dyDescent="0.25">
      <c r="A129" s="61" t="s">
        <v>864</v>
      </c>
      <c r="B129" s="147" t="s">
        <v>872</v>
      </c>
      <c r="C129" s="62" t="s">
        <v>3302</v>
      </c>
      <c r="D129" s="62" t="str">
        <f t="shared" si="4"/>
        <v>kumar.ashok@ujjivan.com;dinesh.khokher@ujjivan.com;dharmendra.kumar@ujjivan.com;</v>
      </c>
      <c r="E129" s="62" t="s">
        <v>2696</v>
      </c>
      <c r="F129" s="62" t="s">
        <v>4496</v>
      </c>
      <c r="G129" s="62" t="s">
        <v>868</v>
      </c>
      <c r="H129" s="62" t="s">
        <v>869</v>
      </c>
      <c r="I129" s="62" t="s">
        <v>870</v>
      </c>
      <c r="J129" s="67" t="s">
        <v>4401</v>
      </c>
      <c r="K129" s="62" t="str">
        <f>VLOOKUP(B129,Sheet5!$A$1:$H$471,8,0)</f>
        <v>govind.bhandari@ujjivan.com;dinesh.khokher@ujjivan.com;kumar.vivek@ujjivan.com;dharmendra.kumar@ujjivan.com;;;</v>
      </c>
      <c r="L129" s="62" t="str">
        <f>VLOOKUP($B129,Sheet4!$B:$E,4,0)</f>
        <v xml:space="preserve">del-nangloi-branch@ujjivan.com;helpdeskdelhi@ujjivan.com; </v>
      </c>
      <c r="M129" s="62" t="s">
        <v>1155</v>
      </c>
      <c r="N129" s="68" t="str">
        <f t="shared" si="3"/>
        <v xml:space="preserve">Dear Team, Please find attached list of prospect clients for REPEAT GL-LOANS (clients who have taken earlier an GL Loan) for you branch.
Thanks &amp; Regards,
MIS Team
</v>
      </c>
      <c r="O129" s="63" t="s">
        <v>1028</v>
      </c>
      <c r="X129" s="68" t="s">
        <v>3573</v>
      </c>
      <c r="Y129" s="120" t="s">
        <v>4924</v>
      </c>
      <c r="Z129" s="119" t="s">
        <v>3572</v>
      </c>
    </row>
    <row r="130" spans="1:26" ht="15.75" x14ac:dyDescent="0.25">
      <c r="A130" s="64" t="s">
        <v>864</v>
      </c>
      <c r="B130" s="148" t="s">
        <v>873</v>
      </c>
      <c r="C130" s="62" t="s">
        <v>4558</v>
      </c>
      <c r="D130" s="62" t="e">
        <f t="shared" si="4"/>
        <v>#N/A</v>
      </c>
      <c r="E130" s="62">
        <v>0</v>
      </c>
      <c r="F130" s="62" t="e">
        <v>#N/A</v>
      </c>
      <c r="G130" s="62" t="e">
        <v>#N/A</v>
      </c>
      <c r="H130" s="65" t="s">
        <v>869</v>
      </c>
      <c r="I130" s="65" t="s">
        <v>870</v>
      </c>
      <c r="J130" s="67" t="s">
        <v>4401</v>
      </c>
      <c r="K130" s="62" t="str">
        <f>VLOOKUP(B130,Sheet5!$A$1:$H$471,8,0)</f>
        <v>;;;;;;</v>
      </c>
      <c r="L130" s="62" t="str">
        <f>VLOOKUP($B130,Sheet4!$B:$E,4,0)</f>
        <v xml:space="preserve">del-trilokpuri-branch@ujjivan.com;helpdeskdelhi@ujjivan.com; </v>
      </c>
      <c r="M130" s="65" t="s">
        <v>1156</v>
      </c>
      <c r="N130" s="68"/>
      <c r="O130" s="66" t="s">
        <v>1028</v>
      </c>
      <c r="X130" s="68" t="s">
        <v>3573</v>
      </c>
      <c r="Y130" s="120" t="s">
        <v>4924</v>
      </c>
      <c r="Z130" s="119" t="s">
        <v>3572</v>
      </c>
    </row>
    <row r="131" spans="1:26" ht="15.75" x14ac:dyDescent="0.25">
      <c r="A131" s="61" t="s">
        <v>864</v>
      </c>
      <c r="B131" s="147" t="s">
        <v>953</v>
      </c>
      <c r="C131" s="62" t="s">
        <v>3303</v>
      </c>
      <c r="D131" s="62" t="str">
        <f t="shared" si="4"/>
        <v>shubham.chauhan@ujjivan.com;manoj.sharma@ujjivan.com;rohit.parashar@ujjivan.com;</v>
      </c>
      <c r="E131" s="62" t="s">
        <v>3636</v>
      </c>
      <c r="F131" s="62" t="s">
        <v>4205</v>
      </c>
      <c r="G131" s="62" t="s">
        <v>955</v>
      </c>
      <c r="H131" s="62" t="s">
        <v>956</v>
      </c>
      <c r="I131" s="62" t="s">
        <v>870</v>
      </c>
      <c r="J131" s="67" t="s">
        <v>4401</v>
      </c>
      <c r="K131" s="62" t="str">
        <f>VLOOKUP(B131,Sheet5!$A$1:$H$471,8,0)</f>
        <v>shubham.chauhan@ujjivan.com;manoj.sharma@ujjivan.com;deepak.duttatrey@ujjivan.com;rohit.parashar@ujjivan.com;;;</v>
      </c>
      <c r="L131" s="62" t="str">
        <f>VLOOKUP($B131,Sheet4!$B:$E,4,0)</f>
        <v xml:space="preserve">del-alwar-branch@ujjivan.com;helpdeskdelhi@ujjivan.com; </v>
      </c>
      <c r="M131" s="62" t="s">
        <v>1216</v>
      </c>
      <c r="N131" s="68" t="str">
        <f t="shared" si="3"/>
        <v xml:space="preserve">Dear Team, Please find attached list of prospect clients for REPEAT GL-LOANS (clients who have taken earlier an GL Loan) for you branch.
Thanks &amp; Regards,
MIS Team
</v>
      </c>
      <c r="O131" s="63" t="s">
        <v>1028</v>
      </c>
      <c r="X131" s="68" t="s">
        <v>3573</v>
      </c>
      <c r="Y131" s="120" t="s">
        <v>4924</v>
      </c>
      <c r="Z131" s="119" t="s">
        <v>3572</v>
      </c>
    </row>
    <row r="132" spans="1:26" ht="15.75" x14ac:dyDescent="0.25">
      <c r="A132" s="64" t="s">
        <v>864</v>
      </c>
      <c r="B132" s="148" t="s">
        <v>976</v>
      </c>
      <c r="C132" s="62" t="s">
        <v>3304</v>
      </c>
      <c r="D132" s="62" t="str">
        <f t="shared" si="4"/>
        <v>afzal.ali@ujjivan.com;hitesh.vimal@ujjivan.com;mahesh.gupta@ujjivan.com;</v>
      </c>
      <c r="E132" s="62" t="s">
        <v>2790</v>
      </c>
      <c r="F132" s="62" t="s">
        <v>4206</v>
      </c>
      <c r="G132" s="62" t="s">
        <v>911</v>
      </c>
      <c r="H132" s="65" t="s">
        <v>978</v>
      </c>
      <c r="I132" s="65" t="s">
        <v>870</v>
      </c>
      <c r="J132" s="67" t="s">
        <v>4401</v>
      </c>
      <c r="K132" s="62" t="str">
        <f>VLOOKUP(B132,Sheet5!$A$1:$H$471,8,0)</f>
        <v>afzal.ali@ujjivan.com;intazar.118@ujjivan.com;sarveshpratap.singh@ujjivan.com;mahesh.gupta@ujjivan.com;;;</v>
      </c>
      <c r="L132" s="62" t="str">
        <f>VLOOKUP($B132,Sheet4!$B:$E,4,0)</f>
        <v xml:space="preserve">del-bulandshahr-branch@ujjivan.com;helpdeskdelhi@ujjivan.com; </v>
      </c>
      <c r="M132" s="65" t="s">
        <v>1231</v>
      </c>
      <c r="N132" s="68" t="str">
        <f t="shared" si="3"/>
        <v xml:space="preserve">Dear Team, Please find attached list of prospect clients for REPEAT GL-LOANS (clients who have taken earlier an GL Loan) for you branch.
Thanks &amp; Regards,
MIS Team
</v>
      </c>
      <c r="O132" s="66" t="s">
        <v>1028</v>
      </c>
      <c r="X132" s="68" t="s">
        <v>3573</v>
      </c>
      <c r="Y132" s="120" t="s">
        <v>4924</v>
      </c>
      <c r="Z132" s="119" t="s">
        <v>3572</v>
      </c>
    </row>
    <row r="133" spans="1:26" ht="15.75" x14ac:dyDescent="0.25">
      <c r="A133" s="61" t="s">
        <v>864</v>
      </c>
      <c r="B133" s="147" t="s">
        <v>957</v>
      </c>
      <c r="C133" s="62" t="s">
        <v>3305</v>
      </c>
      <c r="D133" s="62" t="str">
        <f t="shared" si="4"/>
        <v>rahul.singh@ujjivan.com;yadav.jitendrakumar@ujjivan.com;rohit.parashar@ujjivan.com;</v>
      </c>
      <c r="E133" s="62" t="s">
        <v>3024</v>
      </c>
      <c r="F133" s="62" t="s">
        <v>4497</v>
      </c>
      <c r="G133" s="62" t="s">
        <v>955</v>
      </c>
      <c r="H133" s="62" t="s">
        <v>956</v>
      </c>
      <c r="I133" s="62" t="s">
        <v>870</v>
      </c>
      <c r="J133" s="67" t="s">
        <v>4401</v>
      </c>
      <c r="K133" s="62" t="str">
        <f>VLOOKUP(B133,Sheet5!$A$1:$H$471,8,0)</f>
        <v>rahul.singh@ujjivan.com;yadav.jitendrakumar@ujjivan.com;rajesh.kr@ujjivan.com;rohit.parashar@ujjivan.com;;;</v>
      </c>
      <c r="L133" s="62" t="str">
        <f>VLOOKUP($B133,Sheet4!$B:$E,4,0)</f>
        <v xml:space="preserve">del-bharatpur-branch@ujjivan.com;helpdeskdelhi@ujjivan.com; </v>
      </c>
      <c r="M133" s="62" t="s">
        <v>1217</v>
      </c>
      <c r="N133" s="68" t="str">
        <f t="shared" ref="N133:N196" si="5">X133&amp;" "&amp; Y133&amp;", "&amp;Z133</f>
        <v xml:space="preserve">Dear Team, Please find attached list of prospect clients for REPEAT GL-LOANS (clients who have taken earlier an GL Loan) for you branch.
Thanks &amp; Regards,
MIS Team
</v>
      </c>
      <c r="O133" s="63" t="s">
        <v>1028</v>
      </c>
      <c r="X133" s="68" t="s">
        <v>3573</v>
      </c>
      <c r="Y133" s="120" t="s">
        <v>4924</v>
      </c>
      <c r="Z133" s="119" t="s">
        <v>3572</v>
      </c>
    </row>
    <row r="134" spans="1:26" ht="15.75" x14ac:dyDescent="0.25">
      <c r="A134" s="64" t="s">
        <v>864</v>
      </c>
      <c r="B134" s="148" t="s">
        <v>958</v>
      </c>
      <c r="C134" s="62" t="s">
        <v>2856</v>
      </c>
      <c r="D134" s="67"/>
      <c r="E134" s="62" t="s">
        <v>2693</v>
      </c>
      <c r="F134" s="62" t="e">
        <v>#N/A</v>
      </c>
      <c r="G134" s="62" t="e">
        <v>#N/A</v>
      </c>
      <c r="H134" s="65" t="s">
        <v>956</v>
      </c>
      <c r="I134" s="65" t="s">
        <v>870</v>
      </c>
      <c r="J134" s="67" t="s">
        <v>4401</v>
      </c>
      <c r="K134" s="62" t="str">
        <f>VLOOKUP(B134,Sheet5!$A$1:$H$471,8,0)</f>
        <v>manojkumar.baghel@ujjivan.com;;deepak.duttatrey@ujjivan.com;;;;</v>
      </c>
      <c r="L134" s="62" t="str">
        <f>VLOOKUP($B134,Sheet4!$B:$E,4,0)</f>
        <v xml:space="preserve">del-dausa-branch@ujjivan.com;helpdeskdelhi@ujjivan.com; </v>
      </c>
      <c r="M134" s="65" t="s">
        <v>1218</v>
      </c>
      <c r="N134" s="68" t="str">
        <f t="shared" si="5"/>
        <v xml:space="preserve">Dear Team, Please find attached list of prospect clients for REPEAT GL-LOANS (clients who have taken earlier an GL Loan) for you branch.
Thanks &amp; Regards,
MIS Team
</v>
      </c>
      <c r="O134" s="66" t="s">
        <v>1028</v>
      </c>
      <c r="X134" s="68" t="s">
        <v>3573</v>
      </c>
      <c r="Y134" s="120" t="s">
        <v>4924</v>
      </c>
      <c r="Z134" s="119" t="s">
        <v>3572</v>
      </c>
    </row>
    <row r="135" spans="1:26" ht="15.75" x14ac:dyDescent="0.25">
      <c r="A135" s="61" t="s">
        <v>864</v>
      </c>
      <c r="B135" s="147" t="s">
        <v>979</v>
      </c>
      <c r="C135" s="62" t="s">
        <v>4558</v>
      </c>
      <c r="D135" s="62" t="e">
        <f t="shared" ref="D135:D197" si="6">CONCATENATE(E135,";",F135,";",G135,";")</f>
        <v>#N/A</v>
      </c>
      <c r="E135" s="62">
        <v>0</v>
      </c>
      <c r="F135" s="62" t="e">
        <v>#N/A</v>
      </c>
      <c r="G135" s="62" t="e">
        <v>#N/A</v>
      </c>
      <c r="H135" s="62" t="s">
        <v>978</v>
      </c>
      <c r="I135" s="62" t="s">
        <v>870</v>
      </c>
      <c r="J135" s="67" t="s">
        <v>4401</v>
      </c>
      <c r="K135" s="62" t="str">
        <f>VLOOKUP(B135,Sheet5!$A$1:$H$471,8,0)</f>
        <v>;;;;;;</v>
      </c>
      <c r="L135" s="62" t="str">
        <f>VLOOKUP($B135,Sheet4!$B:$E,4,0)</f>
        <v xml:space="preserve">del-aligarh-branch@ujjivan.com;helpdeskdelhi@ujjivan.com; </v>
      </c>
      <c r="M135" s="62" t="s">
        <v>1232</v>
      </c>
      <c r="N135" s="68"/>
      <c r="O135" s="63" t="s">
        <v>1028</v>
      </c>
      <c r="X135" s="68" t="s">
        <v>3573</v>
      </c>
      <c r="Y135" s="120" t="s">
        <v>4924</v>
      </c>
      <c r="Z135" s="119" t="s">
        <v>3572</v>
      </c>
    </row>
    <row r="136" spans="1:26" ht="15.75" x14ac:dyDescent="0.25">
      <c r="A136" s="64" t="s">
        <v>864</v>
      </c>
      <c r="B136" s="148" t="s">
        <v>874</v>
      </c>
      <c r="C136" s="62" t="s">
        <v>3306</v>
      </c>
      <c r="D136" s="62" t="str">
        <f t="shared" si="6"/>
        <v>birender.singh@ujjivan.com;prabin.devedi@ujjivan.com;dharmendra.kumar@ujjivan.com;</v>
      </c>
      <c r="E136" s="62" t="s">
        <v>3637</v>
      </c>
      <c r="F136" s="62" t="s">
        <v>4208</v>
      </c>
      <c r="G136" s="62" t="s">
        <v>868</v>
      </c>
      <c r="H136" s="65" t="s">
        <v>869</v>
      </c>
      <c r="I136" s="65" t="s">
        <v>870</v>
      </c>
      <c r="J136" s="67" t="s">
        <v>4401</v>
      </c>
      <c r="K136" s="62" t="str">
        <f>VLOOKUP(B136,Sheet5!$A$1:$H$471,8,0)</f>
        <v>birender.singh@ujjivan.com;prabin.devedi@ujjivan.com;neelkant.tyagi@ujjivan.com;dharmendra.kumar@ujjivan.com;;;</v>
      </c>
      <c r="L136" s="62" t="str">
        <f>VLOOKUP($B136,Sheet4!$B:$E,4,0)</f>
        <v xml:space="preserve">del-faridabad-branch@ujjivan.com;helpdeskdelhi@ujjivan.com; </v>
      </c>
      <c r="M136" s="65" t="s">
        <v>1157</v>
      </c>
      <c r="N136" s="68" t="str">
        <f t="shared" si="5"/>
        <v xml:space="preserve">Dear Team, Please find attached list of prospect clients for REPEAT GL-LOANS (clients who have taken earlier an GL Loan) for you branch.
Thanks &amp; Regards,
MIS Team
</v>
      </c>
      <c r="O136" s="66" t="s">
        <v>1028</v>
      </c>
      <c r="X136" s="68" t="s">
        <v>3573</v>
      </c>
      <c r="Y136" s="120" t="s">
        <v>4924</v>
      </c>
      <c r="Z136" s="119" t="s">
        <v>3572</v>
      </c>
    </row>
    <row r="137" spans="1:26" ht="15.75" x14ac:dyDescent="0.25">
      <c r="A137" s="61" t="s">
        <v>864</v>
      </c>
      <c r="B137" s="147" t="s">
        <v>981</v>
      </c>
      <c r="C137" s="62" t="s">
        <v>2834</v>
      </c>
      <c r="D137" s="62" t="str">
        <f t="shared" si="6"/>
        <v>manish.singh@ujjivan.com;sudhir.panwar@ujjivan.com;mahesh.gupta@ujjivan.com;</v>
      </c>
      <c r="E137" s="62" t="s">
        <v>2836</v>
      </c>
      <c r="F137" s="62" t="s">
        <v>4209</v>
      </c>
      <c r="G137" s="62" t="s">
        <v>911</v>
      </c>
      <c r="H137" s="62" t="s">
        <v>978</v>
      </c>
      <c r="I137" s="62" t="s">
        <v>870</v>
      </c>
      <c r="J137" s="67" t="s">
        <v>4401</v>
      </c>
      <c r="K137" s="62" t="str">
        <f>VLOOKUP(B137,Sheet5!$A$1:$H$471,8,0)</f>
        <v>manish.singh@ujjivan.com;sudhir.panwar@ujjivan.com;sarveshpratap.singh@ujjivan.com;mahesh.gupta@ujjivan.com;;;</v>
      </c>
      <c r="L137" s="62" t="str">
        <f>VLOOKUP($B137,Sheet4!$B:$E,4,0)</f>
        <v xml:space="preserve">del-khurja-branch@ujjivan.com;helpdeskdelhi@ujjivan.com; </v>
      </c>
      <c r="M137" s="62" t="s">
        <v>1233</v>
      </c>
      <c r="N137" s="68" t="str">
        <f t="shared" si="5"/>
        <v xml:space="preserve">Dear Team, Please find attached list of prospect clients for REPEAT GL-LOANS (clients who have taken earlier an GL Loan) for you branch.
Thanks &amp; Regards,
MIS Team
</v>
      </c>
      <c r="O137" s="63" t="s">
        <v>1028</v>
      </c>
      <c r="X137" s="68" t="s">
        <v>3573</v>
      </c>
      <c r="Y137" s="120" t="s">
        <v>4924</v>
      </c>
      <c r="Z137" s="119" t="s">
        <v>3572</v>
      </c>
    </row>
    <row r="138" spans="1:26" ht="15.75" x14ac:dyDescent="0.25">
      <c r="A138" s="64" t="s">
        <v>864</v>
      </c>
      <c r="B138" s="148" t="s">
        <v>982</v>
      </c>
      <c r="C138" s="62" t="s">
        <v>3307</v>
      </c>
      <c r="D138" s="62" t="str">
        <f t="shared" si="6"/>
        <v>gajendra.sharma@ujjivan.com;rajeev.solanki@ujjivan.com;mahesh.gupta@ujjivan.com;</v>
      </c>
      <c r="E138" s="62" t="s">
        <v>3638</v>
      </c>
      <c r="F138" s="62" t="s">
        <v>4498</v>
      </c>
      <c r="G138" s="62" t="s">
        <v>911</v>
      </c>
      <c r="H138" s="65" t="s">
        <v>978</v>
      </c>
      <c r="I138" s="65" t="s">
        <v>870</v>
      </c>
      <c r="J138" s="67" t="s">
        <v>4401</v>
      </c>
      <c r="K138" s="62" t="str">
        <f>VLOOKUP(B138,Sheet5!$A$1:$H$471,8,0)</f>
        <v>gajendra.sharma@ujjivan.com;rajeev.solanki@ujjivan.com;sarveshpratap.singh@ujjivan.com;mahesh.gupta@ujjivan.com;;;</v>
      </c>
      <c r="L138" s="62" t="str">
        <f>VLOOKUP($B138,Sheet4!$B:$E,4,0)</f>
        <v xml:space="preserve">del-meerut-branch@ujjivan.com;helpdeskdelhi@ujjivan.com; </v>
      </c>
      <c r="M138" s="65" t="s">
        <v>1234</v>
      </c>
      <c r="N138" s="68" t="str">
        <f t="shared" si="5"/>
        <v xml:space="preserve">Dear Team, Please find attached list of prospect clients for REPEAT GL-LOANS (clients who have taken earlier an GL Loan) for you branch.
Thanks &amp; Regards,
MIS Team
</v>
      </c>
      <c r="O138" s="66" t="s">
        <v>1028</v>
      </c>
      <c r="X138" s="68" t="s">
        <v>3573</v>
      </c>
      <c r="Y138" s="120" t="s">
        <v>4924</v>
      </c>
      <c r="Z138" s="119" t="s">
        <v>3572</v>
      </c>
    </row>
    <row r="139" spans="1:26" ht="15.75" x14ac:dyDescent="0.25">
      <c r="A139" s="61" t="s">
        <v>864</v>
      </c>
      <c r="B139" s="147" t="s">
        <v>959</v>
      </c>
      <c r="C139" s="62" t="s">
        <v>3308</v>
      </c>
      <c r="D139" s="62" t="str">
        <f t="shared" si="6"/>
        <v>gordhan.choudhary@ujjivan.com;bhagwan.rawat@ujjivan.com;rohit.parashar@ujjivan.com;</v>
      </c>
      <c r="E139" s="62" t="s">
        <v>964</v>
      </c>
      <c r="F139" s="62" t="s">
        <v>4211</v>
      </c>
      <c r="G139" s="62" t="s">
        <v>955</v>
      </c>
      <c r="H139" s="62" t="s">
        <v>956</v>
      </c>
      <c r="I139" s="62" t="s">
        <v>870</v>
      </c>
      <c r="J139" s="67" t="s">
        <v>4401</v>
      </c>
      <c r="K139" s="62" t="str">
        <f>VLOOKUP(B139,Sheet5!$A$1:$H$471,8,0)</f>
        <v>gordhan.choudhary@ujjivan.com;bhagwan.rawat@ujjivan.com;dalla.ram@ujjivan.com;rohit.parashar@ujjivan.com;;;</v>
      </c>
      <c r="L139" s="62" t="str">
        <f>VLOOKUP($B139,Sheet4!$B:$E,4,0)</f>
        <v xml:space="preserve">del-ajmer-branch@ujjivan.com;helpdeskdelhi@ujjivan.com; </v>
      </c>
      <c r="M139" s="62" t="s">
        <v>1219</v>
      </c>
      <c r="N139" s="68" t="str">
        <f t="shared" si="5"/>
        <v xml:space="preserve">Dear Team, Please find attached list of prospect clients for REPEAT GL-LOANS (clients who have taken earlier an GL Loan) for you branch.
Thanks &amp; Regards,
MIS Team
</v>
      </c>
      <c r="O139" s="63" t="s">
        <v>1028</v>
      </c>
      <c r="X139" s="68" t="s">
        <v>3573</v>
      </c>
      <c r="Y139" s="120" t="s">
        <v>4924</v>
      </c>
      <c r="Z139" s="119" t="s">
        <v>3572</v>
      </c>
    </row>
    <row r="140" spans="1:26" ht="15.75" x14ac:dyDescent="0.25">
      <c r="A140" s="64" t="s">
        <v>864</v>
      </c>
      <c r="B140" s="148" t="s">
        <v>960</v>
      </c>
      <c r="C140" s="62" t="s">
        <v>3309</v>
      </c>
      <c r="D140" s="62" t="str">
        <f t="shared" si="6"/>
        <v>kiran.singh@ujjivan.com;sharma.pankaj@ujjivan.com;vijay.choudhary@ujjivan.com;</v>
      </c>
      <c r="E140" s="62" t="s">
        <v>3639</v>
      </c>
      <c r="F140" s="62" t="s">
        <v>4212</v>
      </c>
      <c r="G140" s="62" t="s">
        <v>888</v>
      </c>
      <c r="H140" s="65" t="s">
        <v>956</v>
      </c>
      <c r="I140" s="65" t="s">
        <v>870</v>
      </c>
      <c r="J140" s="67" t="s">
        <v>4401</v>
      </c>
      <c r="K140" s="62" t="str">
        <f>VLOOKUP(B140,Sheet5!$A$1:$H$471,8,0)</f>
        <v>kiran.singh@ujjivan.com;rohitash.meena@ujjivan.com;deepak.duttatrey@ujjivan.com;vijay.choudhary@ujjivan.com;;;</v>
      </c>
      <c r="L140" s="62" t="str">
        <f>VLOOKUP($B140,Sheet4!$B:$E,4,0)</f>
        <v xml:space="preserve">del-tonk-branch@ujjivan.com;helpdeskdelhi@ujjivan.com; </v>
      </c>
      <c r="M140" s="65" t="s">
        <v>1220</v>
      </c>
      <c r="N140" s="68" t="str">
        <f t="shared" si="5"/>
        <v xml:space="preserve">Dear Team, Please find attached list of prospect clients for REPEAT GL-LOANS (clients who have taken earlier an GL Loan) for you branch.
Thanks &amp; Regards,
MIS Team
</v>
      </c>
      <c r="O140" s="66" t="s">
        <v>1028</v>
      </c>
      <c r="X140" s="68" t="s">
        <v>3573</v>
      </c>
      <c r="Y140" s="120" t="s">
        <v>4924</v>
      </c>
      <c r="Z140" s="119" t="s">
        <v>3572</v>
      </c>
    </row>
    <row r="141" spans="1:26" ht="15.75" x14ac:dyDescent="0.25">
      <c r="A141" s="61" t="s">
        <v>864</v>
      </c>
      <c r="B141" s="147" t="s">
        <v>961</v>
      </c>
      <c r="C141" s="62" t="s">
        <v>2800</v>
      </c>
      <c r="D141" s="62" t="str">
        <f t="shared" si="6"/>
        <v>rakesh.suman@ujjivan.com;harikesh.gurjar@ujjivan.com;vijay.choudhary@ujjivan.com;</v>
      </c>
      <c r="E141" s="62" t="s">
        <v>2701</v>
      </c>
      <c r="F141" s="62" t="s">
        <v>4499</v>
      </c>
      <c r="G141" s="62" t="s">
        <v>888</v>
      </c>
      <c r="H141" s="62" t="s">
        <v>956</v>
      </c>
      <c r="I141" s="62" t="s">
        <v>870</v>
      </c>
      <c r="J141" s="67" t="s">
        <v>4401</v>
      </c>
      <c r="K141" s="62" t="str">
        <f>VLOOKUP(B141,Sheet5!$A$1:$H$471,8,0)</f>
        <v>rakesh.suman@ujjivan.com;harikesh.gurjar@ujjivan.com;dalla.ram@ujjivan.com;vijay.choudhary@ujjivan.com;;;</v>
      </c>
      <c r="L141" s="62" t="str">
        <f>VLOOKUP($B141,Sheet4!$B:$E,4,0)</f>
        <v xml:space="preserve">del-kota-branch@ujjivan.com;helpdeskdelhi@ujjivan.com; </v>
      </c>
      <c r="M141" s="62" t="s">
        <v>1221</v>
      </c>
      <c r="N141" s="68" t="str">
        <f t="shared" si="5"/>
        <v xml:space="preserve">Dear Team, Please find attached list of prospect clients for REPEAT GL-LOANS (clients who have taken earlier an GL Loan) for you branch.
Thanks &amp; Regards,
MIS Team
</v>
      </c>
      <c r="O141" s="63" t="s">
        <v>1028</v>
      </c>
      <c r="X141" s="68" t="s">
        <v>3573</v>
      </c>
      <c r="Y141" s="120" t="s">
        <v>4924</v>
      </c>
      <c r="Z141" s="119" t="s">
        <v>3572</v>
      </c>
    </row>
    <row r="142" spans="1:26" ht="15.75" x14ac:dyDescent="0.25">
      <c r="A142" s="64" t="s">
        <v>864</v>
      </c>
      <c r="B142" s="148" t="s">
        <v>962</v>
      </c>
      <c r="C142" s="62" t="s">
        <v>3310</v>
      </c>
      <c r="D142" s="62" t="str">
        <f t="shared" si="6"/>
        <v>akshat.sharma@ujjivan.com;pratibha.tiwari@ujjivan.com;rohit.parashar@ujjivan.com;</v>
      </c>
      <c r="E142" s="62" t="s">
        <v>3640</v>
      </c>
      <c r="F142" s="62" t="s">
        <v>4216</v>
      </c>
      <c r="G142" s="62" t="s">
        <v>955</v>
      </c>
      <c r="H142" s="65" t="s">
        <v>956</v>
      </c>
      <c r="I142" s="65" t="s">
        <v>870</v>
      </c>
      <c r="J142" s="67" t="s">
        <v>4401</v>
      </c>
      <c r="K142" s="62" t="str">
        <f>VLOOKUP(B142,Sheet5!$A$1:$H$471,8,0)</f>
        <v>akshat.sharma@ujjivan.com;prastuti.goswami@ujjivan.com;deepak.duttatrey@ujjivan.com;rohit.parashar@ujjivan.com;;;</v>
      </c>
      <c r="L142" s="62" t="str">
        <f>VLOOKUP($B142,Sheet4!$B:$E,4,0)</f>
        <v xml:space="preserve">del-jaipur.rajapark-branch@ujjivan.com;helpdeskdelhi@ujjivan.com; </v>
      </c>
      <c r="M142" s="65" t="s">
        <v>1222</v>
      </c>
      <c r="N142" s="68" t="str">
        <f t="shared" si="5"/>
        <v xml:space="preserve">Dear Team, Please find attached list of prospect clients for REPEAT GL-LOANS (clients who have taken earlier an GL Loan) for you branch.
Thanks &amp; Regards,
MIS Team
</v>
      </c>
      <c r="O142" s="66" t="s">
        <v>1028</v>
      </c>
      <c r="X142" s="68" t="s">
        <v>3573</v>
      </c>
      <c r="Y142" s="120" t="s">
        <v>4924</v>
      </c>
      <c r="Z142" s="119" t="s">
        <v>3572</v>
      </c>
    </row>
    <row r="143" spans="1:26" ht="15.75" x14ac:dyDescent="0.25">
      <c r="A143" s="61" t="s">
        <v>864</v>
      </c>
      <c r="B143" s="147" t="s">
        <v>963</v>
      </c>
      <c r="C143" s="62" t="s">
        <v>970</v>
      </c>
      <c r="D143" s="62" t="str">
        <f t="shared" si="6"/>
        <v>madhuram.jat@ujjivan.com;deepak.magavanshi@ujjivan.com;rohit.parashar@ujjivan.com;</v>
      </c>
      <c r="E143" s="62" t="s">
        <v>971</v>
      </c>
      <c r="F143" s="62" t="s">
        <v>4217</v>
      </c>
      <c r="G143" s="62" t="s">
        <v>955</v>
      </c>
      <c r="H143" s="62" t="s">
        <v>956</v>
      </c>
      <c r="I143" s="62" t="s">
        <v>870</v>
      </c>
      <c r="J143" s="67" t="s">
        <v>4401</v>
      </c>
      <c r="K143" s="62" t="str">
        <f>VLOOKUP(B143,Sheet5!$A$1:$H$471,8,0)</f>
        <v>madhuram.jat@ujjivan.com;del-dausa-branch@ujjivan.com;dalla.ram@ujjivan.com;rohit.parashar@ujjivan.com;;;</v>
      </c>
      <c r="L143" s="62" t="str">
        <f>VLOOKUP($B143,Sheet4!$B:$E,4,0)</f>
        <v xml:space="preserve">del-kishangarh-branch@ujjivan.com;helpdeskdelhi@ujjivan.com; </v>
      </c>
      <c r="M143" s="62" t="s">
        <v>1223</v>
      </c>
      <c r="N143" s="68" t="str">
        <f t="shared" si="5"/>
        <v xml:space="preserve">Dear Team, Please find attached list of prospect clients for REPEAT GL-LOANS (clients who have taken earlier an GL Loan) for you branch.
Thanks &amp; Regards,
MIS Team
</v>
      </c>
      <c r="O143" s="63" t="s">
        <v>1028</v>
      </c>
      <c r="X143" s="68" t="s">
        <v>3573</v>
      </c>
      <c r="Y143" s="120" t="s">
        <v>4924</v>
      </c>
      <c r="Z143" s="119" t="s">
        <v>3572</v>
      </c>
    </row>
    <row r="144" spans="1:26" ht="15.75" x14ac:dyDescent="0.25">
      <c r="A144" s="64" t="s">
        <v>864</v>
      </c>
      <c r="B144" s="148" t="s">
        <v>983</v>
      </c>
      <c r="C144" s="62" t="s">
        <v>3311</v>
      </c>
      <c r="D144" s="62" t="str">
        <f t="shared" si="6"/>
        <v>vijay.chauhan@ujjivan.com;sachin.patwal@ujjivan.com;mahesh.gupta@ujjivan.com;</v>
      </c>
      <c r="E144" s="62" t="s">
        <v>3641</v>
      </c>
      <c r="F144" s="62" t="s">
        <v>4218</v>
      </c>
      <c r="G144" s="62" t="s">
        <v>911</v>
      </c>
      <c r="H144" s="65" t="s">
        <v>978</v>
      </c>
      <c r="I144" s="65" t="s">
        <v>870</v>
      </c>
      <c r="J144" s="67" t="s">
        <v>4401</v>
      </c>
      <c r="K144" s="62" t="str">
        <f>VLOOKUP(B144,Sheet5!$A$1:$H$471,8,0)</f>
        <v>vijay.chauhan@ujjivan.com;sachin.patwal@ujjivan.com;singh.sandeep@ujjivan.com;mahesh.gupta@ujjivan.com;;;</v>
      </c>
      <c r="L144" s="62" t="str">
        <f>VLOOKUP($B144,Sheet4!$B:$E,4,0)</f>
        <v xml:space="preserve">del-roorkee-branch@ujjivan.com;helpdeskdelhi@ujjivan.com; </v>
      </c>
      <c r="M144" s="65" t="s">
        <v>1235</v>
      </c>
      <c r="N144" s="68" t="str">
        <f t="shared" si="5"/>
        <v xml:space="preserve">Dear Team, Please find attached list of prospect clients for REPEAT GL-LOANS (clients who have taken earlier an GL Loan) for you branch.
Thanks &amp; Regards,
MIS Team
</v>
      </c>
      <c r="O144" s="66" t="s">
        <v>1028</v>
      </c>
      <c r="X144" s="68" t="s">
        <v>3573</v>
      </c>
      <c r="Y144" s="120" t="s">
        <v>4924</v>
      </c>
      <c r="Z144" s="119" t="s">
        <v>3572</v>
      </c>
    </row>
    <row r="145" spans="1:26" ht="15.75" x14ac:dyDescent="0.25">
      <c r="A145" s="61" t="s">
        <v>864</v>
      </c>
      <c r="B145" s="147" t="s">
        <v>984</v>
      </c>
      <c r="C145" s="62" t="s">
        <v>3312</v>
      </c>
      <c r="D145" s="62" t="str">
        <f t="shared" si="6"/>
        <v>himanshu.kala@ujjivan.com;vikas.thakur959@ujjivan.com;mahesh.gupta@ujjivan.com;</v>
      </c>
      <c r="E145" s="62" t="s">
        <v>985</v>
      </c>
      <c r="F145" s="62" t="s">
        <v>4219</v>
      </c>
      <c r="G145" s="62" t="s">
        <v>911</v>
      </c>
      <c r="H145" s="62" t="s">
        <v>978</v>
      </c>
      <c r="I145" s="62" t="s">
        <v>870</v>
      </c>
      <c r="J145" s="67" t="s">
        <v>4401</v>
      </c>
      <c r="K145" s="62" t="str">
        <f>VLOOKUP(B145,Sheet5!$A$1:$H$471,8,0)</f>
        <v>;vikas.thakur959@ujjivan.com;singh.sandeep@ujjivan.com;mahesh.gupta@ujjivan.com;;;</v>
      </c>
      <c r="L145" s="62" t="str">
        <f>VLOOKUP($B145,Sheet4!$B:$E,4,0)</f>
        <v xml:space="preserve">del-haridwar.jawalapur-branch@ujjivan.com;helpdeskdelhi@ujjivan.com; </v>
      </c>
      <c r="M145" s="62" t="s">
        <v>1236</v>
      </c>
      <c r="N145" s="68" t="str">
        <f t="shared" si="5"/>
        <v xml:space="preserve">Dear Team, Please find attached list of prospect clients for REPEAT GL-LOANS (clients who have taken earlier an GL Loan) for you branch.
Thanks &amp; Regards,
MIS Team
</v>
      </c>
      <c r="O145" s="63" t="s">
        <v>1028</v>
      </c>
      <c r="X145" s="68" t="s">
        <v>3573</v>
      </c>
      <c r="Y145" s="120" t="s">
        <v>4924</v>
      </c>
      <c r="Z145" s="119" t="s">
        <v>3572</v>
      </c>
    </row>
    <row r="146" spans="1:26" ht="15.75" x14ac:dyDescent="0.25">
      <c r="A146" s="64" t="s">
        <v>864</v>
      </c>
      <c r="B146" s="148" t="s">
        <v>986</v>
      </c>
      <c r="C146" s="62" t="s">
        <v>3313</v>
      </c>
      <c r="D146" s="62" t="str">
        <f t="shared" si="6"/>
        <v>shrikant.shandilya@ujjivan.com;jogendra.kumar@ujjivan.com;mahesh.gupta@ujjivan.com;</v>
      </c>
      <c r="E146" s="62" t="s">
        <v>3642</v>
      </c>
      <c r="F146" s="62" t="s">
        <v>4220</v>
      </c>
      <c r="G146" s="62" t="s">
        <v>911</v>
      </c>
      <c r="H146" s="65" t="s">
        <v>978</v>
      </c>
      <c r="I146" s="65" t="s">
        <v>870</v>
      </c>
      <c r="J146" s="67" t="s">
        <v>4401</v>
      </c>
      <c r="K146" s="62" t="str">
        <f>VLOOKUP(B146,Sheet5!$A$1:$H$471,8,0)</f>
        <v>shrikant.shandilya@ujjivan.com;jogendra.kumar@ujjivan.com;singh.sandeep@ujjivan.com;mahesh.gupta@ujjivan.com;;;</v>
      </c>
      <c r="L146" s="62" t="str">
        <f>VLOOKUP($B146,Sheet4!$B:$E,4,0)</f>
        <v xml:space="preserve">del-dehradun.connaught-branch@ujjivan.com;helpdeskdelhi@ujjivan.com; </v>
      </c>
      <c r="M146" s="65" t="s">
        <v>1237</v>
      </c>
      <c r="N146" s="68" t="str">
        <f t="shared" si="5"/>
        <v xml:space="preserve">Dear Team, Please find attached list of prospect clients for REPEAT GL-LOANS (clients who have taken earlier an GL Loan) for you branch.
Thanks &amp; Regards,
MIS Team
</v>
      </c>
      <c r="O146" s="66" t="s">
        <v>1028</v>
      </c>
      <c r="X146" s="68" t="s">
        <v>3573</v>
      </c>
      <c r="Y146" s="120" t="s">
        <v>4924</v>
      </c>
      <c r="Z146" s="119" t="s">
        <v>3572</v>
      </c>
    </row>
    <row r="147" spans="1:26" ht="15.75" x14ac:dyDescent="0.25">
      <c r="A147" s="61" t="s">
        <v>864</v>
      </c>
      <c r="B147" s="147" t="s">
        <v>965</v>
      </c>
      <c r="C147" s="62" t="s">
        <v>3314</v>
      </c>
      <c r="D147" s="62" t="str">
        <f t="shared" si="6"/>
        <v>mahendra.panchariya@ujjivan.com;deda.ram@ujjivan.com;rohit.parashar@ujjivan.com;</v>
      </c>
      <c r="E147" s="62" t="s">
        <v>4416</v>
      </c>
      <c r="F147" s="62" t="s">
        <v>4221</v>
      </c>
      <c r="G147" s="62" t="s">
        <v>955</v>
      </c>
      <c r="H147" s="62" t="s">
        <v>956</v>
      </c>
      <c r="I147" s="62" t="s">
        <v>870</v>
      </c>
      <c r="J147" s="67" t="s">
        <v>4401</v>
      </c>
      <c r="K147" s="62" t="str">
        <f>VLOOKUP(B147,Sheet5!$A$1:$H$471,8,0)</f>
        <v>mahendra.panchariya@ujjivan.com;deda.ram@ujjivan.com;dalla.ram@ujjivan.com;rohit.parashar@ujjivan.com;;;</v>
      </c>
      <c r="L147" s="62" t="str">
        <f>VLOOKUP($B147,Sheet4!$B:$E,4,0)</f>
        <v xml:space="preserve">del-jodhpur.shiphouse-branch@ujjivan.com ;helpdeskdelhi@ujjivan.com; </v>
      </c>
      <c r="M147" s="62" t="s">
        <v>1224</v>
      </c>
      <c r="N147" s="68" t="str">
        <f t="shared" si="5"/>
        <v xml:space="preserve">Dear Team, Please find attached list of prospect clients for REPEAT GL-LOANS (clients who have taken earlier an GL Loan) for you branch.
Thanks &amp; Regards,
MIS Team
</v>
      </c>
      <c r="O147" s="63" t="s">
        <v>1028</v>
      </c>
      <c r="X147" s="68" t="s">
        <v>3573</v>
      </c>
      <c r="Y147" s="120" t="s">
        <v>4924</v>
      </c>
      <c r="Z147" s="119" t="s">
        <v>3572</v>
      </c>
    </row>
    <row r="148" spans="1:26" ht="15.75" x14ac:dyDescent="0.25">
      <c r="A148" s="64" t="s">
        <v>864</v>
      </c>
      <c r="B148" s="148" t="s">
        <v>987</v>
      </c>
      <c r="C148" s="62" t="s">
        <v>3315</v>
      </c>
      <c r="D148" s="62" t="str">
        <f t="shared" si="6"/>
        <v>singh.sandeep@ujjivan.com;pankaj.kumar642@ujjivan.com;mahesh.gupta@ujjivan.com;</v>
      </c>
      <c r="E148" s="62" t="s">
        <v>1004</v>
      </c>
      <c r="F148" s="62" t="s">
        <v>4222</v>
      </c>
      <c r="G148" s="62" t="s">
        <v>911</v>
      </c>
      <c r="H148" s="65" t="s">
        <v>978</v>
      </c>
      <c r="I148" s="65" t="s">
        <v>870</v>
      </c>
      <c r="J148" s="67" t="s">
        <v>4401</v>
      </c>
      <c r="K148" s="62" t="str">
        <f>VLOOKUP(B148,Sheet5!$A$1:$H$471,8,0)</f>
        <v>sachinkumar.panwar@ujjivan.com;pankaj.kumar642@ujjivan.com;singh.sandeep@ujjivan.com;mahesh.gupta@ujjivan.com;;;</v>
      </c>
      <c r="L148" s="62" t="str">
        <f>VLOOKUP($B148,Sheet4!$B:$E,4,0)</f>
        <v xml:space="preserve">del-sahranpur-branch@ujjivan.com;helpdeskdelhi@ujjivan.com; </v>
      </c>
      <c r="M148" s="65" t="s">
        <v>1238</v>
      </c>
      <c r="N148" s="68" t="str">
        <f t="shared" si="5"/>
        <v xml:space="preserve">Dear Team, Please find attached list of prospect clients for REPEAT GL-LOANS (clients who have taken earlier an GL Loan) for you branch.
Thanks &amp; Regards,
MIS Team
</v>
      </c>
      <c r="O148" s="66" t="s">
        <v>1028</v>
      </c>
      <c r="X148" s="68" t="s">
        <v>3573</v>
      </c>
      <c r="Y148" s="120" t="s">
        <v>4924</v>
      </c>
      <c r="Z148" s="119" t="s">
        <v>3572</v>
      </c>
    </row>
    <row r="149" spans="1:26" ht="15.75" x14ac:dyDescent="0.25">
      <c r="A149" s="61" t="s">
        <v>864</v>
      </c>
      <c r="B149" s="147" t="s">
        <v>966</v>
      </c>
      <c r="C149" s="62" t="s">
        <v>3316</v>
      </c>
      <c r="D149" s="62" t="str">
        <f t="shared" si="6"/>
        <v>shubham.sunaria@ujjivan.com;deepakbhati@ujjivan.com;rohit.parashar@ujjivan.com;</v>
      </c>
      <c r="E149" s="62" t="s">
        <v>3643</v>
      </c>
      <c r="F149" s="62" t="s">
        <v>4223</v>
      </c>
      <c r="G149" s="62" t="s">
        <v>955</v>
      </c>
      <c r="H149" s="62" t="s">
        <v>956</v>
      </c>
      <c r="I149" s="62" t="s">
        <v>870</v>
      </c>
      <c r="J149" s="67" t="s">
        <v>4401</v>
      </c>
      <c r="K149" s="62" t="str">
        <f>VLOOKUP(B149,Sheet5!$A$1:$H$471,8,0)</f>
        <v>avinash.kumar@ujjivan.com;deepakbhati@ujjivan.com;dalla.ram@ujjivan.com;rohit.parashar@ujjivan.com;;;</v>
      </c>
      <c r="L149" s="62" t="str">
        <f>VLOOKUP($B149,Sheet4!$B:$E,4,0)</f>
        <v xml:space="preserve">del-pali-branch@ujjivan.com;helpdeskdelhi@ujjivan.com; </v>
      </c>
      <c r="M149" s="62" t="s">
        <v>1225</v>
      </c>
      <c r="N149" s="68" t="str">
        <f t="shared" si="5"/>
        <v xml:space="preserve">Dear Team, Please find attached list of prospect clients for REPEAT GL-LOANS (clients who have taken earlier an GL Loan) for you branch.
Thanks &amp; Regards,
MIS Team
</v>
      </c>
      <c r="O149" s="63" t="s">
        <v>1028</v>
      </c>
      <c r="X149" s="68" t="s">
        <v>3573</v>
      </c>
      <c r="Y149" s="120" t="s">
        <v>4924</v>
      </c>
      <c r="Z149" s="119" t="s">
        <v>3572</v>
      </c>
    </row>
    <row r="150" spans="1:26" ht="15.75" x14ac:dyDescent="0.25">
      <c r="A150" s="64" t="s">
        <v>864</v>
      </c>
      <c r="B150" s="148" t="s">
        <v>904</v>
      </c>
      <c r="C150" s="62" t="s">
        <v>3317</v>
      </c>
      <c r="D150" s="62" t="str">
        <f t="shared" si="6"/>
        <v>maneet.kumar@ujjivan.com;ram.prasad@ujjivan.com;amit.vij@ujjivan.com;</v>
      </c>
      <c r="E150" s="62" t="s">
        <v>2803</v>
      </c>
      <c r="F150" s="62" t="s">
        <v>4224</v>
      </c>
      <c r="G150" s="62" t="s">
        <v>880</v>
      </c>
      <c r="H150" s="65" t="s">
        <v>880</v>
      </c>
      <c r="I150" s="65" t="s">
        <v>870</v>
      </c>
      <c r="J150" s="67" t="s">
        <v>4401</v>
      </c>
      <c r="K150" s="62" t="str">
        <f>VLOOKUP(B150,Sheet5!$A$1:$H$471,8,0)</f>
        <v>maneet.kumar@ujjivan.com;ram.prasad@ujjivan.com;manu.verma@ujjivan.com;amit.vij@ujjivan.com;;;</v>
      </c>
      <c r="L150" s="62" t="str">
        <f>VLOOKUP($B150,Sheet4!$B:$E,4,0)</f>
        <v xml:space="preserve">pnb-dhanas-branch@ujjivan.com ;helpdeskdelhi@ujjivan.com; </v>
      </c>
      <c r="M150" s="65" t="s">
        <v>1179</v>
      </c>
      <c r="N150" s="68" t="str">
        <f t="shared" si="5"/>
        <v xml:space="preserve">Dear Team, Please find attached list of prospect clients for REPEAT GL-LOANS (clients who have taken earlier an GL Loan) for you branch.
Thanks &amp; Regards,
MIS Team
</v>
      </c>
      <c r="O150" s="66" t="s">
        <v>1028</v>
      </c>
      <c r="X150" s="68" t="s">
        <v>3573</v>
      </c>
      <c r="Y150" s="120" t="s">
        <v>4924</v>
      </c>
      <c r="Z150" s="119" t="s">
        <v>3572</v>
      </c>
    </row>
    <row r="151" spans="1:26" ht="15.75" x14ac:dyDescent="0.25">
      <c r="A151" s="61" t="s">
        <v>864</v>
      </c>
      <c r="B151" s="147" t="s">
        <v>906</v>
      </c>
      <c r="C151" s="62" t="s">
        <v>3318</v>
      </c>
      <c r="D151" s="62" t="str">
        <f t="shared" si="6"/>
        <v>pal.suraj@ujjivan.com;rakesh.grasiya@ujjivan.com;amit.vij@ujjivan.com;</v>
      </c>
      <c r="E151" s="62" t="s">
        <v>3644</v>
      </c>
      <c r="F151" s="62" t="s">
        <v>4500</v>
      </c>
      <c r="G151" s="62" t="s">
        <v>880</v>
      </c>
      <c r="H151" s="62" t="s">
        <v>880</v>
      </c>
      <c r="I151" s="62" t="s">
        <v>870</v>
      </c>
      <c r="J151" s="67" t="s">
        <v>4401</v>
      </c>
      <c r="K151" s="62" t="str">
        <f>VLOOKUP(B151,Sheet5!$A$1:$H$471,8,0)</f>
        <v>pal.suraj@ujjivan.com;rakesh.grasiya@ujjivan.com;manu.verma@ujjivan.com;amit.vij@ujjivan.com;;;</v>
      </c>
      <c r="L151" s="62" t="str">
        <f>VLOOKUP($B151,Sheet4!$B:$E,4,0)</f>
        <v xml:space="preserve">pnb-ambala-branch@ujjivan.com ;helpdeskdelhi@ujjivan.com; </v>
      </c>
      <c r="M151" s="62" t="s">
        <v>1180</v>
      </c>
      <c r="N151" s="68" t="str">
        <f t="shared" si="5"/>
        <v xml:space="preserve">Dear Team, Please find attached list of prospect clients for REPEAT GL-LOANS (clients who have taken earlier an GL Loan) for you branch.
Thanks &amp; Regards,
MIS Team
</v>
      </c>
      <c r="O151" s="63" t="s">
        <v>1028</v>
      </c>
      <c r="X151" s="68" t="s">
        <v>3573</v>
      </c>
      <c r="Y151" s="120" t="s">
        <v>4924</v>
      </c>
      <c r="Z151" s="119" t="s">
        <v>3572</v>
      </c>
    </row>
    <row r="152" spans="1:26" ht="15.75" x14ac:dyDescent="0.25">
      <c r="A152" s="64" t="s">
        <v>864</v>
      </c>
      <c r="B152" s="148" t="s">
        <v>875</v>
      </c>
      <c r="C152" s="62" t="s">
        <v>3319</v>
      </c>
      <c r="D152" s="62" t="str">
        <f t="shared" si="6"/>
        <v>chandrakant.sharma@ujjivan.com;satpal.shrivastav@ujjivan.com;dharmendra.kumar@ujjivan.com;</v>
      </c>
      <c r="E152" s="62" t="s">
        <v>3645</v>
      </c>
      <c r="F152" s="62" t="s">
        <v>4227</v>
      </c>
      <c r="G152" s="62" t="s">
        <v>868</v>
      </c>
      <c r="H152" s="65" t="s">
        <v>869</v>
      </c>
      <c r="I152" s="65" t="s">
        <v>870</v>
      </c>
      <c r="J152" s="67" t="s">
        <v>4401</v>
      </c>
      <c r="K152" s="62" t="str">
        <f>VLOOKUP(B152,Sheet5!$A$1:$H$471,8,0)</f>
        <v>chandrakant.sharma@ujjivan.com;satpal.shrivastav@ujjivan.com;neelkant.tyagi@ujjivan.com;dharmendra.kumar@ujjivan.com;;;</v>
      </c>
      <c r="L152" s="62" t="str">
        <f>VLOOKUP($B152,Sheet4!$B:$E,4,0)</f>
        <v xml:space="preserve">del-palwal-branch@ujjivan.com ;helpdeskdelhi@ujjivan.com; </v>
      </c>
      <c r="M152" s="65" t="s">
        <v>1158</v>
      </c>
      <c r="N152" s="68" t="str">
        <f t="shared" si="5"/>
        <v xml:space="preserve">Dear Team, Please find attached list of prospect clients for REPEAT GL-LOANS (clients who have taken earlier an GL Loan) for you branch.
Thanks &amp; Regards,
MIS Team
</v>
      </c>
      <c r="O152" s="66" t="s">
        <v>1028</v>
      </c>
      <c r="X152" s="68" t="s">
        <v>3573</v>
      </c>
      <c r="Y152" s="120" t="s">
        <v>4924</v>
      </c>
      <c r="Z152" s="119" t="s">
        <v>3572</v>
      </c>
    </row>
    <row r="153" spans="1:26" ht="15.75" x14ac:dyDescent="0.25">
      <c r="A153" s="61" t="s">
        <v>864</v>
      </c>
      <c r="B153" s="147" t="s">
        <v>908</v>
      </c>
      <c r="C153" s="62" t="s">
        <v>909</v>
      </c>
      <c r="D153" s="62" t="str">
        <f t="shared" si="6"/>
        <v>lalchand.verma@ujjivan.com;rahul.aryan@ujjivan.com;rahul.sukhija@ujjivan.com;</v>
      </c>
      <c r="E153" s="62" t="s">
        <v>910</v>
      </c>
      <c r="F153" s="62" t="s">
        <v>4280</v>
      </c>
      <c r="G153" s="62" t="s">
        <v>905</v>
      </c>
      <c r="H153" s="62" t="s">
        <v>869</v>
      </c>
      <c r="I153" s="62" t="s">
        <v>870</v>
      </c>
      <c r="J153" s="67" t="s">
        <v>4401</v>
      </c>
      <c r="K153" s="62" t="str">
        <f>VLOOKUP(B153,Sheet5!$A$1:$H$471,8,0)</f>
        <v>manoj.yadav@ujjivan.com;ajit.kumar@ujjivan.com;shanta.bhardwaj@ujjivan.com;rahul.sukhija@ujjivan.com;;;</v>
      </c>
      <c r="L153" s="62" t="str">
        <f>VLOOKUP($B153,Sheet4!$B:$E,4,0)</f>
        <v xml:space="preserve">del-rewari-branch@ujjivan.com;helpdeskdelhi@ujjivan.com; </v>
      </c>
      <c r="M153" s="62" t="s">
        <v>1181</v>
      </c>
      <c r="N153" s="68" t="str">
        <f t="shared" si="5"/>
        <v xml:space="preserve">Dear Team, Please find attached list of prospect clients for REPEAT GL-LOANS (clients who have taken earlier an GL Loan) for you branch.
Thanks &amp; Regards,
MIS Team
</v>
      </c>
      <c r="O153" s="63" t="s">
        <v>1028</v>
      </c>
      <c r="X153" s="68" t="s">
        <v>3573</v>
      </c>
      <c r="Y153" s="120" t="s">
        <v>4924</v>
      </c>
      <c r="Z153" s="119" t="s">
        <v>3572</v>
      </c>
    </row>
    <row r="154" spans="1:26" ht="15.75" x14ac:dyDescent="0.25">
      <c r="A154" s="64" t="s">
        <v>864</v>
      </c>
      <c r="B154" s="148" t="s">
        <v>988</v>
      </c>
      <c r="C154" s="62" t="s">
        <v>3320</v>
      </c>
      <c r="D154" s="62" t="str">
        <f t="shared" si="6"/>
        <v>gopesh.raj@ujjivan.com;yogesh.rajput@ujjivan.com;rohit.parashar@ujjivan.com;</v>
      </c>
      <c r="E154" s="62" t="s">
        <v>3646</v>
      </c>
      <c r="F154" s="62" t="s">
        <v>4501</v>
      </c>
      <c r="G154" s="62" t="s">
        <v>955</v>
      </c>
      <c r="H154" s="65" t="s">
        <v>978</v>
      </c>
      <c r="I154" s="65" t="s">
        <v>870</v>
      </c>
      <c r="J154" s="67" t="s">
        <v>4401</v>
      </c>
      <c r="K154" s="62" t="str">
        <f>VLOOKUP(B154,Sheet5!$A$1:$H$471,8,0)</f>
        <v>gopesh.raj@ujjivan.com;yogesh.rajput@ujjivan.com;chandan.sriwastava@ujjivan.com;rohit.parashar@ujjivan.com;faisal.mahmood@ujjivan.com;;</v>
      </c>
      <c r="L154" s="62" t="str">
        <f>VLOOKUP($B154,Sheet4!$B:$E,4,0)</f>
        <v xml:space="preserve">up-agra.shubhashpark-branch@ujjivan.com;helpdeskdelhi@ujjivan.com; </v>
      </c>
      <c r="M154" s="65" t="s">
        <v>1239</v>
      </c>
      <c r="N154" s="68" t="str">
        <f t="shared" si="5"/>
        <v xml:space="preserve">Dear Team, Please find attached list of prospect clients for REPEAT GL-LOANS (clients who have taken earlier an GL Loan) for you branch.
Thanks &amp; Regards,
MIS Team
</v>
      </c>
      <c r="O154" s="66" t="s">
        <v>1028</v>
      </c>
      <c r="X154" s="68" t="s">
        <v>3573</v>
      </c>
      <c r="Y154" s="120" t="s">
        <v>4924</v>
      </c>
      <c r="Z154" s="119" t="s">
        <v>3572</v>
      </c>
    </row>
    <row r="155" spans="1:26" ht="15.75" x14ac:dyDescent="0.25">
      <c r="A155" s="61" t="s">
        <v>864</v>
      </c>
      <c r="B155" s="147" t="s">
        <v>989</v>
      </c>
      <c r="C155" s="62" t="s">
        <v>3321</v>
      </c>
      <c r="D155" s="62" t="str">
        <f t="shared" si="6"/>
        <v>saurabh.singh@ujjivan.com;amit.saraswat@ujjivan.com;rohit.parashar@ujjivan.com;</v>
      </c>
      <c r="E155" s="62" t="s">
        <v>3647</v>
      </c>
      <c r="F155" s="62" t="s">
        <v>4229</v>
      </c>
      <c r="G155" s="62" t="s">
        <v>955</v>
      </c>
      <c r="H155" s="62" t="s">
        <v>978</v>
      </c>
      <c r="I155" s="62" t="s">
        <v>870</v>
      </c>
      <c r="J155" s="67" t="s">
        <v>4401</v>
      </c>
      <c r="K155" s="62" t="str">
        <f>VLOOKUP(B155,Sheet5!$A$1:$H$471,8,0)</f>
        <v>saurabh.singh@ujjivan.com;tejveer.rawat@ujjivan.com;chandan.sriwastava@ujjivan.com;rohit.parashar@ujjivan.com;;;</v>
      </c>
      <c r="L155" s="62" t="str">
        <f>VLOOKUP($B155,Sheet4!$B:$E,4,0)</f>
        <v xml:space="preserve">up-agra.rambag-branch@ujjivan.com ;helpdeskdelhi@ujjivan.com; </v>
      </c>
      <c r="M155" s="62" t="s">
        <v>1240</v>
      </c>
      <c r="N155" s="68" t="str">
        <f t="shared" si="5"/>
        <v xml:space="preserve">Dear Team, Please find attached list of prospect clients for REPEAT GL-LOANS (clients who have taken earlier an GL Loan) for you branch.
Thanks &amp; Regards,
MIS Team
</v>
      </c>
      <c r="O155" s="63" t="s">
        <v>1028</v>
      </c>
      <c r="X155" s="68" t="s">
        <v>3573</v>
      </c>
      <c r="Y155" s="120" t="s">
        <v>4924</v>
      </c>
      <c r="Z155" s="119" t="s">
        <v>3572</v>
      </c>
    </row>
    <row r="156" spans="1:26" ht="15.75" x14ac:dyDescent="0.25">
      <c r="A156" s="64" t="s">
        <v>864</v>
      </c>
      <c r="B156" s="148" t="s">
        <v>990</v>
      </c>
      <c r="C156" s="62" t="s">
        <v>3322</v>
      </c>
      <c r="D156" s="62" t="str">
        <f t="shared" si="6"/>
        <v>satish.chandra@ujjivan.com;ccr.hathras@ujjivan.com;rohit.parashar@ujjivan.com;</v>
      </c>
      <c r="E156" s="62" t="s">
        <v>3648</v>
      </c>
      <c r="F156" s="62" t="s">
        <v>4502</v>
      </c>
      <c r="G156" s="62" t="s">
        <v>955</v>
      </c>
      <c r="H156" s="65" t="s">
        <v>978</v>
      </c>
      <c r="I156" s="65" t="s">
        <v>870</v>
      </c>
      <c r="J156" s="67" t="s">
        <v>4401</v>
      </c>
      <c r="K156" s="62" t="str">
        <f>VLOOKUP(B156,Sheet5!$A$1:$H$471,8,0)</f>
        <v>satish.chandra@ujjivan.com;jagdeep.kumar@ujjivan.com;chandan.sriwastava@ujjivan.com;rohit.parashar@ujjivan.com;;;</v>
      </c>
      <c r="L156" s="62" t="str">
        <f>VLOOKUP($B156,Sheet4!$B:$E,4,0)</f>
        <v xml:space="preserve">up-firoabad-branch@ujjivan.com ;helpdeskdelhi@ujjivan.com; </v>
      </c>
      <c r="M156" s="65" t="s">
        <v>1241</v>
      </c>
      <c r="N156" s="68" t="str">
        <f t="shared" si="5"/>
        <v xml:space="preserve">Dear Team, Please find attached list of prospect clients for REPEAT GL-LOANS (clients who have taken earlier an GL Loan) for you branch.
Thanks &amp; Regards,
MIS Team
</v>
      </c>
      <c r="O156" s="66" t="s">
        <v>1028</v>
      </c>
      <c r="X156" s="68" t="s">
        <v>3573</v>
      </c>
      <c r="Y156" s="120" t="s">
        <v>4924</v>
      </c>
      <c r="Z156" s="119" t="s">
        <v>3572</v>
      </c>
    </row>
    <row r="157" spans="1:26" ht="15.75" x14ac:dyDescent="0.25">
      <c r="A157" s="61" t="s">
        <v>864</v>
      </c>
      <c r="B157" s="147" t="s">
        <v>991</v>
      </c>
      <c r="C157" s="62" t="s">
        <v>3323</v>
      </c>
      <c r="D157" s="62" t="str">
        <f t="shared" si="6"/>
        <v>mayank.suryavanshi@ujjivan.com;sonu.sagar@ujjivan.com;mahesh.gupta@ujjivan.com;</v>
      </c>
      <c r="E157" s="62" t="s">
        <v>3649</v>
      </c>
      <c r="F157" s="62" t="s">
        <v>4232</v>
      </c>
      <c r="G157" s="62" t="s">
        <v>911</v>
      </c>
      <c r="H157" s="62" t="s">
        <v>978</v>
      </c>
      <c r="I157" s="62" t="s">
        <v>870</v>
      </c>
      <c r="J157" s="67" t="s">
        <v>4401</v>
      </c>
      <c r="K157" s="62" t="str">
        <f>VLOOKUP(B157,Sheet5!$A$1:$H$471,8,0)</f>
        <v>mohit.chauhan@ujjivan.com;sonu.sagar@ujjivan.com;sarveshpratap.singh@ujjivan.com;mahesh.gupta@ujjivan.com;;;</v>
      </c>
      <c r="L157" s="62" t="str">
        <f>VLOOKUP($B157,Sheet4!$B:$E,4,0)</f>
        <v xml:space="preserve">up-modinagar-branch@ujjivan.com;helpdeskdelhi@ujjivan.com; </v>
      </c>
      <c r="M157" s="62" t="s">
        <v>1242</v>
      </c>
      <c r="N157" s="68" t="str">
        <f t="shared" si="5"/>
        <v xml:space="preserve">Dear Team, Please find attached list of prospect clients for REPEAT GL-LOANS (clients who have taken earlier an GL Loan) for you branch.
Thanks &amp; Regards,
MIS Team
</v>
      </c>
      <c r="O157" s="63" t="s">
        <v>1028</v>
      </c>
      <c r="X157" s="68" t="s">
        <v>3573</v>
      </c>
      <c r="Y157" s="120" t="s">
        <v>4924</v>
      </c>
      <c r="Z157" s="119" t="s">
        <v>3572</v>
      </c>
    </row>
    <row r="158" spans="1:26" ht="15.75" x14ac:dyDescent="0.25">
      <c r="A158" s="64" t="s">
        <v>864</v>
      </c>
      <c r="B158" s="148" t="s">
        <v>992</v>
      </c>
      <c r="C158" s="62" t="s">
        <v>993</v>
      </c>
      <c r="D158" s="62" t="str">
        <f t="shared" si="6"/>
        <v>ravi.singh@ujjivan.com;shiv.kumar971@ujjivan.com;mahesh.gupta@ujjivan.com;</v>
      </c>
      <c r="E158" s="62" t="s">
        <v>994</v>
      </c>
      <c r="F158" s="62" t="s">
        <v>4413</v>
      </c>
      <c r="G158" s="62" t="s">
        <v>911</v>
      </c>
      <c r="H158" s="65" t="s">
        <v>978</v>
      </c>
      <c r="I158" s="65" t="s">
        <v>870</v>
      </c>
      <c r="J158" s="67" t="s">
        <v>4401</v>
      </c>
      <c r="K158" s="62" t="str">
        <f>VLOOKUP(B158,Sheet5!$A$1:$H$471,8,0)</f>
        <v>hitesh.vimal@ujjivan.com;shiv.kumar971@ujjivan.com;sarveshpratap.singh@ujjivan.com;mahesh.gupta@ujjivan.com;;;</v>
      </c>
      <c r="L158" s="62" t="str">
        <f>VLOOKUP($B158,Sheet4!$B:$E,4,0)</f>
        <v xml:space="preserve">up-hapur-branch@ujjivan.com;helpdeskdelhi@ujjivan.com; </v>
      </c>
      <c r="M158" s="65" t="s">
        <v>1243</v>
      </c>
      <c r="N158" s="68" t="str">
        <f t="shared" si="5"/>
        <v xml:space="preserve">Dear Team, Please find attached list of prospect clients for REPEAT GL-LOANS (clients who have taken earlier an GL Loan) for you branch.
Thanks &amp; Regards,
MIS Team
</v>
      </c>
      <c r="O158" s="66" t="s">
        <v>1028</v>
      </c>
      <c r="X158" s="68" t="s">
        <v>3573</v>
      </c>
      <c r="Y158" s="120" t="s">
        <v>4924</v>
      </c>
      <c r="Z158" s="119" t="s">
        <v>3572</v>
      </c>
    </row>
    <row r="159" spans="1:26" ht="15.75" x14ac:dyDescent="0.25">
      <c r="A159" s="61" t="s">
        <v>864</v>
      </c>
      <c r="B159" s="147" t="s">
        <v>876</v>
      </c>
      <c r="C159" s="62" t="s">
        <v>866</v>
      </c>
      <c r="D159" s="62" t="str">
        <f t="shared" si="6"/>
        <v>sharvankumar.gupta@ujjivan.com;amit.maheshwari@ujjivan.com;dharmendra.kumar@ujjivan.com;</v>
      </c>
      <c r="E159" s="62" t="s">
        <v>2781</v>
      </c>
      <c r="F159" s="62" t="s">
        <v>4233</v>
      </c>
      <c r="G159" s="62" t="s">
        <v>868</v>
      </c>
      <c r="H159" s="62" t="s">
        <v>869</v>
      </c>
      <c r="I159" s="62" t="s">
        <v>870</v>
      </c>
      <c r="J159" s="67" t="s">
        <v>4401</v>
      </c>
      <c r="K159" s="62" t="str">
        <f>VLOOKUP(B159,Sheet5!$A$1:$H$471,8,0)</f>
        <v>sharvankumar.gupta@ujjivan.com;amit.maheshwari@ujjivan.com;neelkant.tyagi@ujjivan.com;dharmendra.kumar@ujjivan.com;;;</v>
      </c>
      <c r="L159" s="62" t="str">
        <f>VLOOKUP($B159,Sheet4!$B:$E,4,0)</f>
        <v xml:space="preserve">del-usmanpur-branch@ujjivan.com;helpdeskdelhi@ujjivan.com; </v>
      </c>
      <c r="M159" s="62" t="s">
        <v>1159</v>
      </c>
      <c r="N159" s="68" t="str">
        <f t="shared" si="5"/>
        <v xml:space="preserve">Dear Team, Please find attached list of prospect clients for REPEAT GL-LOANS (clients who have taken earlier an GL Loan) for you branch.
Thanks &amp; Regards,
MIS Team
</v>
      </c>
      <c r="O159" s="63" t="s">
        <v>1028</v>
      </c>
      <c r="X159" s="68" t="s">
        <v>3573</v>
      </c>
      <c r="Y159" s="120" t="s">
        <v>4924</v>
      </c>
      <c r="Z159" s="119" t="s">
        <v>3572</v>
      </c>
    </row>
    <row r="160" spans="1:26" ht="15.75" x14ac:dyDescent="0.25">
      <c r="A160" s="64" t="s">
        <v>864</v>
      </c>
      <c r="B160" s="148" t="s">
        <v>912</v>
      </c>
      <c r="C160" s="62" t="s">
        <v>4558</v>
      </c>
      <c r="D160" s="62" t="str">
        <f t="shared" si="6"/>
        <v>0;nitinkumar.mehra@ujjivan.com;rahul.sukhija@ujjivan.com;</v>
      </c>
      <c r="E160" s="62">
        <v>0</v>
      </c>
      <c r="F160" s="62" t="s">
        <v>4503</v>
      </c>
      <c r="G160" s="62" t="s">
        <v>905</v>
      </c>
      <c r="H160" s="65" t="s">
        <v>869</v>
      </c>
      <c r="I160" s="65" t="s">
        <v>870</v>
      </c>
      <c r="J160" s="67" t="s">
        <v>4401</v>
      </c>
      <c r="K160" s="62" t="str">
        <f>VLOOKUP(B160,Sheet5!$A$1:$H$471,8,0)</f>
        <v>vishal.sukhija@ujjivan.com;nitinkumar.mehra@ujjivan.com;kumar.suresh@ujjivan.com;rahul.sukhija@ujjivan.com;;;</v>
      </c>
      <c r="L160" s="62" t="str">
        <f>VLOOKUP($B160,Sheet4!$B:$E,4,0)</f>
        <v xml:space="preserve">pnb-abohar-branch@ujjivan.com;helpdeskdelhi@ujjivan.com; </v>
      </c>
      <c r="M160" s="65" t="s">
        <v>1182</v>
      </c>
      <c r="N160" s="68"/>
      <c r="O160" s="66" t="s">
        <v>1028</v>
      </c>
      <c r="X160" s="68" t="s">
        <v>3573</v>
      </c>
      <c r="Y160" s="120" t="s">
        <v>4924</v>
      </c>
      <c r="Z160" s="119" t="s">
        <v>3572</v>
      </c>
    </row>
    <row r="161" spans="1:26" ht="15.75" x14ac:dyDescent="0.25">
      <c r="A161" s="61" t="s">
        <v>864</v>
      </c>
      <c r="B161" s="147" t="s">
        <v>913</v>
      </c>
      <c r="C161" s="62" t="s">
        <v>3324</v>
      </c>
      <c r="D161" s="62" t="str">
        <f t="shared" si="6"/>
        <v>anil.diwedi@ujjivan.com;sandeep.bhardwaj@ujjivan.com;rahul.sukhija@ujjivan.com;</v>
      </c>
      <c r="E161" s="62" t="s">
        <v>3650</v>
      </c>
      <c r="F161" s="62" t="s">
        <v>4234</v>
      </c>
      <c r="G161" s="62" t="s">
        <v>905</v>
      </c>
      <c r="H161" s="62" t="s">
        <v>869</v>
      </c>
      <c r="I161" s="62" t="s">
        <v>870</v>
      </c>
      <c r="J161" s="67" t="s">
        <v>4401</v>
      </c>
      <c r="K161" s="62" t="str">
        <f>VLOOKUP(B161,Sheet5!$A$1:$H$471,8,0)</f>
        <v>anil.diwedi@ujjivan.com;anil.kumar162@ujjivan.com;shyam.patidar@ujjivan.com;rahul.sukhija@ujjivan.com;;;</v>
      </c>
      <c r="L161" s="62" t="str">
        <f>VLOOKUP($B161,Sheet4!$B:$E,4,0)</f>
        <v xml:space="preserve">har-hissar-branch@ujjivan.com;helpdeskdelhi@ujjivan.com; </v>
      </c>
      <c r="M161" s="62" t="s">
        <v>1183</v>
      </c>
      <c r="N161" s="68" t="str">
        <f t="shared" si="5"/>
        <v xml:space="preserve">Dear Team, Please find attached list of prospect clients for REPEAT GL-LOANS (clients who have taken earlier an GL Loan) for you branch.
Thanks &amp; Regards,
MIS Team
</v>
      </c>
      <c r="O161" s="63" t="s">
        <v>1028</v>
      </c>
      <c r="X161" s="68" t="s">
        <v>3573</v>
      </c>
      <c r="Y161" s="120" t="s">
        <v>4924</v>
      </c>
      <c r="Z161" s="119" t="s">
        <v>3572</v>
      </c>
    </row>
    <row r="162" spans="1:26" ht="15.75" x14ac:dyDescent="0.25">
      <c r="A162" s="64" t="s">
        <v>864</v>
      </c>
      <c r="B162" s="148" t="s">
        <v>914</v>
      </c>
      <c r="C162" s="62" t="s">
        <v>3325</v>
      </c>
      <c r="D162" s="62" t="str">
        <f t="shared" si="6"/>
        <v>surjit.singh@ujjivan.com;-;amit.vij@ujjivan.com;</v>
      </c>
      <c r="E162" s="62" t="s">
        <v>3651</v>
      </c>
      <c r="F162" s="62" t="s">
        <v>3608</v>
      </c>
      <c r="G162" s="62" t="s">
        <v>880</v>
      </c>
      <c r="H162" s="65" t="s">
        <v>869</v>
      </c>
      <c r="I162" s="65" t="s">
        <v>870</v>
      </c>
      <c r="J162" s="67" t="s">
        <v>4401</v>
      </c>
      <c r="K162" s="62" t="str">
        <f>VLOOKUP(B162,Sheet5!$A$1:$H$471,8,0)</f>
        <v>;anup.ruhil@ujjivan.com;sourabh.narang@ujjivan.com;amit.vij@ujjivan.com;;;</v>
      </c>
      <c r="L162" s="62" t="str">
        <f>VLOOKUP($B162,Sheet4!$B:$E,4,0)</f>
        <v xml:space="preserve">har-jind-branch@ujjivan.com;helpdeskdelhi@ujjivan.com; </v>
      </c>
      <c r="M162" s="65" t="s">
        <v>1184</v>
      </c>
      <c r="N162" s="68" t="str">
        <f t="shared" si="5"/>
        <v xml:space="preserve">Dear Team, Please find attached list of prospect clients for REPEAT GL-LOANS (clients who have taken earlier an GL Loan) for you branch.
Thanks &amp; Regards,
MIS Team
</v>
      </c>
      <c r="O162" s="66" t="s">
        <v>1028</v>
      </c>
      <c r="X162" s="68" t="s">
        <v>3573</v>
      </c>
      <c r="Y162" s="120" t="s">
        <v>4924</v>
      </c>
      <c r="Z162" s="119" t="s">
        <v>3572</v>
      </c>
    </row>
    <row r="163" spans="1:26" ht="15.75" x14ac:dyDescent="0.25">
      <c r="A163" s="61" t="s">
        <v>864</v>
      </c>
      <c r="B163" s="147" t="s">
        <v>915</v>
      </c>
      <c r="C163" s="62" t="s">
        <v>3326</v>
      </c>
      <c r="D163" s="62" t="str">
        <f t="shared" si="6"/>
        <v>harkesh.shivan@ujjivan.com;ramkishan.yadav@ujjivan.com;rahul.sukhija@ujjivan.com;</v>
      </c>
      <c r="E163" s="62" t="s">
        <v>952</v>
      </c>
      <c r="F163" s="62" t="s">
        <v>4236</v>
      </c>
      <c r="G163" s="62" t="s">
        <v>905</v>
      </c>
      <c r="H163" s="62" t="s">
        <v>869</v>
      </c>
      <c r="I163" s="62" t="s">
        <v>870</v>
      </c>
      <c r="J163" s="67" t="s">
        <v>4401</v>
      </c>
      <c r="K163" s="62" t="str">
        <f>VLOOKUP(B163,Sheet5!$A$1:$H$471,8,0)</f>
        <v>neeraj.sharma@ujjivan.com;sandeep.bhardwaj@ujjivan.com;shyam.patidar@ujjivan.com;rahul.sukhija@ujjivan.com;;;</v>
      </c>
      <c r="L163" s="62" t="str">
        <f>VLOOKUP($B163,Sheet4!$B:$E,4,0)</f>
        <v xml:space="preserve">har-bhiwani-branch@ujjivan.com;helpdeskdelhi@ujjivan.com; </v>
      </c>
      <c r="M163" s="62" t="s">
        <v>1185</v>
      </c>
      <c r="N163" s="68" t="str">
        <f t="shared" si="5"/>
        <v xml:space="preserve">Dear Team, Please find attached list of prospect clients for REPEAT GL-LOANS (clients who have taken earlier an GL Loan) for you branch.
Thanks &amp; Regards,
MIS Team
</v>
      </c>
      <c r="O163" s="63" t="s">
        <v>1028</v>
      </c>
      <c r="X163" s="68" t="s">
        <v>3573</v>
      </c>
      <c r="Y163" s="120" t="s">
        <v>4924</v>
      </c>
      <c r="Z163" s="119" t="s">
        <v>3572</v>
      </c>
    </row>
    <row r="164" spans="1:26" ht="15.75" x14ac:dyDescent="0.25">
      <c r="A164" s="64" t="s">
        <v>864</v>
      </c>
      <c r="B164" s="148" t="s">
        <v>916</v>
      </c>
      <c r="C164" s="62" t="s">
        <v>3327</v>
      </c>
      <c r="D164" s="62" t="str">
        <f t="shared" si="6"/>
        <v>manoj.yadav@ujjivan.com;ccr.rohtak@ujjivan.com;manoj.yadav@ujjivan.com;</v>
      </c>
      <c r="E164" s="62" t="s">
        <v>3652</v>
      </c>
      <c r="F164" s="62" t="s">
        <v>4504</v>
      </c>
      <c r="G164" s="62" t="s">
        <v>3652</v>
      </c>
      <c r="H164" s="65" t="s">
        <v>869</v>
      </c>
      <c r="I164" s="65" t="s">
        <v>870</v>
      </c>
      <c r="J164" s="67" t="s">
        <v>4401</v>
      </c>
      <c r="K164" s="62" t="str">
        <f>VLOOKUP(B164,Sheet5!$A$1:$H$471,8,0)</f>
        <v>lokesh.sen@ujjivan.com;ravinder.930@ujjivan.com;shanta.bhardwaj@ujjivan.com;manoj.yadav@ujjivan.com;;;</v>
      </c>
      <c r="L164" s="62" t="str">
        <f>VLOOKUP($B164,Sheet4!$B:$E,4,0)</f>
        <v xml:space="preserve">har-rohtak-branch@ujjivan.com;helpdeskdelhi@ujjivan.com; </v>
      </c>
      <c r="M164" s="65" t="s">
        <v>1186</v>
      </c>
      <c r="N164" s="68" t="str">
        <f t="shared" si="5"/>
        <v xml:space="preserve">Dear Team, Please find attached list of prospect clients for REPEAT GL-LOANS (clients who have taken earlier an GL Loan) for you branch.
Thanks &amp; Regards,
MIS Team
</v>
      </c>
      <c r="O164" s="66" t="s">
        <v>1028</v>
      </c>
      <c r="X164" s="68" t="s">
        <v>3573</v>
      </c>
      <c r="Y164" s="120" t="s">
        <v>4924</v>
      </c>
      <c r="Z164" s="119" t="s">
        <v>3572</v>
      </c>
    </row>
    <row r="165" spans="1:26" ht="15.75" x14ac:dyDescent="0.25">
      <c r="A165" s="61" t="s">
        <v>864</v>
      </c>
      <c r="B165" s="147" t="s">
        <v>995</v>
      </c>
      <c r="C165" s="62" t="s">
        <v>3328</v>
      </c>
      <c r="D165" s="62" t="str">
        <f t="shared" si="6"/>
        <v>shashank.goel@ujjivan.com;kailash.pingal@ujjivan.com;mahesh.gupta@ujjivan.com;</v>
      </c>
      <c r="E165" s="62" t="s">
        <v>996</v>
      </c>
      <c r="F165" s="62" t="s">
        <v>4505</v>
      </c>
      <c r="G165" s="62" t="s">
        <v>911</v>
      </c>
      <c r="H165" s="62" t="s">
        <v>978</v>
      </c>
      <c r="I165" s="62" t="s">
        <v>870</v>
      </c>
      <c r="J165" s="67" t="s">
        <v>4401</v>
      </c>
      <c r="K165" s="62" t="str">
        <f>VLOOKUP(B165,Sheet5!$A$1:$H$471,8,0)</f>
        <v>shashank.goel@ujjivan.com;kailash.pingal@ujjivan.com;sarveshpratap.singh@ujjivan.com;mahesh.gupta@ujjivan.com;;;</v>
      </c>
      <c r="L165" s="62" t="str">
        <f>VLOOKUP($B165,Sheet4!$B:$E,4,0)</f>
        <v xml:space="preserve">up-kankarkhera-branch@ujjivan.com ;helpdeskdelhi@ujjivan.com; </v>
      </c>
      <c r="M165" s="62" t="s">
        <v>1244</v>
      </c>
      <c r="N165" s="68" t="str">
        <f t="shared" si="5"/>
        <v xml:space="preserve">Dear Team, Please find attached list of prospect clients for REPEAT GL-LOANS (clients who have taken earlier an GL Loan) for you branch.
Thanks &amp; Regards,
MIS Team
</v>
      </c>
      <c r="O165" s="63" t="s">
        <v>1028</v>
      </c>
      <c r="X165" s="68" t="s">
        <v>3573</v>
      </c>
      <c r="Y165" s="120" t="s">
        <v>4924</v>
      </c>
      <c r="Z165" s="119" t="s">
        <v>3572</v>
      </c>
    </row>
    <row r="166" spans="1:26" ht="15.75" x14ac:dyDescent="0.25">
      <c r="A166" s="64" t="s">
        <v>864</v>
      </c>
      <c r="B166" s="148" t="s">
        <v>997</v>
      </c>
      <c r="C166" s="62" t="s">
        <v>3329</v>
      </c>
      <c r="D166" s="62" t="str">
        <f t="shared" si="6"/>
        <v>vivek.tiwari@ujjivan.com;mohd.imran@ujjivan.com;mahesh.gupta@ujjivan.com;</v>
      </c>
      <c r="E166" s="62" t="s">
        <v>2793</v>
      </c>
      <c r="F166" s="62" t="s">
        <v>4238</v>
      </c>
      <c r="G166" s="62" t="s">
        <v>911</v>
      </c>
      <c r="H166" s="65" t="s">
        <v>978</v>
      </c>
      <c r="I166" s="65" t="s">
        <v>870</v>
      </c>
      <c r="J166" s="67" t="s">
        <v>4401</v>
      </c>
      <c r="K166" s="62" t="str">
        <f>VLOOKUP(B166,Sheet5!$A$1:$H$471,8,0)</f>
        <v>vipin.tyagi@ujjivan.com;mohd.imran@ujjivan.com;sarveshpratap.singh@ujjivan.com;mahesh.gupta@ujjivan.com;;;</v>
      </c>
      <c r="L166" s="62" t="str">
        <f>VLOOKUP($B166,Sheet4!$B:$E,4,0)</f>
        <v xml:space="preserve">up-sikandrabad-branch@ujjivan.com;helpdeskdelhi@ujjivan.com; </v>
      </c>
      <c r="M166" s="65" t="s">
        <v>1245</v>
      </c>
      <c r="N166" s="68" t="str">
        <f t="shared" si="5"/>
        <v xml:space="preserve">Dear Team, Please find attached list of prospect clients for REPEAT GL-LOANS (clients who have taken earlier an GL Loan) for you branch.
Thanks &amp; Regards,
MIS Team
</v>
      </c>
      <c r="O166" s="66" t="s">
        <v>1028</v>
      </c>
      <c r="X166" s="68" t="s">
        <v>3573</v>
      </c>
      <c r="Y166" s="120" t="s">
        <v>4924</v>
      </c>
      <c r="Z166" s="119" t="s">
        <v>3572</v>
      </c>
    </row>
    <row r="167" spans="1:26" ht="15.75" x14ac:dyDescent="0.25">
      <c r="A167" s="61" t="s">
        <v>864</v>
      </c>
      <c r="B167" s="147" t="s">
        <v>879</v>
      </c>
      <c r="C167" s="62" t="s">
        <v>4558</v>
      </c>
      <c r="D167" s="62" t="e">
        <f t="shared" si="6"/>
        <v>#N/A</v>
      </c>
      <c r="E167" s="62">
        <v>0</v>
      </c>
      <c r="F167" s="62" t="e">
        <v>#N/A</v>
      </c>
      <c r="G167" s="62" t="e">
        <v>#N/A</v>
      </c>
      <c r="H167" s="62" t="s">
        <v>880</v>
      </c>
      <c r="I167" s="62" t="s">
        <v>870</v>
      </c>
      <c r="J167" s="67" t="s">
        <v>4401</v>
      </c>
      <c r="K167" s="62" t="str">
        <f>VLOOKUP(B167,Sheet5!$A$1:$H$471,8,0)</f>
        <v>;;;;;;</v>
      </c>
      <c r="L167" s="62" t="str">
        <f>VLOOKUP($B167,Sheet4!$B:$E,4,0)</f>
        <v xml:space="preserve">del-narela-branch@ujjivan.com;helpdeskdelhi@ujjivan.com; </v>
      </c>
      <c r="M167" s="62" t="s">
        <v>1160</v>
      </c>
      <c r="N167" s="68"/>
      <c r="O167" s="63" t="s">
        <v>1028</v>
      </c>
      <c r="X167" s="68" t="s">
        <v>3573</v>
      </c>
      <c r="Y167" s="120" t="s">
        <v>4924</v>
      </c>
      <c r="Z167" s="119" t="s">
        <v>3572</v>
      </c>
    </row>
    <row r="168" spans="1:26" ht="15.75" x14ac:dyDescent="0.25">
      <c r="A168" s="64" t="s">
        <v>864</v>
      </c>
      <c r="B168" s="148" t="s">
        <v>881</v>
      </c>
      <c r="C168" s="62" t="s">
        <v>3330</v>
      </c>
      <c r="D168" s="62" t="str">
        <f t="shared" si="6"/>
        <v>rakesh.kumar@ujjivan.com;kumar.parveen@ujjivan.com;amit.vij@ujjivan.com;</v>
      </c>
      <c r="E168" s="62" t="s">
        <v>882</v>
      </c>
      <c r="F168" s="62" t="s">
        <v>4506</v>
      </c>
      <c r="G168" s="62" t="s">
        <v>880</v>
      </c>
      <c r="H168" s="65" t="s">
        <v>880</v>
      </c>
      <c r="I168" s="65" t="s">
        <v>870</v>
      </c>
      <c r="J168" s="67" t="s">
        <v>4401</v>
      </c>
      <c r="K168" s="62" t="str">
        <f>VLOOKUP(B168,Sheet5!$A$1:$H$471,8,0)</f>
        <v>rakesh.kumar@ujjivan.com;kumar.parveen@ujjivan.com;sourabh.narang@ujjivan.com;amit.vij@ujjivan.com;;;</v>
      </c>
      <c r="L168" s="62" t="str">
        <f>VLOOKUP($B168,Sheet4!$B:$E,4,0)</f>
        <v xml:space="preserve">har-sonepat-branch@ujjivan.com;helpdeskdelhi@ujjivan.com; </v>
      </c>
      <c r="M168" s="65" t="s">
        <v>1161</v>
      </c>
      <c r="N168" s="68" t="str">
        <f t="shared" si="5"/>
        <v xml:space="preserve">Dear Team, Please find attached list of prospect clients for REPEAT GL-LOANS (clients who have taken earlier an GL Loan) for you branch.
Thanks &amp; Regards,
MIS Team
</v>
      </c>
      <c r="O168" s="66" t="s">
        <v>1028</v>
      </c>
      <c r="X168" s="68" t="s">
        <v>3573</v>
      </c>
      <c r="Y168" s="120" t="s">
        <v>4924</v>
      </c>
      <c r="Z168" s="119" t="s">
        <v>3572</v>
      </c>
    </row>
    <row r="169" spans="1:26" ht="15.75" x14ac:dyDescent="0.25">
      <c r="A169" s="61" t="s">
        <v>864</v>
      </c>
      <c r="B169" s="147" t="s">
        <v>917</v>
      </c>
      <c r="C169" s="62" t="s">
        <v>3331</v>
      </c>
      <c r="D169" s="62" t="str">
        <f t="shared" si="6"/>
        <v>rameshwar.shukla@ujjivan.com;avtar.singh@ujjivan.com;rahul.sukhija@ujjivan.com;</v>
      </c>
      <c r="E169" s="62" t="s">
        <v>3653</v>
      </c>
      <c r="F169" s="62" t="s">
        <v>4240</v>
      </c>
      <c r="G169" s="62" t="s">
        <v>905</v>
      </c>
      <c r="H169" s="62" t="s">
        <v>869</v>
      </c>
      <c r="I169" s="62" t="s">
        <v>870</v>
      </c>
      <c r="J169" s="67" t="s">
        <v>4401</v>
      </c>
      <c r="K169" s="62" t="str">
        <f>VLOOKUP(B169,Sheet5!$A$1:$H$471,8,0)</f>
        <v>bharat.singh@ujjivan.com;prabhdeepsingh.khosa@ujjivan.com;kumar.suresh@ujjivan.com;rahul.sukhija@ujjivan.com;;;</v>
      </c>
      <c r="L169" s="62" t="str">
        <f>VLOOKUP($B169,Sheet4!$B:$E,4,0)</f>
        <v xml:space="preserve">del-shriganganagar-branch@ujjivan.com;helpdeskdelhi@ujjivan.com; </v>
      </c>
      <c r="M169" s="62" t="s">
        <v>1187</v>
      </c>
      <c r="N169" s="68" t="str">
        <f t="shared" si="5"/>
        <v xml:space="preserve">Dear Team, Please find attached list of prospect clients for REPEAT GL-LOANS (clients who have taken earlier an GL Loan) for you branch.
Thanks &amp; Regards,
MIS Team
</v>
      </c>
      <c r="O169" s="63" t="s">
        <v>1028</v>
      </c>
      <c r="X169" s="68" t="s">
        <v>3573</v>
      </c>
      <c r="Y169" s="120" t="s">
        <v>4924</v>
      </c>
      <c r="Z169" s="119" t="s">
        <v>3572</v>
      </c>
    </row>
    <row r="170" spans="1:26" ht="15.75" x14ac:dyDescent="0.25">
      <c r="A170" s="64" t="s">
        <v>864</v>
      </c>
      <c r="B170" s="148" t="s">
        <v>919</v>
      </c>
      <c r="C170" s="62" t="s">
        <v>3332</v>
      </c>
      <c r="D170" s="62" t="str">
        <f t="shared" si="6"/>
        <v>vivek.acharya@ujjivan.com;nareshkumar.chhimpa@ujjivan.com;rahul.sukhija@ujjivan.com;</v>
      </c>
      <c r="E170" s="62" t="s">
        <v>3654</v>
      </c>
      <c r="F170" s="62" t="s">
        <v>4241</v>
      </c>
      <c r="G170" s="62" t="s">
        <v>905</v>
      </c>
      <c r="H170" s="65" t="s">
        <v>869</v>
      </c>
      <c r="I170" s="65" t="s">
        <v>870</v>
      </c>
      <c r="J170" s="67" t="s">
        <v>4401</v>
      </c>
      <c r="K170" s="62" t="str">
        <f>VLOOKUP(B170,Sheet5!$A$1:$H$471,8,0)</f>
        <v>pradeep.rana@ujjivan.com;nareshkumar.chhimpa@ujjivan.com;shiv.thanvi@ujjivan.com;rahul.sukhija@ujjivan.com;;;</v>
      </c>
      <c r="L170" s="62" t="str">
        <f>VLOOKUP($B170,Sheet4!$B:$E,4,0)</f>
        <v xml:space="preserve">del-hanumangarh-branch@ujjivan.com;helpdeskdelhi@ujjivan.com; </v>
      </c>
      <c r="M170" s="65" t="s">
        <v>1188</v>
      </c>
      <c r="N170" s="68" t="str">
        <f t="shared" si="5"/>
        <v xml:space="preserve">Dear Team, Please find attached list of prospect clients for REPEAT GL-LOANS (clients who have taken earlier an GL Loan) for you branch.
Thanks &amp; Regards,
MIS Team
</v>
      </c>
      <c r="O170" s="66" t="s">
        <v>1028</v>
      </c>
      <c r="X170" s="68" t="s">
        <v>3573</v>
      </c>
      <c r="Y170" s="120" t="s">
        <v>4924</v>
      </c>
      <c r="Z170" s="119" t="s">
        <v>3572</v>
      </c>
    </row>
    <row r="171" spans="1:26" ht="15.75" x14ac:dyDescent="0.25">
      <c r="A171" s="61" t="s">
        <v>864</v>
      </c>
      <c r="B171" s="147" t="s">
        <v>920</v>
      </c>
      <c r="C171" s="62" t="s">
        <v>3333</v>
      </c>
      <c r="D171" s="62" t="str">
        <f t="shared" si="6"/>
        <v>duli.chand@ujjivan.com;raja.ram@ujjivan.com;rahul.sukhija@ujjivan.com;</v>
      </c>
      <c r="E171" s="62" t="s">
        <v>2815</v>
      </c>
      <c r="F171" s="62" t="s">
        <v>4264</v>
      </c>
      <c r="G171" s="62" t="s">
        <v>905</v>
      </c>
      <c r="H171" s="62" t="s">
        <v>869</v>
      </c>
      <c r="I171" s="62" t="s">
        <v>870</v>
      </c>
      <c r="J171" s="67" t="s">
        <v>4401</v>
      </c>
      <c r="K171" s="62" t="str">
        <f>VLOOKUP(B171,Sheet5!$A$1:$H$471,8,0)</f>
        <v>avtar.singh@ujjivan.com;ashishkumar.dubey@ujjivan.com;kumar.suresh@ujjivan.com;rahul.sukhija@ujjivan.com;;;</v>
      </c>
      <c r="L171" s="62" t="str">
        <f>VLOOKUP($B171,Sheet4!$B:$E,4,0)</f>
        <v xml:space="preserve">pnb-bhatinda-branch@ujjivan.com;helpdeskdelhi@ujjivan.com; </v>
      </c>
      <c r="M171" s="62" t="s">
        <v>1189</v>
      </c>
      <c r="N171" s="68" t="str">
        <f t="shared" si="5"/>
        <v xml:space="preserve">Dear Team, Please find attached list of prospect clients for REPEAT GL-LOANS (clients who have taken earlier an GL Loan) for you branch.
Thanks &amp; Regards,
MIS Team
</v>
      </c>
      <c r="O171" s="63" t="s">
        <v>1028</v>
      </c>
      <c r="X171" s="68" t="s">
        <v>3573</v>
      </c>
      <c r="Y171" s="120" t="s">
        <v>4924</v>
      </c>
      <c r="Z171" s="119" t="s">
        <v>3572</v>
      </c>
    </row>
    <row r="172" spans="1:26" ht="15.75" x14ac:dyDescent="0.25">
      <c r="A172" s="64" t="s">
        <v>864</v>
      </c>
      <c r="B172" s="148" t="s">
        <v>998</v>
      </c>
      <c r="C172" s="62" t="s">
        <v>3334</v>
      </c>
      <c r="D172" s="62" t="str">
        <f t="shared" si="6"/>
        <v>surjeet.yadav@ujjivan.com;bhuvnesh.kumar@ujjivan.com;rohit.parashar@ujjivan.com;</v>
      </c>
      <c r="E172" s="62" t="s">
        <v>3655</v>
      </c>
      <c r="F172" s="62" t="s">
        <v>4244</v>
      </c>
      <c r="G172" s="62" t="s">
        <v>955</v>
      </c>
      <c r="H172" s="65" t="s">
        <v>978</v>
      </c>
      <c r="I172" s="65" t="s">
        <v>870</v>
      </c>
      <c r="J172" s="67" t="s">
        <v>4401</v>
      </c>
      <c r="K172" s="62" t="str">
        <f>VLOOKUP(B172,Sheet5!$A$1:$H$471,8,0)</f>
        <v>surjeet.yadav@ujjivan.com;bhuvnesh.kumar@ujjivan.com;chandan.sriwastava@ujjivan.com;rohit.parashar@ujjivan.com;;;</v>
      </c>
      <c r="L172" s="62" t="str">
        <f>VLOOKUP($B172,Sheet4!$B:$E,4,0)</f>
        <v xml:space="preserve">up-aligarh2-branch@ujjivan.com;helpdeskdelhi@ujjivan.com; </v>
      </c>
      <c r="M172" s="65" t="s">
        <v>1246</v>
      </c>
      <c r="N172" s="68" t="str">
        <f t="shared" si="5"/>
        <v xml:space="preserve">Dear Team, Please find attached list of prospect clients for REPEAT GL-LOANS (clients who have taken earlier an GL Loan) for you branch.
Thanks &amp; Regards,
MIS Team
</v>
      </c>
      <c r="O172" s="66" t="s">
        <v>1028</v>
      </c>
      <c r="X172" s="68" t="s">
        <v>3573</v>
      </c>
      <c r="Y172" s="120" t="s">
        <v>4924</v>
      </c>
      <c r="Z172" s="119" t="s">
        <v>3572</v>
      </c>
    </row>
    <row r="173" spans="1:26" ht="15.75" x14ac:dyDescent="0.25">
      <c r="A173" s="61" t="s">
        <v>864</v>
      </c>
      <c r="B173" s="147" t="s">
        <v>883</v>
      </c>
      <c r="C173" s="62" t="s">
        <v>3335</v>
      </c>
      <c r="D173" s="62" t="str">
        <f t="shared" si="6"/>
        <v>hasim.ali@ujjivan.com;karan.singh@ujjivan.com;amit.vij@ujjivan.com;</v>
      </c>
      <c r="E173" s="62" t="s">
        <v>3656</v>
      </c>
      <c r="F173" s="62" t="s">
        <v>4245</v>
      </c>
      <c r="G173" s="62" t="s">
        <v>880</v>
      </c>
      <c r="H173" s="62" t="s">
        <v>880</v>
      </c>
      <c r="I173" s="62" t="s">
        <v>870</v>
      </c>
      <c r="J173" s="67" t="s">
        <v>4401</v>
      </c>
      <c r="K173" s="62" t="str">
        <f>VLOOKUP(B173,Sheet5!$A$1:$H$471,8,0)</f>
        <v>hasim.ali@ujjivan.com;sandeep.sharma794@ujjivan.com;sourabh.narang@ujjivan.com;amit.vij@ujjivan.com;;;</v>
      </c>
      <c r="L173" s="62" t="str">
        <f>VLOOKUP($B173,Sheet4!$B:$E,4,0)</f>
        <v xml:space="preserve">har-panipat-branch@ujjivan.com;helpdeskdelhi@ujjivan.com; </v>
      </c>
      <c r="M173" s="62" t="s">
        <v>1162</v>
      </c>
      <c r="N173" s="68" t="str">
        <f t="shared" si="5"/>
        <v xml:space="preserve">Dear Team, Please find attached list of prospect clients for REPEAT GL-LOANS (clients who have taken earlier an GL Loan) for you branch.
Thanks &amp; Regards,
MIS Team
</v>
      </c>
      <c r="O173" s="63" t="s">
        <v>1028</v>
      </c>
      <c r="X173" s="68" t="s">
        <v>3573</v>
      </c>
      <c r="Y173" s="120" t="s">
        <v>4924</v>
      </c>
      <c r="Z173" s="119" t="s">
        <v>3572</v>
      </c>
    </row>
    <row r="174" spans="1:26" ht="15.75" x14ac:dyDescent="0.25">
      <c r="A174" s="64" t="s">
        <v>864</v>
      </c>
      <c r="B174" s="148" t="s">
        <v>922</v>
      </c>
      <c r="C174" s="62" t="s">
        <v>3336</v>
      </c>
      <c r="D174" s="62" t="str">
        <f t="shared" si="6"/>
        <v>manish.kamboj@ujjivan.com;rana.parveen@ujjivan.com;amit.vij@ujjivan.com;</v>
      </c>
      <c r="E174" s="62" t="s">
        <v>2809</v>
      </c>
      <c r="F174" s="62" t="s">
        <v>4507</v>
      </c>
      <c r="G174" s="62" t="s">
        <v>880</v>
      </c>
      <c r="H174" s="65" t="s">
        <v>880</v>
      </c>
      <c r="I174" s="65" t="s">
        <v>870</v>
      </c>
      <c r="J174" s="67" t="s">
        <v>4401</v>
      </c>
      <c r="K174" s="62" t="str">
        <f>VLOOKUP(B174,Sheet5!$A$1:$H$471,8,0)</f>
        <v>sandeep.gaur@ujjivan.com;himakshi.dhingra@ujjivan.com;sourabh.narang@ujjivan.com;amit.vij@ujjivan.com;;;</v>
      </c>
      <c r="L174" s="62" t="str">
        <f>VLOOKUP($B174,Sheet4!$B:$E,4,0)</f>
        <v xml:space="preserve">har-karnal-branch@ujjivan.com;helpdeskdelhi@ujjivan.com; </v>
      </c>
      <c r="M174" s="65" t="s">
        <v>1191</v>
      </c>
      <c r="N174" s="68" t="str">
        <f t="shared" si="5"/>
        <v xml:space="preserve">Dear Team, Please find attached list of prospect clients for REPEAT GL-LOANS (clients who have taken earlier an GL Loan) for you branch.
Thanks &amp; Regards,
MIS Team
</v>
      </c>
      <c r="O174" s="66" t="s">
        <v>1028</v>
      </c>
      <c r="X174" s="68" t="s">
        <v>3573</v>
      </c>
      <c r="Y174" s="120" t="s">
        <v>4924</v>
      </c>
      <c r="Z174" s="119" t="s">
        <v>3572</v>
      </c>
    </row>
    <row r="175" spans="1:26" ht="15.75" x14ac:dyDescent="0.25">
      <c r="A175" s="61" t="s">
        <v>864</v>
      </c>
      <c r="B175" s="147" t="s">
        <v>923</v>
      </c>
      <c r="C175" s="62" t="s">
        <v>3337</v>
      </c>
      <c r="D175" s="62" t="e">
        <f t="shared" si="6"/>
        <v>#N/A</v>
      </c>
      <c r="E175" s="62" t="s">
        <v>3657</v>
      </c>
      <c r="F175" s="62" t="e">
        <v>#N/A</v>
      </c>
      <c r="G175" s="62" t="e">
        <v>#N/A</v>
      </c>
      <c r="H175" s="62" t="s">
        <v>880</v>
      </c>
      <c r="I175" s="62" t="s">
        <v>870</v>
      </c>
      <c r="J175" s="67" t="s">
        <v>4401</v>
      </c>
      <c r="K175" s="62" t="str">
        <f>VLOOKUP(B175,Sheet5!$A$1:$H$471,8,0)</f>
        <v>vikas.bedi@ujjivan.com;arpit.kalia@ujjivan.com;prakharkumar.pandey@ujjivan.com;;;;</v>
      </c>
      <c r="L175" s="62" t="str">
        <f>VLOOKUP($B175,Sheet4!$B:$E,4,0)</f>
        <v xml:space="preserve">pnb-ludhianashimlapuri-branch@ujjivan.com;helpdeskdelhi@ujjivan.com; </v>
      </c>
      <c r="M175" s="62" t="s">
        <v>1192</v>
      </c>
      <c r="N175" s="68" t="str">
        <f t="shared" si="5"/>
        <v xml:space="preserve">Dear Team, Please find attached list of prospect clients for REPEAT GL-LOANS (clients who have taken earlier an GL Loan) for you branch.
Thanks &amp; Regards,
MIS Team
</v>
      </c>
      <c r="O175" s="63" t="s">
        <v>1028</v>
      </c>
      <c r="X175" s="68" t="s">
        <v>3573</v>
      </c>
      <c r="Y175" s="120" t="s">
        <v>4924</v>
      </c>
      <c r="Z175" s="119" t="s">
        <v>3572</v>
      </c>
    </row>
    <row r="176" spans="1:26" ht="15.75" x14ac:dyDescent="0.25">
      <c r="A176" s="64" t="s">
        <v>864</v>
      </c>
      <c r="B176" s="148" t="s">
        <v>924</v>
      </c>
      <c r="C176" s="62" t="s">
        <v>3338</v>
      </c>
      <c r="D176" s="62" t="str">
        <f t="shared" si="6"/>
        <v>singh.dhananjay@ujjivan.com;vijay.kumar372@ujjivan.com;rahul.sukhija@ujjivan.com;</v>
      </c>
      <c r="E176" s="62" t="s">
        <v>3658</v>
      </c>
      <c r="F176" s="62" t="s">
        <v>4508</v>
      </c>
      <c r="G176" s="62" t="s">
        <v>905</v>
      </c>
      <c r="H176" s="65" t="s">
        <v>880</v>
      </c>
      <c r="I176" s="65" t="s">
        <v>870</v>
      </c>
      <c r="J176" s="67" t="s">
        <v>4401</v>
      </c>
      <c r="K176" s="62" t="str">
        <f>VLOOKUP(B176,Sheet5!$A$1:$H$471,8,0)</f>
        <v>singh.dhananjay@ujjivan.com;vijay.kumar372@ujjivan.com;prakharkumar.pandey@ujjivan.com;rahul.sukhija@ujjivan.com;;;</v>
      </c>
      <c r="L176" s="62" t="str">
        <f>VLOOKUP($B176,Sheet4!$B:$E,4,0)</f>
        <v xml:space="preserve">pnb-ludhiananewshivajinagar-branch@ujjivan.com;helpdeskdelhi@ujjivan.com; </v>
      </c>
      <c r="M176" s="65" t="s">
        <v>1193</v>
      </c>
      <c r="N176" s="68" t="str">
        <f t="shared" si="5"/>
        <v xml:space="preserve">Dear Team, Please find attached list of prospect clients for REPEAT GL-LOANS (clients who have taken earlier an GL Loan) for you branch.
Thanks &amp; Regards,
MIS Team
</v>
      </c>
      <c r="O176" s="66" t="s">
        <v>1028</v>
      </c>
      <c r="X176" s="68" t="s">
        <v>3573</v>
      </c>
      <c r="Y176" s="120" t="s">
        <v>4924</v>
      </c>
      <c r="Z176" s="119" t="s">
        <v>3572</v>
      </c>
    </row>
    <row r="177" spans="1:26" ht="15.75" x14ac:dyDescent="0.25">
      <c r="A177" s="61" t="s">
        <v>864</v>
      </c>
      <c r="B177" s="147" t="s">
        <v>925</v>
      </c>
      <c r="C177" s="62" t="s">
        <v>3339</v>
      </c>
      <c r="D177" s="62" t="str">
        <f t="shared" si="6"/>
        <v>ankit.sharma@ujjivan.com;deepesh.kumar@ujjivan.com;amit.vij@ujjivan.com;</v>
      </c>
      <c r="E177" s="62" t="s">
        <v>2833</v>
      </c>
      <c r="F177" s="62" t="s">
        <v>4247</v>
      </c>
      <c r="G177" s="62" t="s">
        <v>880</v>
      </c>
      <c r="H177" s="62" t="s">
        <v>880</v>
      </c>
      <c r="I177" s="62" t="s">
        <v>870</v>
      </c>
      <c r="J177" s="67" t="s">
        <v>4401</v>
      </c>
      <c r="K177" s="62" t="str">
        <f>VLOOKUP(B177,Sheet5!$A$1:$H$471,8,0)</f>
        <v>ankit.sharma@ujjivan.com;ram.kumar491@ujjivan.com;ashok.pareek@ujjivan.com;amit.vij@ujjivan.com;;;</v>
      </c>
      <c r="L177" s="62" t="str">
        <f>VLOOKUP($B177,Sheet4!$B:$E,4,0)</f>
        <v xml:space="preserve">pnb-jalandhar-branch@ujjivan.com;helpdeskdelhi@ujjivan.com; </v>
      </c>
      <c r="M177" s="62" t="s">
        <v>1194</v>
      </c>
      <c r="N177" s="68" t="str">
        <f t="shared" si="5"/>
        <v xml:space="preserve">Dear Team, Please find attached list of prospect clients for REPEAT GL-LOANS (clients who have taken earlier an GL Loan) for you branch.
Thanks &amp; Regards,
MIS Team
</v>
      </c>
      <c r="O177" s="63" t="s">
        <v>1028</v>
      </c>
      <c r="X177" s="68" t="s">
        <v>3573</v>
      </c>
      <c r="Y177" s="120" t="s">
        <v>4924</v>
      </c>
      <c r="Z177" s="119" t="s">
        <v>3572</v>
      </c>
    </row>
    <row r="178" spans="1:26" ht="15.75" x14ac:dyDescent="0.25">
      <c r="A178" s="64" t="s">
        <v>864</v>
      </c>
      <c r="B178" s="148" t="s">
        <v>926</v>
      </c>
      <c r="C178" s="62" t="s">
        <v>3340</v>
      </c>
      <c r="D178" s="62" t="str">
        <f t="shared" si="6"/>
        <v>ranjeet.parihar@ujjivan.com;pnb-dhanas-branch@ujjivan.com;amit.vij@ujjivan.com;</v>
      </c>
      <c r="E178" s="62" t="s">
        <v>3659</v>
      </c>
      <c r="F178" s="62" t="s">
        <v>4509</v>
      </c>
      <c r="G178" s="62" t="s">
        <v>880</v>
      </c>
      <c r="H178" s="65" t="s">
        <v>880</v>
      </c>
      <c r="I178" s="65" t="s">
        <v>870</v>
      </c>
      <c r="J178" s="67" t="s">
        <v>4401</v>
      </c>
      <c r="K178" s="62" t="str">
        <f>VLOOKUP(B178,Sheet5!$A$1:$H$471,8,0)</f>
        <v>satnam.singh@ujjivan.com;sachin.sharma@ujjivan.com;ashok.pareek@ujjivan.com;amit.vij@ujjivan.com;;;</v>
      </c>
      <c r="L178" s="62" t="str">
        <f>VLOOKUP($B178,Sheet4!$B:$E,4,0)</f>
        <v xml:space="preserve">pnb-ropar-branch@ujjivan.com;helpdeskdelhi@ujjivan.com; </v>
      </c>
      <c r="M178" s="65" t="s">
        <v>1195</v>
      </c>
      <c r="N178" s="68" t="str">
        <f t="shared" si="5"/>
        <v xml:space="preserve">Dear Team, Please find attached list of prospect clients for REPEAT GL-LOANS (clients who have taken earlier an GL Loan) for you branch.
Thanks &amp; Regards,
MIS Team
</v>
      </c>
      <c r="O178" s="66" t="s">
        <v>1028</v>
      </c>
      <c r="X178" s="68" t="s">
        <v>3573</v>
      </c>
      <c r="Y178" s="120" t="s">
        <v>4924</v>
      </c>
      <c r="Z178" s="119" t="s">
        <v>3572</v>
      </c>
    </row>
    <row r="179" spans="1:26" ht="15.75" x14ac:dyDescent="0.25">
      <c r="A179" s="61" t="s">
        <v>864</v>
      </c>
      <c r="B179" s="147" t="s">
        <v>927</v>
      </c>
      <c r="C179" s="62" t="s">
        <v>3341</v>
      </c>
      <c r="D179" s="62" t="str">
        <f t="shared" si="6"/>
        <v>sandeepsingh.18839@ujjivan.com;arun.nama@ujjivan.com;amit.vij@ujjivan.com;</v>
      </c>
      <c r="E179" s="62" t="s">
        <v>3660</v>
      </c>
      <c r="F179" s="62" t="s">
        <v>4250</v>
      </c>
      <c r="G179" s="62" t="s">
        <v>880</v>
      </c>
      <c r="H179" s="62" t="s">
        <v>880</v>
      </c>
      <c r="I179" s="62" t="s">
        <v>870</v>
      </c>
      <c r="J179" s="67" t="s">
        <v>4401</v>
      </c>
      <c r="K179" s="62" t="str">
        <f>VLOOKUP(B179,Sheet5!$A$1:$H$471,8,0)</f>
        <v>sandeepsingh.18839@ujjivan.com;arun.nama@ujjivan.com;ashok.pareek@ujjivan.com;amit.vij@ujjivan.com;;;</v>
      </c>
      <c r="L179" s="62" t="str">
        <f>VLOOKUP($B179,Sheet4!$B:$E,4,0)</f>
        <v xml:space="preserve">pnb-amritsar-branch@ujjivan.com;helpdeskdelhi@ujjivan.com; </v>
      </c>
      <c r="M179" s="62" t="s">
        <v>1196</v>
      </c>
      <c r="N179" s="68" t="str">
        <f t="shared" si="5"/>
        <v xml:space="preserve">Dear Team, Please find attached list of prospect clients for REPEAT GL-LOANS (clients who have taken earlier an GL Loan) for you branch.
Thanks &amp; Regards,
MIS Team
</v>
      </c>
      <c r="O179" s="63" t="s">
        <v>1028</v>
      </c>
      <c r="X179" s="68" t="s">
        <v>3573</v>
      </c>
      <c r="Y179" s="120" t="s">
        <v>4924</v>
      </c>
      <c r="Z179" s="119" t="s">
        <v>3572</v>
      </c>
    </row>
    <row r="180" spans="1:26" ht="15.75" x14ac:dyDescent="0.25">
      <c r="A180" s="64" t="s">
        <v>864</v>
      </c>
      <c r="B180" s="148" t="s">
        <v>928</v>
      </c>
      <c r="C180" s="62" t="s">
        <v>3342</v>
      </c>
      <c r="D180" s="62" t="str">
        <f t="shared" si="6"/>
        <v>rohit.sevta@ujjivan.com;parth.sehgal@ujjivan.com;rahul.sukhija@ujjivan.com;</v>
      </c>
      <c r="E180" s="62" t="s">
        <v>3661</v>
      </c>
      <c r="F180" s="62" t="s">
        <v>4251</v>
      </c>
      <c r="G180" s="62" t="s">
        <v>905</v>
      </c>
      <c r="H180" s="65" t="s">
        <v>880</v>
      </c>
      <c r="I180" s="65" t="s">
        <v>870</v>
      </c>
      <c r="J180" s="67" t="s">
        <v>4401</v>
      </c>
      <c r="K180" s="62" t="str">
        <f>VLOOKUP(B180,Sheet5!$A$1:$H$471,8,0)</f>
        <v>rohit.sevta@ujjivan.com;parth.sehgal@ujjivan.com;prakharkumar.pandey@ujjivan.com;rahul.sukhija@ujjivan.com;;;</v>
      </c>
      <c r="L180" s="62" t="str">
        <f>VLOOKUP($B180,Sheet4!$B:$E,4,0)</f>
        <v xml:space="preserve">pnb-patiala-branch@ujjivan.com;helpdeskdelhi@ujjivan.com; </v>
      </c>
      <c r="M180" s="65" t="s">
        <v>1197</v>
      </c>
      <c r="N180" s="68" t="str">
        <f t="shared" si="5"/>
        <v xml:space="preserve">Dear Team, Please find attached list of prospect clients for REPEAT GL-LOANS (clients who have taken earlier an GL Loan) for you branch.
Thanks &amp; Regards,
MIS Team
</v>
      </c>
      <c r="O180" s="66" t="s">
        <v>1028</v>
      </c>
      <c r="X180" s="68" t="s">
        <v>3573</v>
      </c>
      <c r="Y180" s="120" t="s">
        <v>4924</v>
      </c>
      <c r="Z180" s="119" t="s">
        <v>3572</v>
      </c>
    </row>
    <row r="181" spans="1:26" ht="15.75" x14ac:dyDescent="0.25">
      <c r="A181" s="61" t="s">
        <v>864</v>
      </c>
      <c r="B181" s="147" t="s">
        <v>967</v>
      </c>
      <c r="C181" s="62" t="s">
        <v>4558</v>
      </c>
      <c r="D181" s="62" t="e">
        <f t="shared" si="6"/>
        <v>#N/A</v>
      </c>
      <c r="E181" s="62">
        <v>0</v>
      </c>
      <c r="F181" s="62" t="e">
        <v>#N/A</v>
      </c>
      <c r="G181" s="62" t="e">
        <v>#N/A</v>
      </c>
      <c r="H181" s="62" t="s">
        <v>956</v>
      </c>
      <c r="I181" s="62" t="s">
        <v>870</v>
      </c>
      <c r="J181" s="67" t="s">
        <v>4401</v>
      </c>
      <c r="K181" s="62" t="str">
        <f>VLOOKUP(B181,Sheet5!$A$1:$H$471,8,0)</f>
        <v>;;;;;;</v>
      </c>
      <c r="L181" s="62" t="str">
        <f>VLOOKUP($B181,Sheet4!$B:$E,4,0)</f>
        <v xml:space="preserve">del-jaipur.jhotwara-branch@ujjivan.com;helpdeskdelhi@ujjivan.com; </v>
      </c>
      <c r="M181" s="62" t="s">
        <v>1226</v>
      </c>
      <c r="N181" s="68"/>
      <c r="O181" s="63" t="s">
        <v>1028</v>
      </c>
      <c r="X181" s="68" t="s">
        <v>3573</v>
      </c>
      <c r="Y181" s="120" t="s">
        <v>4924</v>
      </c>
      <c r="Z181" s="119" t="s">
        <v>3572</v>
      </c>
    </row>
    <row r="182" spans="1:26" ht="15.75" x14ac:dyDescent="0.25">
      <c r="A182" s="64" t="s">
        <v>864</v>
      </c>
      <c r="B182" s="148" t="s">
        <v>999</v>
      </c>
      <c r="C182" s="62" t="s">
        <v>4558</v>
      </c>
      <c r="D182" s="62" t="e">
        <f t="shared" si="6"/>
        <v>#N/A</v>
      </c>
      <c r="E182" s="62">
        <v>0</v>
      </c>
      <c r="F182" s="62" t="e">
        <v>#N/A</v>
      </c>
      <c r="G182" s="62" t="e">
        <v>#N/A</v>
      </c>
      <c r="H182" s="65" t="s">
        <v>978</v>
      </c>
      <c r="I182" s="65" t="s">
        <v>870</v>
      </c>
      <c r="J182" s="67" t="s">
        <v>4401</v>
      </c>
      <c r="K182" s="62" t="str">
        <f>VLOOKUP(B182,Sheet5!$A$1:$H$471,8,0)</f>
        <v>;;;;;;</v>
      </c>
      <c r="L182" s="62" t="str">
        <f>VLOOKUP($B182,Sheet4!$B:$E,4,0)</f>
        <v xml:space="preserve">uk.rishikesh- branch &lt;uk.rishikesh-branch@ujjivan.com&gt;;helpdeskdelhi@ujjivan.com; </v>
      </c>
      <c r="M182" s="65" t="s">
        <v>1247</v>
      </c>
      <c r="N182" s="68"/>
      <c r="O182" s="66" t="s">
        <v>1028</v>
      </c>
      <c r="X182" s="68" t="s">
        <v>3573</v>
      </c>
      <c r="Y182" s="120" t="s">
        <v>4924</v>
      </c>
      <c r="Z182" s="119" t="s">
        <v>3572</v>
      </c>
    </row>
    <row r="183" spans="1:26" ht="15.75" x14ac:dyDescent="0.25">
      <c r="A183" s="61" t="s">
        <v>864</v>
      </c>
      <c r="B183" s="147" t="s">
        <v>1000</v>
      </c>
      <c r="C183" s="62" t="s">
        <v>3343</v>
      </c>
      <c r="D183" s="62" t="str">
        <f t="shared" si="6"/>
        <v>lalit.kumar@ujjivan.com;Amit.kumar548@ujjivan.com;mahesh.gupta@ujjivan.com;</v>
      </c>
      <c r="E183" s="62" t="s">
        <v>3662</v>
      </c>
      <c r="F183" s="62" t="s">
        <v>4510</v>
      </c>
      <c r="G183" s="62" t="s">
        <v>911</v>
      </c>
      <c r="H183" s="62" t="s">
        <v>978</v>
      </c>
      <c r="I183" s="62" t="s">
        <v>870</v>
      </c>
      <c r="J183" s="67" t="s">
        <v>4401</v>
      </c>
      <c r="K183" s="62" t="str">
        <f>VLOOKUP(B183,Sheet5!$A$1:$H$471,8,0)</f>
        <v>lalit.kumar@ujjivan.com;amit.kumar548@ujjivan.com;singh.sandeep@ujjivan.com;mahesh.gupta@ujjivan.com;;;</v>
      </c>
      <c r="L183" s="62" t="str">
        <f>VLOOKUP($B183,Sheet4!$B:$E,4,0)</f>
        <v xml:space="preserve">uk.vikasnagar-branch@ujjivan.com;helpdeskdelhi@ujjivan.com; </v>
      </c>
      <c r="M183" s="62" t="s">
        <v>1248</v>
      </c>
      <c r="N183" s="68" t="str">
        <f t="shared" si="5"/>
        <v xml:space="preserve">Dear Team, Please find attached list of prospect clients for REPEAT GL-LOANS (clients who have taken earlier an GL Loan) for you branch.
Thanks &amp; Regards,
MIS Team
</v>
      </c>
      <c r="O183" s="63" t="s">
        <v>1028</v>
      </c>
      <c r="X183" s="68" t="s">
        <v>3573</v>
      </c>
      <c r="Y183" s="120" t="s">
        <v>4924</v>
      </c>
      <c r="Z183" s="119" t="s">
        <v>3572</v>
      </c>
    </row>
    <row r="184" spans="1:26" ht="15.75" x14ac:dyDescent="0.25">
      <c r="A184" s="64" t="s">
        <v>864</v>
      </c>
      <c r="B184" s="148" t="s">
        <v>887</v>
      </c>
      <c r="C184" s="62" t="s">
        <v>3344</v>
      </c>
      <c r="D184" s="62" t="str">
        <f t="shared" si="6"/>
        <v>ganesh.mandal@ujjivan.com;-;vijay.choudhary@ujjivan.com;</v>
      </c>
      <c r="E184" s="62" t="s">
        <v>2823</v>
      </c>
      <c r="F184" s="62" t="s">
        <v>3608</v>
      </c>
      <c r="G184" s="62" t="s">
        <v>888</v>
      </c>
      <c r="H184" s="65"/>
      <c r="I184" s="65" t="s">
        <v>870</v>
      </c>
      <c r="J184" s="67" t="s">
        <v>4401</v>
      </c>
      <c r="K184" s="62" t="str">
        <f>VLOOKUP(B184,Sheet5!$A$1:$H$471,8,0)</f>
        <v>ganesh.mandal@ujjivan.com;tiwari.nitin@ujjivan.com;lavesh.sharma@ujjivan.com;vijay.choudhary@ujjivan.com;;;</v>
      </c>
      <c r="L184" s="62" t="str">
        <f>VLOOKUP($B184,Sheet4!$B:$E,4,0)</f>
        <v xml:space="preserve">mp-indore1-branch@ujjivan.com;helpdeskdelhi@ujjivan.com; </v>
      </c>
      <c r="M184" s="65" t="s">
        <v>1167</v>
      </c>
      <c r="N184" s="68" t="str">
        <f t="shared" si="5"/>
        <v xml:space="preserve">Dear Team, Please find attached list of prospect clients for REPEAT GL-LOANS (clients who have taken earlier an GL Loan) for you branch.
Thanks &amp; Regards,
MIS Team
</v>
      </c>
      <c r="O184" s="66" t="s">
        <v>1028</v>
      </c>
      <c r="X184" s="68" t="s">
        <v>3573</v>
      </c>
      <c r="Y184" s="120" t="s">
        <v>4924</v>
      </c>
      <c r="Z184" s="119" t="s">
        <v>3572</v>
      </c>
    </row>
    <row r="185" spans="1:26" ht="15.75" x14ac:dyDescent="0.25">
      <c r="A185" s="61" t="s">
        <v>864</v>
      </c>
      <c r="B185" s="147" t="s">
        <v>889</v>
      </c>
      <c r="C185" s="62" t="s">
        <v>4558</v>
      </c>
      <c r="D185" s="62" t="e">
        <f t="shared" si="6"/>
        <v>#N/A</v>
      </c>
      <c r="E185" s="62">
        <v>0</v>
      </c>
      <c r="F185" s="62" t="e">
        <v>#N/A</v>
      </c>
      <c r="G185" s="62" t="e">
        <v>#N/A</v>
      </c>
      <c r="H185" s="62"/>
      <c r="I185" s="62" t="s">
        <v>870</v>
      </c>
      <c r="J185" s="67" t="s">
        <v>4401</v>
      </c>
      <c r="K185" s="62" t="str">
        <f>VLOOKUP(B185,Sheet5!$A$1:$H$471,8,0)</f>
        <v>;;;;;;</v>
      </c>
      <c r="L185" s="62" t="str">
        <f>VLOOKUP($B185,Sheet4!$B:$E,4,0)</f>
        <v xml:space="preserve">mp-indore2-branch@ujjivan.com;helpdeskdelhi@ujjivan.com; </v>
      </c>
      <c r="M185" s="62" t="s">
        <v>1168</v>
      </c>
      <c r="N185" s="68"/>
      <c r="O185" s="63" t="s">
        <v>1028</v>
      </c>
      <c r="X185" s="68" t="s">
        <v>3573</v>
      </c>
      <c r="Y185" s="120" t="s">
        <v>4924</v>
      </c>
      <c r="Z185" s="119" t="s">
        <v>3572</v>
      </c>
    </row>
    <row r="186" spans="1:26" ht="15.75" x14ac:dyDescent="0.25">
      <c r="A186" s="64" t="s">
        <v>864</v>
      </c>
      <c r="B186" s="148" t="s">
        <v>890</v>
      </c>
      <c r="C186" s="62" t="s">
        <v>3345</v>
      </c>
      <c r="D186" s="62" t="str">
        <f t="shared" si="6"/>
        <v>amit.verma@ujjivan.com;hari.mewada@ujjivan.com;vijay.choudhary@ujjivan.com;</v>
      </c>
      <c r="E186" s="62" t="s">
        <v>3663</v>
      </c>
      <c r="F186" s="62" t="s">
        <v>4254</v>
      </c>
      <c r="G186" s="62" t="s">
        <v>888</v>
      </c>
      <c r="H186" s="65"/>
      <c r="I186" s="65" t="s">
        <v>870</v>
      </c>
      <c r="J186" s="67" t="s">
        <v>4401</v>
      </c>
      <c r="K186" s="62" t="str">
        <f>VLOOKUP(B186,Sheet5!$A$1:$H$471,8,0)</f>
        <v>amit.verma@ujjivan.com;hari.mewada@ujjivan.com;lavesh.sharma@ujjivan.com;vijay.choudhary@ujjivan.com;;;</v>
      </c>
      <c r="L186" s="62" t="str">
        <f>VLOOKUP($B186,Sheet4!$B:$E,4,0)</f>
        <v xml:space="preserve">mp-pithampur- branch &lt;mp-pithampur-branch@ujjivan.com&gt;;helpdeskdelhi@ujjivan.com; </v>
      </c>
      <c r="M186" s="65" t="s">
        <v>1169</v>
      </c>
      <c r="N186" s="68" t="str">
        <f t="shared" si="5"/>
        <v xml:space="preserve">Dear Team, Please find attached list of prospect clients for REPEAT GL-LOANS (clients who have taken earlier an GL Loan) for you branch.
Thanks &amp; Regards,
MIS Team
</v>
      </c>
      <c r="O186" s="66" t="s">
        <v>1028</v>
      </c>
      <c r="X186" s="68" t="s">
        <v>3573</v>
      </c>
      <c r="Y186" s="120" t="s">
        <v>4924</v>
      </c>
      <c r="Z186" s="119" t="s">
        <v>3572</v>
      </c>
    </row>
    <row r="187" spans="1:26" ht="15.75" x14ac:dyDescent="0.25">
      <c r="A187" s="61" t="s">
        <v>864</v>
      </c>
      <c r="B187" s="147" t="s">
        <v>969</v>
      </c>
      <c r="C187" s="62" t="s">
        <v>3346</v>
      </c>
      <c r="D187" s="62" t="str">
        <f t="shared" si="6"/>
        <v>satyanarayan.savlia@ujjivan.com;omprakash.meghwal@ujjivan.com;rohit.parashar@ujjivan.com;</v>
      </c>
      <c r="E187" s="62" t="s">
        <v>3664</v>
      </c>
      <c r="F187" s="62" t="s">
        <v>4255</v>
      </c>
      <c r="G187" s="62" t="s">
        <v>955</v>
      </c>
      <c r="H187" s="62" t="s">
        <v>956</v>
      </c>
      <c r="I187" s="62" t="s">
        <v>870</v>
      </c>
      <c r="J187" s="67" t="s">
        <v>4401</v>
      </c>
      <c r="K187" s="62" t="str">
        <f>VLOOKUP(B187,Sheet5!$A$1:$H$471,8,0)</f>
        <v>shankerlal.jat@ujjivan.com;dheeraj.tak@ujjivan.com;dalla.ram@ujjivan.com;rohit.parashar@ujjivan.com;;;</v>
      </c>
      <c r="L187" s="62" t="str">
        <f>VLOOKUP($B187,Sheet4!$B:$E,4,0)</f>
        <v xml:space="preserve">raj-bhilwara-branch@ujjivan.com;helpdeskdelhi@ujjivan.com; </v>
      </c>
      <c r="M187" s="62" t="s">
        <v>1227</v>
      </c>
      <c r="N187" s="68" t="str">
        <f t="shared" si="5"/>
        <v xml:space="preserve">Dear Team, Please find attached list of prospect clients for REPEAT GL-LOANS (clients who have taken earlier an GL Loan) for you branch.
Thanks &amp; Regards,
MIS Team
</v>
      </c>
      <c r="O187" s="63" t="s">
        <v>1028</v>
      </c>
      <c r="X187" s="68" t="s">
        <v>3573</v>
      </c>
      <c r="Y187" s="120" t="s">
        <v>4924</v>
      </c>
      <c r="Z187" s="119" t="s">
        <v>3572</v>
      </c>
    </row>
    <row r="188" spans="1:26" ht="15.75" x14ac:dyDescent="0.25">
      <c r="A188" s="64" t="s">
        <v>864</v>
      </c>
      <c r="B188" s="148" t="s">
        <v>929</v>
      </c>
      <c r="C188" s="62" t="s">
        <v>930</v>
      </c>
      <c r="D188" s="62" t="str">
        <f t="shared" si="6"/>
        <v>pradeep.sharma@ujjivan.com;sanjeev.joshi@ujjivan.com;amit.vij@ujjivan.com;</v>
      </c>
      <c r="E188" s="62" t="s">
        <v>931</v>
      </c>
      <c r="F188" s="62" t="s">
        <v>4258</v>
      </c>
      <c r="G188" s="62" t="s">
        <v>880</v>
      </c>
      <c r="H188" s="65" t="s">
        <v>880</v>
      </c>
      <c r="I188" s="65" t="s">
        <v>870</v>
      </c>
      <c r="J188" s="67" t="s">
        <v>4401</v>
      </c>
      <c r="K188" s="62" t="str">
        <f>VLOOKUP(B188,Sheet5!$A$1:$H$471,8,0)</f>
        <v>pradeep.sharma@ujjivan.com;anandkumar.kunar@ujjivan.com;manu.verma@ujjivan.com;amit.vij@ujjivan.com;;;</v>
      </c>
      <c r="L188" s="62" t="str">
        <f>VLOOKUP($B188,Sheet4!$B:$E,4,0)</f>
        <v xml:space="preserve">har-yamunanagar-branch@ujjivan.com;helpdeskdelhi@ujjivan.com; </v>
      </c>
      <c r="M188" s="65" t="s">
        <v>1198</v>
      </c>
      <c r="N188" s="68" t="str">
        <f t="shared" si="5"/>
        <v xml:space="preserve">Dear Team, Please find attached list of prospect clients for REPEAT GL-LOANS (clients who have taken earlier an GL Loan) for you branch.
Thanks &amp; Regards,
MIS Team
</v>
      </c>
      <c r="O188" s="66" t="s">
        <v>1028</v>
      </c>
      <c r="X188" s="68" t="s">
        <v>3573</v>
      </c>
      <c r="Y188" s="120" t="s">
        <v>4924</v>
      </c>
      <c r="Z188" s="119" t="s">
        <v>3572</v>
      </c>
    </row>
    <row r="189" spans="1:26" ht="15.75" x14ac:dyDescent="0.25">
      <c r="A189" s="61" t="s">
        <v>864</v>
      </c>
      <c r="B189" s="147" t="s">
        <v>1001</v>
      </c>
      <c r="C189" s="62" t="s">
        <v>4558</v>
      </c>
      <c r="D189" s="62" t="e">
        <f t="shared" si="6"/>
        <v>#N/A</v>
      </c>
      <c r="E189" s="62">
        <v>0</v>
      </c>
      <c r="F189" s="62" t="e">
        <v>#N/A</v>
      </c>
      <c r="G189" s="62" t="e">
        <v>#N/A</v>
      </c>
      <c r="H189" s="62" t="s">
        <v>978</v>
      </c>
      <c r="I189" s="62" t="s">
        <v>870</v>
      </c>
      <c r="J189" s="67" t="s">
        <v>4401</v>
      </c>
      <c r="K189" s="62" t="str">
        <f>VLOOKUP(B189,Sheet5!$A$1:$H$471,8,0)</f>
        <v>;;;;;;</v>
      </c>
      <c r="L189" s="62" t="str">
        <f>VLOOKUP($B189,Sheet4!$B:$E,4,0)</f>
        <v xml:space="preserve">up-meerut2-branch up-meerut2-branch &lt;meerut2@ujjivan.com&gt;;helpdeskdelhi@ujjivan.com; </v>
      </c>
      <c r="M189" s="62" t="s">
        <v>1249</v>
      </c>
      <c r="N189" s="68"/>
      <c r="O189" s="63" t="s">
        <v>1028</v>
      </c>
      <c r="X189" s="68" t="s">
        <v>3573</v>
      </c>
      <c r="Y189" s="120" t="s">
        <v>4924</v>
      </c>
      <c r="Z189" s="119" t="s">
        <v>3572</v>
      </c>
    </row>
    <row r="190" spans="1:26" ht="15.75" x14ac:dyDescent="0.25">
      <c r="A190" s="64" t="s">
        <v>864</v>
      </c>
      <c r="B190" s="148" t="s">
        <v>932</v>
      </c>
      <c r="C190" s="62" t="s">
        <v>3347</v>
      </c>
      <c r="D190" s="62" t="str">
        <f t="shared" si="6"/>
        <v>ravi.thakur@ujjivan.com;shammi.kumar@ujjivan.com;amit.vij@ujjivan.com;</v>
      </c>
      <c r="E190" s="62" t="s">
        <v>2827</v>
      </c>
      <c r="F190" s="62" t="s">
        <v>4511</v>
      </c>
      <c r="G190" s="62" t="s">
        <v>880</v>
      </c>
      <c r="H190" s="65"/>
      <c r="I190" s="65"/>
      <c r="J190" s="67" t="s">
        <v>4401</v>
      </c>
      <c r="K190" s="62" t="str">
        <f>VLOOKUP(B190,Sheet5!$A$1:$H$471,8,0)</f>
        <v>ravi.thakur@ujjivan.com;shammi.kumar@ujjivan.com;ashok.pareek@ujjivan.com;amit.vij@ujjivan.com;;;</v>
      </c>
      <c r="L190" s="62" t="str">
        <f>VLOOKUP($B190,Sheet4!$B:$E,4,0)</f>
        <v xml:space="preserve">hp-una-branch@ujjivan.com ;helpdeskdelhi@ujjivan.com; </v>
      </c>
      <c r="M190" s="65" t="s">
        <v>1199</v>
      </c>
      <c r="N190" s="68" t="str">
        <f t="shared" si="5"/>
        <v xml:space="preserve">Dear Team, Please find attached list of prospect clients for REPEAT GL-LOANS (clients who have taken earlier an GL Loan) for you branch.
Thanks &amp; Regards,
MIS Team
</v>
      </c>
      <c r="O190" s="66" t="s">
        <v>1028</v>
      </c>
      <c r="X190" s="68" t="s">
        <v>3573</v>
      </c>
      <c r="Y190" s="120" t="s">
        <v>4924</v>
      </c>
      <c r="Z190" s="119" t="s">
        <v>3572</v>
      </c>
    </row>
    <row r="191" spans="1:26" ht="15.75" x14ac:dyDescent="0.25">
      <c r="A191" s="61" t="s">
        <v>864</v>
      </c>
      <c r="B191" s="147" t="s">
        <v>933</v>
      </c>
      <c r="C191" s="62" t="s">
        <v>3348</v>
      </c>
      <c r="D191" s="62" t="str">
        <f t="shared" si="6"/>
        <v>raj.nagiyan@ujjivan.com;parveen.bhagal@ujjivan.com;amit.vij@ujjivan.com;</v>
      </c>
      <c r="E191" s="62" t="s">
        <v>3665</v>
      </c>
      <c r="F191" s="62" t="s">
        <v>4512</v>
      </c>
      <c r="G191" s="62" t="s">
        <v>880</v>
      </c>
      <c r="H191" s="62" t="s">
        <v>880</v>
      </c>
      <c r="I191" s="62" t="s">
        <v>870</v>
      </c>
      <c r="J191" s="67" t="s">
        <v>4401</v>
      </c>
      <c r="K191" s="62" t="str">
        <f>VLOOKUP(B191,Sheet5!$A$1:$H$471,8,0)</f>
        <v>raj.nagiyan@ujjivan.com;parveen.bhagal@ujjivan.com;manu.verma@ujjivan.com;amit.vij@ujjivan.com;;;</v>
      </c>
      <c r="L191" s="62" t="str">
        <f>VLOOKUP($B191,Sheet4!$B:$E,4,0)</f>
        <v xml:space="preserve">har-narayangarh-branch@ujjivan.com ;helpdeskdelhi@ujjivan.com; </v>
      </c>
      <c r="M191" s="62" t="s">
        <v>1200</v>
      </c>
      <c r="N191" s="68" t="str">
        <f t="shared" si="5"/>
        <v xml:space="preserve">Dear Team, Please find attached list of prospect clients for REPEAT GL-LOANS (clients who have taken earlier an GL Loan) for you branch.
Thanks &amp; Regards,
MIS Team
</v>
      </c>
      <c r="O191" s="63" t="s">
        <v>1028</v>
      </c>
      <c r="X191" s="68" t="s">
        <v>3573</v>
      </c>
      <c r="Y191" s="120" t="s">
        <v>4924</v>
      </c>
      <c r="Z191" s="119" t="s">
        <v>3572</v>
      </c>
    </row>
    <row r="192" spans="1:26" ht="15.75" x14ac:dyDescent="0.25">
      <c r="A192" s="64" t="s">
        <v>864</v>
      </c>
      <c r="B192" s="148" t="s">
        <v>935</v>
      </c>
      <c r="C192" s="62" t="s">
        <v>3349</v>
      </c>
      <c r="D192" s="62" t="str">
        <f t="shared" si="6"/>
        <v>neeraj.sharma@ujjivan.com;narvir.singh@ujjivan.com;rahul.sukhija@ujjivan.com;</v>
      </c>
      <c r="E192" s="62" t="s">
        <v>2844</v>
      </c>
      <c r="F192" s="62" t="s">
        <v>4260</v>
      </c>
      <c r="G192" s="62" t="s">
        <v>905</v>
      </c>
      <c r="H192" s="65"/>
      <c r="I192" s="65"/>
      <c r="J192" s="67" t="s">
        <v>4401</v>
      </c>
      <c r="K192" s="62" t="str">
        <f>VLOOKUP(B192,Sheet5!$A$1:$H$471,8,0)</f>
        <v>;narvir.singh@ujjivan.com;shanta.bhardwaj@ujjivan.com;rahul.sukhija@ujjivan.com;;;</v>
      </c>
      <c r="L192" s="62" t="str">
        <f>VLOOKUP($B192,Sheet4!$B:$E,4,0)</f>
        <v xml:space="preserve">har-jhajjar-branch@ujjivan.com;helpdeskdelhi@ujjivan.com; </v>
      </c>
      <c r="M192" s="65" t="s">
        <v>1201</v>
      </c>
      <c r="N192" s="68" t="str">
        <f t="shared" si="5"/>
        <v xml:space="preserve">Dear Team, Please find attached list of prospect clients for REPEAT GL-LOANS (clients who have taken earlier an GL Loan) for you branch.
Thanks &amp; Regards,
MIS Team
</v>
      </c>
      <c r="O192" s="66" t="s">
        <v>1028</v>
      </c>
      <c r="X192" s="68" t="s">
        <v>3573</v>
      </c>
      <c r="Y192" s="120" t="s">
        <v>4924</v>
      </c>
      <c r="Z192" s="119" t="s">
        <v>3572</v>
      </c>
    </row>
    <row r="193" spans="1:26" ht="15.75" x14ac:dyDescent="0.25">
      <c r="A193" s="61" t="s">
        <v>864</v>
      </c>
      <c r="B193" s="147" t="s">
        <v>891</v>
      </c>
      <c r="C193" s="62" t="s">
        <v>3350</v>
      </c>
      <c r="D193" s="62" t="str">
        <f t="shared" si="6"/>
        <v>mrityunjay.gorana@ujjivan.com;suman.shakur@ujjivan.com;vijay.choudhary@ujjivan.com;</v>
      </c>
      <c r="E193" s="62" t="s">
        <v>3666</v>
      </c>
      <c r="F193" s="62" t="s">
        <v>4261</v>
      </c>
      <c r="G193" s="62" t="s">
        <v>888</v>
      </c>
      <c r="H193" s="62"/>
      <c r="I193" s="62"/>
      <c r="J193" s="67" t="s">
        <v>4401</v>
      </c>
      <c r="K193" s="62" t="str">
        <f>VLOOKUP(B193,Sheet5!$A$1:$H$471,8,0)</f>
        <v>deepak.tripathi@ujjivan.com;suman.thakur@ujjivan.com;sunilkumar.tiwari@ujjivan.com;vijay.choudhary@ujjivan.com;;;</v>
      </c>
      <c r="L193" s="62" t="str">
        <f>VLOOKUP($B193,Sheet4!$B:$E,4,0)</f>
        <v xml:space="preserve">mp-khargone-branch@ujjivan.com ;helpdeskdelhi@ujjivan.com; </v>
      </c>
      <c r="M193" s="62" t="s">
        <v>1170</v>
      </c>
      <c r="N193" s="68" t="str">
        <f t="shared" si="5"/>
        <v xml:space="preserve">Dear Team, Please find attached list of prospect clients for REPEAT GL-LOANS (clients who have taken earlier an GL Loan) for you branch.
Thanks &amp; Regards,
MIS Team
</v>
      </c>
      <c r="O193" s="63" t="s">
        <v>1028</v>
      </c>
      <c r="X193" s="68" t="s">
        <v>3573</v>
      </c>
      <c r="Y193" s="120" t="s">
        <v>4924</v>
      </c>
      <c r="Z193" s="119" t="s">
        <v>3572</v>
      </c>
    </row>
    <row r="194" spans="1:26" ht="15.75" x14ac:dyDescent="0.25">
      <c r="A194" s="64" t="s">
        <v>864</v>
      </c>
      <c r="B194" s="148" t="s">
        <v>892</v>
      </c>
      <c r="C194" s="62" t="s">
        <v>3351</v>
      </c>
      <c r="D194" s="62" t="str">
        <f t="shared" si="6"/>
        <v>jaynarayan.malhare@ujjivan.com;ccr.khandwa@ujjivan.com;vijay.choudhary@ujjivan.com;</v>
      </c>
      <c r="E194" s="62" t="s">
        <v>3667</v>
      </c>
      <c r="F194" s="62" t="s">
        <v>4262</v>
      </c>
      <c r="G194" s="62" t="s">
        <v>888</v>
      </c>
      <c r="H194" s="65"/>
      <c r="I194" s="65"/>
      <c r="J194" s="67" t="s">
        <v>4401</v>
      </c>
      <c r="K194" s="62" t="str">
        <f>VLOOKUP(B194,Sheet5!$A$1:$H$471,8,0)</f>
        <v>jaynarayan.malhare@ujjivan.com;yogesh.bhalse@ujjivan.com;sunilkumar.tiwari@ujjivan.com;vijay.choudhary@ujjivan.com;;;</v>
      </c>
      <c r="L194" s="62" t="str">
        <f>VLOOKUP($B194,Sheet4!$B:$E,4,0)</f>
        <v xml:space="preserve">mp-khandwa-branch@ujjivan.com ;helpdeskdelhi@ujjivan.com; </v>
      </c>
      <c r="M194" s="65" t="s">
        <v>1171</v>
      </c>
      <c r="N194" s="68" t="str">
        <f t="shared" si="5"/>
        <v xml:space="preserve">Dear Team, Please find attached list of prospect clients for REPEAT GL-LOANS (clients who have taken earlier an GL Loan) for you branch.
Thanks &amp; Regards,
MIS Team
</v>
      </c>
      <c r="O194" s="66" t="s">
        <v>1028</v>
      </c>
      <c r="X194" s="68" t="s">
        <v>3573</v>
      </c>
      <c r="Y194" s="120" t="s">
        <v>4924</v>
      </c>
      <c r="Z194" s="119" t="s">
        <v>3572</v>
      </c>
    </row>
    <row r="195" spans="1:26" ht="15.75" x14ac:dyDescent="0.25">
      <c r="A195" s="61" t="s">
        <v>864</v>
      </c>
      <c r="B195" s="147" t="s">
        <v>893</v>
      </c>
      <c r="C195" s="62" t="s">
        <v>3352</v>
      </c>
      <c r="D195" s="62" t="str">
        <f t="shared" si="6"/>
        <v>manoj.sawarkar@ujjivan.com;rajesh.078@ujjivan.com;vijay.choudhary@ujjivan.com;</v>
      </c>
      <c r="E195" s="62" t="s">
        <v>2830</v>
      </c>
      <c r="F195" s="62" t="s">
        <v>4513</v>
      </c>
      <c r="G195" s="62" t="s">
        <v>888</v>
      </c>
      <c r="H195" s="62"/>
      <c r="I195" s="62"/>
      <c r="J195" s="67" t="s">
        <v>4401</v>
      </c>
      <c r="K195" s="62" t="str">
        <f>VLOOKUP(B195,Sheet5!$A$1:$H$471,8,0)</f>
        <v>manoj.sawarkar@ujjivan.com;rajesh.078@ujjivan.com;sunilkumar.tiwari@ujjivan.com;vijay.choudhary@ujjivan.com;;;</v>
      </c>
      <c r="L195" s="62" t="str">
        <f>VLOOKUP($B195,Sheet4!$B:$E,4,0)</f>
        <v xml:space="preserve">mp-sanawad-branch@ujjivan.com ;helpdeskdelhi@ujjivan.com; </v>
      </c>
      <c r="M195" s="62" t="s">
        <v>1172</v>
      </c>
      <c r="N195" s="68" t="str">
        <f t="shared" si="5"/>
        <v xml:space="preserve">Dear Team, Please find attached list of prospect clients for REPEAT GL-LOANS (clients who have taken earlier an GL Loan) for you branch.
Thanks &amp; Regards,
MIS Team
</v>
      </c>
      <c r="O195" s="63" t="s">
        <v>1028</v>
      </c>
      <c r="X195" s="68" t="s">
        <v>3573</v>
      </c>
      <c r="Y195" s="120" t="s">
        <v>4924</v>
      </c>
      <c r="Z195" s="119" t="s">
        <v>3572</v>
      </c>
    </row>
    <row r="196" spans="1:26" ht="15.75" x14ac:dyDescent="0.25">
      <c r="A196" s="64" t="s">
        <v>864</v>
      </c>
      <c r="B196" s="148" t="s">
        <v>894</v>
      </c>
      <c r="C196" s="62" t="s">
        <v>3353</v>
      </c>
      <c r="D196" s="62" t="str">
        <f t="shared" si="6"/>
        <v>chandrani.gautam@ujjivan.com;ashish.daga@ujjivan.com;vijay.choudhary@ujjivan.com;</v>
      </c>
      <c r="E196" s="62" t="s">
        <v>3668</v>
      </c>
      <c r="F196" s="62" t="s">
        <v>3202</v>
      </c>
      <c r="G196" s="62" t="s">
        <v>888</v>
      </c>
      <c r="H196" s="65"/>
      <c r="I196" s="65"/>
      <c r="J196" s="67" t="s">
        <v>4401</v>
      </c>
      <c r="K196" s="62" t="str">
        <f>VLOOKUP(B196,Sheet5!$A$1:$H$471,8,0)</f>
        <v>nitin.pawar@ujjivan.com;ashish.daga@ujjivan.com;lavesh.sharma@ujjivan.com;vijay.choudhary@ujjivan.com;;;</v>
      </c>
      <c r="L196" s="62" t="str">
        <f>VLOOKUP($B196,Sheet4!$B:$E,4,0)</f>
        <v xml:space="preserve">mp-nagda-branch@ujjivan.com ;helpdeskdelhi@ujjivan.com; </v>
      </c>
      <c r="M196" s="65" t="s">
        <v>1173</v>
      </c>
      <c r="N196" s="68" t="str">
        <f t="shared" si="5"/>
        <v xml:space="preserve">Dear Team, Please find attached list of prospect clients for REPEAT GL-LOANS (clients who have taken earlier an GL Loan) for you branch.
Thanks &amp; Regards,
MIS Team
</v>
      </c>
      <c r="O196" s="66" t="s">
        <v>1028</v>
      </c>
      <c r="X196" s="68" t="s">
        <v>3573</v>
      </c>
      <c r="Y196" s="120" t="s">
        <v>4924</v>
      </c>
      <c r="Z196" s="119" t="s">
        <v>3572</v>
      </c>
    </row>
    <row r="197" spans="1:26" ht="15.75" x14ac:dyDescent="0.25">
      <c r="A197" s="61" t="s">
        <v>864</v>
      </c>
      <c r="B197" s="147" t="s">
        <v>972</v>
      </c>
      <c r="C197" s="62" t="s">
        <v>3026</v>
      </c>
      <c r="D197" s="62" t="str">
        <f t="shared" si="6"/>
        <v>dharmendra.sharma@ujjivan.com;kalu.ram@ujjivan.com;rohit.parashar@ujjivan.com;</v>
      </c>
      <c r="E197" s="62" t="s">
        <v>3025</v>
      </c>
      <c r="F197" s="62" t="s">
        <v>4263</v>
      </c>
      <c r="G197" s="62" t="s">
        <v>955</v>
      </c>
      <c r="H197" s="62" t="s">
        <v>956</v>
      </c>
      <c r="I197" s="62" t="s">
        <v>870</v>
      </c>
      <c r="J197" s="67" t="s">
        <v>4401</v>
      </c>
      <c r="K197" s="62" t="str">
        <f>VLOOKUP(B197,Sheet5!$A$1:$H$471,8,0)</f>
        <v>dharmendra.sharma@ujjivan.com;ravi.kumarkarodia@ujjivan.com;deepak.duttatrey@ujjivan.com;rohit.parashar@ujjivan.com;;;</v>
      </c>
      <c r="L197" s="62" t="str">
        <f>VLOOKUP($B197,Sheet4!$B:$E,4,0)</f>
        <v xml:space="preserve">raj-khairthal-branch@ujjivan.com;helpdeskdelhi@ujjivan.com; </v>
      </c>
      <c r="M197" s="62" t="s">
        <v>1228</v>
      </c>
      <c r="N197" s="68" t="str">
        <f t="shared" ref="N197:N260" si="7">X197&amp;" "&amp; Y197&amp;", "&amp;Z197</f>
        <v xml:space="preserve">Dear Team, Please find attached list of prospect clients for REPEAT GL-LOANS (clients who have taken earlier an GL Loan) for you branch.
Thanks &amp; Regards,
MIS Team
</v>
      </c>
      <c r="O197" s="63" t="s">
        <v>1028</v>
      </c>
      <c r="X197" s="68" t="s">
        <v>3573</v>
      </c>
      <c r="Y197" s="120" t="s">
        <v>4924</v>
      </c>
      <c r="Z197" s="119" t="s">
        <v>3572</v>
      </c>
    </row>
    <row r="198" spans="1:26" ht="15.75" x14ac:dyDescent="0.25">
      <c r="A198" s="64" t="s">
        <v>864</v>
      </c>
      <c r="B198" s="148" t="s">
        <v>936</v>
      </c>
      <c r="C198" s="62" t="s">
        <v>3354</v>
      </c>
      <c r="D198" s="62" t="e">
        <f t="shared" ref="D198:D261" si="8">CONCATENATE(E198,";",F198,";",G198,";")</f>
        <v>#N/A</v>
      </c>
      <c r="E198" s="62" t="s">
        <v>2847</v>
      </c>
      <c r="F198" s="62" t="e">
        <v>#N/A</v>
      </c>
      <c r="G198" s="62" t="e">
        <v>#N/A</v>
      </c>
      <c r="H198" s="65"/>
      <c r="I198" s="65"/>
      <c r="J198" s="67" t="s">
        <v>4401</v>
      </c>
      <c r="K198" s="62" t="str">
        <f>VLOOKUP(B198,Sheet5!$A$1:$H$471,8,0)</f>
        <v>rakesh.chauhan@ujjivan.com;vijender.dhaka@ujjivan.com;shyam.patidar@ujjivan.com;;;;</v>
      </c>
      <c r="L198" s="62" t="str">
        <f>VLOOKUP($B198,Sheet4!$B:$E,4,0)</f>
        <v xml:space="preserve">har-narwana-branch@ujjivan.com;helpdeskdelhi@ujjivan.com; </v>
      </c>
      <c r="M198" s="65" t="s">
        <v>1202</v>
      </c>
      <c r="N198" s="68" t="str">
        <f t="shared" si="7"/>
        <v xml:space="preserve">Dear Team, Please find attached list of prospect clients for REPEAT GL-LOANS (clients who have taken earlier an GL Loan) for you branch.
Thanks &amp; Regards,
MIS Team
</v>
      </c>
      <c r="O198" s="66" t="s">
        <v>1028</v>
      </c>
      <c r="X198" s="68" t="s">
        <v>3573</v>
      </c>
      <c r="Y198" s="120" t="s">
        <v>4924</v>
      </c>
      <c r="Z198" s="119" t="s">
        <v>3572</v>
      </c>
    </row>
    <row r="199" spans="1:26" ht="15.75" x14ac:dyDescent="0.25">
      <c r="A199" s="61" t="s">
        <v>864</v>
      </c>
      <c r="B199" s="147" t="s">
        <v>937</v>
      </c>
      <c r="C199" s="62" t="s">
        <v>3355</v>
      </c>
      <c r="D199" s="62" t="str">
        <f t="shared" si="8"/>
        <v>parveen.lohat@ujjivan.com;ajay.kumar720@ujjivan.com;rahul.sukhija@ujjivan.com;</v>
      </c>
      <c r="E199" s="62" t="s">
        <v>3669</v>
      </c>
      <c r="F199" s="62" t="s">
        <v>4514</v>
      </c>
      <c r="G199" s="62" t="s">
        <v>905</v>
      </c>
      <c r="H199" s="62"/>
      <c r="I199" s="62"/>
      <c r="J199" s="67" t="s">
        <v>4401</v>
      </c>
      <c r="K199" s="62" t="str">
        <f>VLOOKUP(B199,Sheet5!$A$1:$H$471,8,0)</f>
        <v>parveen.lohat@ujjivan.com;ccr.abohar@ujjivan.com;prakharkumar.pandey@ujjivan.com;rahul.sukhija@ujjivan.com;;;</v>
      </c>
      <c r="L199" s="62" t="str">
        <f>VLOOKUP($B199,Sheet4!$B:$E,4,0)</f>
        <v xml:space="preserve">pnb-barnala-branch@ujjivan.com;helpdeskdelhi@ujjivan.com; </v>
      </c>
      <c r="M199" s="62" t="s">
        <v>1203</v>
      </c>
      <c r="N199" s="68" t="str">
        <f t="shared" si="7"/>
        <v xml:space="preserve">Dear Team, Please find attached list of prospect clients for REPEAT GL-LOANS (clients who have taken earlier an GL Loan) for you branch.
Thanks &amp; Regards,
MIS Team
</v>
      </c>
      <c r="O199" s="63" t="s">
        <v>1028</v>
      </c>
      <c r="X199" s="68" t="s">
        <v>3573</v>
      </c>
      <c r="Y199" s="120" t="s">
        <v>4924</v>
      </c>
      <c r="Z199" s="119" t="s">
        <v>3572</v>
      </c>
    </row>
    <row r="200" spans="1:26" ht="15.75" x14ac:dyDescent="0.25">
      <c r="A200" s="64" t="s">
        <v>864</v>
      </c>
      <c r="B200" s="148" t="s">
        <v>938</v>
      </c>
      <c r="C200" s="62" t="s">
        <v>3356</v>
      </c>
      <c r="D200" s="62" t="str">
        <f t="shared" si="8"/>
        <v>aseem.sachdeva@ujjivan.com;gurvinder.singh@ujjivan.com;rahul.sukhija@ujjivan.com;</v>
      </c>
      <c r="E200" s="62" t="s">
        <v>3670</v>
      </c>
      <c r="F200" s="62" t="s">
        <v>4243</v>
      </c>
      <c r="G200" s="62" t="s">
        <v>905</v>
      </c>
      <c r="H200" s="65"/>
      <c r="I200" s="65"/>
      <c r="J200" s="67" t="s">
        <v>4401</v>
      </c>
      <c r="K200" s="62" t="str">
        <f>VLOOKUP(B200,Sheet5!$A$1:$H$471,8,0)</f>
        <v>aseem.sachdeva@ujjivan.com;gurvinder.singh@ujjivan.com;prakharkumar.pandey@ujjivan.com;rahul.sukhija@ujjivan.com;;;</v>
      </c>
      <c r="L200" s="62" t="str">
        <f>VLOOKUP($B200,Sheet4!$B:$E,4,0)</f>
        <v xml:space="preserve">pnb-mansa-branch@ujjivan.com;helpdeskdelhi@ujjivan.com; </v>
      </c>
      <c r="M200" s="65" t="s">
        <v>1204</v>
      </c>
      <c r="N200" s="68" t="str">
        <f t="shared" si="7"/>
        <v xml:space="preserve">Dear Team, Please find attached list of prospect clients for REPEAT GL-LOANS (clients who have taken earlier an GL Loan) for you branch.
Thanks &amp; Regards,
MIS Team
</v>
      </c>
      <c r="O200" s="66" t="s">
        <v>1028</v>
      </c>
      <c r="X200" s="68" t="s">
        <v>3573</v>
      </c>
      <c r="Y200" s="120" t="s">
        <v>4924</v>
      </c>
      <c r="Z200" s="119" t="s">
        <v>3572</v>
      </c>
    </row>
    <row r="201" spans="1:26" ht="15.75" x14ac:dyDescent="0.25">
      <c r="A201" s="61" t="s">
        <v>864</v>
      </c>
      <c r="B201" s="147" t="s">
        <v>939</v>
      </c>
      <c r="C201" s="62" t="s">
        <v>3357</v>
      </c>
      <c r="D201" s="62" t="str">
        <f t="shared" si="8"/>
        <v>vijendra.sharma@ujjivan.com;yash.pal@ujjivan.com;rahul.sukhija@ujjivan.com;</v>
      </c>
      <c r="E201" s="62" t="s">
        <v>3671</v>
      </c>
      <c r="F201" s="62" t="s">
        <v>4266</v>
      </c>
      <c r="G201" s="62" t="s">
        <v>905</v>
      </c>
      <c r="H201" s="62"/>
      <c r="I201" s="62"/>
      <c r="J201" s="67" t="s">
        <v>4401</v>
      </c>
      <c r="K201" s="62" t="str">
        <f>VLOOKUP(B201,Sheet5!$A$1:$H$471,8,0)</f>
        <v>honey.kumar@ujjivan.com;yash.pal@ujjivan.com;kumar.suresh@ujjivan.com;rahul.sukhija@ujjivan.com;;;</v>
      </c>
      <c r="L201" s="62" t="str">
        <f>VLOOKUP($B201,Sheet4!$B:$E,4,0)</f>
        <v xml:space="preserve">pnb-gidderbaha-branch@ujjivan.com;helpdeskdelhi@ujjivan.com; </v>
      </c>
      <c r="M201" s="62" t="s">
        <v>1205</v>
      </c>
      <c r="N201" s="68" t="str">
        <f t="shared" si="7"/>
        <v xml:space="preserve">Dear Team, Please find attached list of prospect clients for REPEAT GL-LOANS (clients who have taken earlier an GL Loan) for you branch.
Thanks &amp; Regards,
MIS Team
</v>
      </c>
      <c r="O201" s="63" t="s">
        <v>1028</v>
      </c>
      <c r="X201" s="68" t="s">
        <v>3573</v>
      </c>
      <c r="Y201" s="120" t="s">
        <v>4924</v>
      </c>
      <c r="Z201" s="119" t="s">
        <v>3572</v>
      </c>
    </row>
    <row r="202" spans="1:26" ht="15.75" x14ac:dyDescent="0.25">
      <c r="A202" s="64" t="s">
        <v>864</v>
      </c>
      <c r="B202" s="148" t="s">
        <v>1002</v>
      </c>
      <c r="C202" s="62" t="s">
        <v>4558</v>
      </c>
      <c r="D202" s="62" t="e">
        <f t="shared" si="8"/>
        <v>#N/A</v>
      </c>
      <c r="E202" s="62">
        <v>0</v>
      </c>
      <c r="F202" s="62" t="e">
        <v>#N/A</v>
      </c>
      <c r="G202" s="62" t="e">
        <v>#N/A</v>
      </c>
      <c r="H202" s="65" t="s">
        <v>978</v>
      </c>
      <c r="I202" s="65" t="s">
        <v>870</v>
      </c>
      <c r="J202" s="67" t="s">
        <v>4401</v>
      </c>
      <c r="K202" s="62" t="str">
        <f>VLOOKUP(B202,Sheet5!$A$1:$H$471,8,0)</f>
        <v>;;;;;;</v>
      </c>
      <c r="L202" s="62" t="str">
        <f>VLOOKUP($B202,Sheet4!$B:$E,4,0)</f>
        <v xml:space="preserve">up-agrarajpur-branch@ujjivan.com;helpdeskdelhi@ujjivan.com; </v>
      </c>
      <c r="M202" s="65" t="s">
        <v>1250</v>
      </c>
      <c r="N202" s="68"/>
      <c r="O202" s="66" t="s">
        <v>1028</v>
      </c>
      <c r="X202" s="68" t="s">
        <v>3573</v>
      </c>
      <c r="Y202" s="120" t="s">
        <v>4924</v>
      </c>
      <c r="Z202" s="119" t="s">
        <v>3572</v>
      </c>
    </row>
    <row r="203" spans="1:26" ht="15.75" x14ac:dyDescent="0.25">
      <c r="A203" s="61" t="s">
        <v>864</v>
      </c>
      <c r="B203" s="147" t="s">
        <v>974</v>
      </c>
      <c r="C203" s="62" t="s">
        <v>3358</v>
      </c>
      <c r="D203" s="62" t="str">
        <f t="shared" si="8"/>
        <v>shakti.shekhawat@ujjivan.com;naresh.saini@ujjivan.com;rohit.parashar@ujjivan.com;</v>
      </c>
      <c r="E203" s="62" t="s">
        <v>2851</v>
      </c>
      <c r="F203" s="62" t="s">
        <v>4267</v>
      </c>
      <c r="G203" s="62" t="s">
        <v>955</v>
      </c>
      <c r="H203" s="62" t="s">
        <v>956</v>
      </c>
      <c r="I203" s="62" t="s">
        <v>870</v>
      </c>
      <c r="J203" s="67" t="s">
        <v>4401</v>
      </c>
      <c r="K203" s="62" t="str">
        <f>VLOOKUP(B203,Sheet5!$A$1:$H$471,8,0)</f>
        <v>shakti.shekhawat@ujjivan.com;naresh.saini@ujjivan.com;deepak.duttatrey@ujjivan.com;rohit.parashar@ujjivan.com;;;</v>
      </c>
      <c r="L203" s="62" t="str">
        <f>VLOOKUP($B203,Sheet4!$B:$E,4,0)</f>
        <v xml:space="preserve">raj-kotputli-branch@ujjivan.com;helpdeskdelhi@ujjivan.com; </v>
      </c>
      <c r="M203" s="62" t="s">
        <v>1229</v>
      </c>
      <c r="N203" s="68" t="str">
        <f t="shared" si="7"/>
        <v xml:space="preserve">Dear Team, Please find attached list of prospect clients for REPEAT GL-LOANS (clients who have taken earlier an GL Loan) for you branch.
Thanks &amp; Regards,
MIS Team
</v>
      </c>
      <c r="O203" s="63" t="s">
        <v>1028</v>
      </c>
      <c r="X203" s="68" t="s">
        <v>3573</v>
      </c>
      <c r="Y203" s="120" t="s">
        <v>4924</v>
      </c>
      <c r="Z203" s="119" t="s">
        <v>3572</v>
      </c>
    </row>
    <row r="204" spans="1:26" ht="15.75" x14ac:dyDescent="0.25">
      <c r="A204" s="64" t="s">
        <v>864</v>
      </c>
      <c r="B204" s="148" t="s">
        <v>940</v>
      </c>
      <c r="C204" s="62" t="s">
        <v>4558</v>
      </c>
      <c r="D204" s="62" t="e">
        <f t="shared" si="8"/>
        <v>#N/A</v>
      </c>
      <c r="E204" s="62">
        <v>0</v>
      </c>
      <c r="F204" s="62" t="e">
        <v>#N/A</v>
      </c>
      <c r="G204" s="62" t="e">
        <v>#N/A</v>
      </c>
      <c r="H204" s="65"/>
      <c r="I204" s="65"/>
      <c r="J204" s="67" t="s">
        <v>4401</v>
      </c>
      <c r="K204" s="62" t="str">
        <f>VLOOKUP(B204,Sheet5!$A$1:$H$471,8,0)</f>
        <v>;;;;;;</v>
      </c>
      <c r="L204" s="62" t="str">
        <f>VLOOKUP($B204,Sheet4!$B:$E,4,0)</f>
        <v xml:space="preserve">har-guhana-branch@ujjivan.com;helpdeskdelhi@ujjivan.com; </v>
      </c>
      <c r="M204" s="65" t="s">
        <v>1206</v>
      </c>
      <c r="N204" s="68"/>
      <c r="O204" s="66" t="s">
        <v>1028</v>
      </c>
      <c r="X204" s="68" t="s">
        <v>3573</v>
      </c>
      <c r="Y204" s="120" t="s">
        <v>4924</v>
      </c>
      <c r="Z204" s="119" t="s">
        <v>3572</v>
      </c>
    </row>
    <row r="205" spans="1:26" ht="15.75" x14ac:dyDescent="0.25">
      <c r="A205" s="61" t="s">
        <v>864</v>
      </c>
      <c r="B205" s="147" t="s">
        <v>941</v>
      </c>
      <c r="C205" s="62" t="s">
        <v>3359</v>
      </c>
      <c r="D205" s="62" t="str">
        <f t="shared" si="8"/>
        <v>anirudh.kumar@ujjivan.com;sanjeev.gondwall@ujjivan.com;amit.vij@ujjivan.com;</v>
      </c>
      <c r="E205" s="62" t="s">
        <v>934</v>
      </c>
      <c r="F205" s="62" t="s">
        <v>4225</v>
      </c>
      <c r="G205" s="62" t="s">
        <v>880</v>
      </c>
      <c r="H205" s="62" t="s">
        <v>880</v>
      </c>
      <c r="I205" s="62" t="s">
        <v>870</v>
      </c>
      <c r="J205" s="67" t="s">
        <v>4401</v>
      </c>
      <c r="K205" s="62" t="str">
        <f>VLOOKUP(B205,Sheet5!$A$1:$H$471,8,0)</f>
        <v>anirudh.kumar@ujjivan.com;rajinder.kumar@ujjivan.com;manu.verma@ujjivan.com;amit.vij@ujjivan.com;;;</v>
      </c>
      <c r="L205" s="62" t="str">
        <f>VLOOKUP($B205,Sheet4!$B:$E,4,0)</f>
        <v xml:space="preserve">har-brara-branch@ujjivan.com;helpdeskdelhi@ujjivan.com; </v>
      </c>
      <c r="M205" s="62" t="s">
        <v>1207</v>
      </c>
      <c r="N205" s="68" t="str">
        <f t="shared" si="7"/>
        <v xml:space="preserve">Dear Team, Please find attached list of prospect clients for REPEAT GL-LOANS (clients who have taken earlier an GL Loan) for you branch.
Thanks &amp; Regards,
MIS Team
</v>
      </c>
      <c r="O205" s="63" t="s">
        <v>1028</v>
      </c>
      <c r="X205" s="68" t="s">
        <v>3573</v>
      </c>
      <c r="Y205" s="120" t="s">
        <v>4924</v>
      </c>
      <c r="Z205" s="119" t="s">
        <v>3572</v>
      </c>
    </row>
    <row r="206" spans="1:26" ht="15.75" x14ac:dyDescent="0.25">
      <c r="A206" s="64" t="s">
        <v>864</v>
      </c>
      <c r="B206" s="148" t="s">
        <v>1003</v>
      </c>
      <c r="C206" s="62" t="s">
        <v>3360</v>
      </c>
      <c r="D206" s="62" t="str">
        <f t="shared" si="8"/>
        <v>mohit.chauhan@ujjivan.com;Vikash.bansal@ujjivan.com;mahesh.gupta@ujjivan.com;</v>
      </c>
      <c r="E206" s="62" t="s">
        <v>3672</v>
      </c>
      <c r="F206" s="62" t="s">
        <v>4269</v>
      </c>
      <c r="G206" s="62" t="s">
        <v>911</v>
      </c>
      <c r="H206" s="65"/>
      <c r="I206" s="65"/>
      <c r="J206" s="67" t="s">
        <v>4401</v>
      </c>
      <c r="K206" s="62" t="str">
        <f>VLOOKUP(B206,Sheet5!$A$1:$H$471,8,0)</f>
        <v>mayank.suryavanshi@ujjivan.com;Vikash.bansal@ujjivan.com;sarveshpratap.singh@ujjivan.com;mahesh.gupta@ujjivan.com;;;</v>
      </c>
      <c r="L206" s="62" t="str">
        <f>VLOOKUP($B206,Sheet4!$B:$E,4,0)</f>
        <v xml:space="preserve">up-siyana-branch@ujjivan.com;helpdeskdelhi@ujjivan.com; </v>
      </c>
      <c r="M206" s="65" t="s">
        <v>1251</v>
      </c>
      <c r="N206" s="68" t="str">
        <f t="shared" si="7"/>
        <v xml:space="preserve">Dear Team, Please find attached list of prospect clients for REPEAT GL-LOANS (clients who have taken earlier an GL Loan) for you branch.
Thanks &amp; Regards,
MIS Team
</v>
      </c>
      <c r="O206" s="66" t="s">
        <v>1028</v>
      </c>
      <c r="X206" s="68" t="s">
        <v>3573</v>
      </c>
      <c r="Y206" s="120" t="s">
        <v>4924</v>
      </c>
      <c r="Z206" s="119" t="s">
        <v>3572</v>
      </c>
    </row>
    <row r="207" spans="1:26" ht="15.75" x14ac:dyDescent="0.25">
      <c r="A207" s="61" t="s">
        <v>864</v>
      </c>
      <c r="B207" s="147" t="s">
        <v>1005</v>
      </c>
      <c r="C207" s="62" t="s">
        <v>3361</v>
      </c>
      <c r="D207" s="62" t="str">
        <f t="shared" si="8"/>
        <v>vinod.verma@ujjivan.com;hari.kaushik@ujjivan.com;rohit.parashar@ujjivan.com;</v>
      </c>
      <c r="E207" s="62" t="s">
        <v>980</v>
      </c>
      <c r="F207" s="62" t="s">
        <v>4270</v>
      </c>
      <c r="G207" s="62" t="s">
        <v>955</v>
      </c>
      <c r="H207" s="62"/>
      <c r="I207" s="62"/>
      <c r="J207" s="67" t="s">
        <v>4401</v>
      </c>
      <c r="K207" s="62" t="str">
        <f>VLOOKUP(B207,Sheet5!$A$1:$H$471,8,0)</f>
        <v>anand.gopal@ujjivan.com;hari.kaushik@ujjivan.com;rajesh.kr@ujjivan.com;rohit.parashar@ujjivan.com;;;</v>
      </c>
      <c r="L207" s="62" t="str">
        <f>VLOOKUP($B207,Sheet4!$B:$E,4,0)</f>
        <v xml:space="preserve">up-mathura-branch@ujjivan.com;helpdeskdelhi@ujjivan.com; </v>
      </c>
      <c r="M207" s="62" t="s">
        <v>1252</v>
      </c>
      <c r="N207" s="68" t="str">
        <f t="shared" si="7"/>
        <v xml:space="preserve">Dear Team, Please find attached list of prospect clients for REPEAT GL-LOANS (clients who have taken earlier an GL Loan) for you branch.
Thanks &amp; Regards,
MIS Team
</v>
      </c>
      <c r="O207" s="63" t="s">
        <v>1028</v>
      </c>
      <c r="X207" s="68" t="s">
        <v>3573</v>
      </c>
      <c r="Y207" s="120" t="s">
        <v>4924</v>
      </c>
      <c r="Z207" s="119" t="s">
        <v>3572</v>
      </c>
    </row>
    <row r="208" spans="1:26" ht="15.75" x14ac:dyDescent="0.25">
      <c r="A208" s="64" t="s">
        <v>864</v>
      </c>
      <c r="B208" s="148" t="s">
        <v>1006</v>
      </c>
      <c r="C208" s="62" t="s">
        <v>3362</v>
      </c>
      <c r="D208" s="62" t="e">
        <f t="shared" si="8"/>
        <v>#N/A</v>
      </c>
      <c r="E208" s="62" t="s">
        <v>2838</v>
      </c>
      <c r="F208" s="62" t="e">
        <v>#N/A</v>
      </c>
      <c r="G208" s="62" t="e">
        <v>#N/A</v>
      </c>
      <c r="H208" s="65"/>
      <c r="I208" s="65"/>
      <c r="J208" s="67" t="s">
        <v>4401</v>
      </c>
      <c r="K208" s="62" t="str">
        <f>VLOOKUP(B208,Sheet5!$A$1:$H$471,8,0)</f>
        <v>gaurav.mishra@ujjivan.com;;chandan.sriwastava@ujjivan.com;;;;</v>
      </c>
      <c r="L208" s="62" t="str">
        <f>VLOOKUP($B208,Sheet4!$B:$E,4,0)</f>
        <v xml:space="preserve">up-hathras-branch@ujjivan.com;helpdeskdelhi@ujjivan.com; </v>
      </c>
      <c r="M208" s="65" t="s">
        <v>1253</v>
      </c>
      <c r="N208" s="68" t="str">
        <f t="shared" si="7"/>
        <v xml:space="preserve">Dear Team, Please find attached list of prospect clients for REPEAT GL-LOANS (clients who have taken earlier an GL Loan) for you branch.
Thanks &amp; Regards,
MIS Team
</v>
      </c>
      <c r="O208" s="66" t="s">
        <v>1028</v>
      </c>
      <c r="X208" s="68" t="s">
        <v>3573</v>
      </c>
      <c r="Y208" s="120" t="s">
        <v>4924</v>
      </c>
      <c r="Z208" s="119" t="s">
        <v>3572</v>
      </c>
    </row>
    <row r="209" spans="1:26" ht="15.75" x14ac:dyDescent="0.25">
      <c r="A209" s="61" t="s">
        <v>864</v>
      </c>
      <c r="B209" s="147" t="s">
        <v>884</v>
      </c>
      <c r="C209" s="62" t="s">
        <v>3363</v>
      </c>
      <c r="D209" s="62" t="str">
        <f t="shared" si="8"/>
        <v>kumar.sandeep@ujjivan.com;anand.choudhary@ujjivan.com;amit.vij@ujjivan.com;</v>
      </c>
      <c r="E209" s="62" t="s">
        <v>3673</v>
      </c>
      <c r="F209" s="62" t="s">
        <v>4271</v>
      </c>
      <c r="G209" s="62" t="s">
        <v>880</v>
      </c>
      <c r="H209" s="62"/>
      <c r="I209" s="62"/>
      <c r="J209" s="67" t="s">
        <v>4401</v>
      </c>
      <c r="K209" s="62" t="str">
        <f>VLOOKUP(B209,Sheet5!$A$1:$H$471,8,0)</f>
        <v>karan.singh@ujjivan.com;neerajkumar.sharma@ujjivan.com;sourabh.narang@ujjivan.com;amit.vij@ujjivan.com;;;</v>
      </c>
      <c r="L209" s="62" t="str">
        <f>VLOOKUP($B209,Sheet4!$B:$E,4,0)</f>
        <v xml:space="preserve">har-samalkha-branch@ujjivan.com;helpdeskdelhi@ujjivan.com; </v>
      </c>
      <c r="M209" s="62" t="s">
        <v>1164</v>
      </c>
      <c r="N209" s="68" t="str">
        <f t="shared" si="7"/>
        <v xml:space="preserve">Dear Team, Please find attached list of prospect clients for REPEAT GL-LOANS (clients who have taken earlier an GL Loan) for you branch.
Thanks &amp; Regards,
MIS Team
</v>
      </c>
      <c r="O209" s="63" t="s">
        <v>1028</v>
      </c>
      <c r="X209" s="68" t="s">
        <v>3573</v>
      </c>
      <c r="Y209" s="120" t="s">
        <v>4924</v>
      </c>
      <c r="Z209" s="119" t="s">
        <v>3572</v>
      </c>
    </row>
    <row r="210" spans="1:26" ht="15.75" x14ac:dyDescent="0.25">
      <c r="A210" s="64" t="s">
        <v>864</v>
      </c>
      <c r="B210" s="148" t="s">
        <v>1007</v>
      </c>
      <c r="C210" s="62" t="s">
        <v>4558</v>
      </c>
      <c r="D210" s="62" t="e">
        <f t="shared" si="8"/>
        <v>#N/A</v>
      </c>
      <c r="E210" s="62">
        <v>0</v>
      </c>
      <c r="F210" s="62" t="e">
        <v>#N/A</v>
      </c>
      <c r="G210" s="62" t="e">
        <v>#N/A</v>
      </c>
      <c r="H210" s="65" t="s">
        <v>978</v>
      </c>
      <c r="I210" s="65" t="s">
        <v>870</v>
      </c>
      <c r="J210" s="67" t="s">
        <v>4401</v>
      </c>
      <c r="K210" s="62" t="str">
        <f>VLOOKUP(B210,Sheet5!$A$1:$H$471,8,0)</f>
        <v>;;;;;;</v>
      </c>
      <c r="L210" s="62" t="str">
        <f>VLOOKUP($B210,Sheet4!$B:$E,4,0)</f>
        <v xml:space="preserve">up-saharanpur2-branch@ujjivan.com;helpdeskdelhi@ujjivan.com; </v>
      </c>
      <c r="M210" s="65" t="s">
        <v>1254</v>
      </c>
      <c r="N210" s="68"/>
      <c r="O210" s="66" t="s">
        <v>1028</v>
      </c>
      <c r="X210" s="68" t="s">
        <v>3573</v>
      </c>
      <c r="Y210" s="120" t="s">
        <v>4924</v>
      </c>
      <c r="Z210" s="119" t="s">
        <v>3572</v>
      </c>
    </row>
    <row r="211" spans="1:26" ht="15.75" x14ac:dyDescent="0.25">
      <c r="A211" s="61" t="s">
        <v>864</v>
      </c>
      <c r="B211" s="147" t="s">
        <v>897</v>
      </c>
      <c r="C211" s="62" t="s">
        <v>3364</v>
      </c>
      <c r="D211" s="62" t="str">
        <f t="shared" si="8"/>
        <v>aashutosh.chourasia@ujjivan.com;vinay.choudhry052@ujjivan.com;0;</v>
      </c>
      <c r="E211" s="62" t="s">
        <v>2841</v>
      </c>
      <c r="F211" s="62" t="s">
        <v>4520</v>
      </c>
      <c r="G211" s="62">
        <v>0</v>
      </c>
      <c r="H211" s="62"/>
      <c r="I211" s="62"/>
      <c r="J211" s="67" t="s">
        <v>4401</v>
      </c>
      <c r="K211" s="62" t="str">
        <f>VLOOKUP(B211,Sheet5!$A$1:$H$471,8,0)</f>
        <v>mrityunjay.gorana@ujjivan.com;;lavesh.sharma@ujjivan.com;0;;;</v>
      </c>
      <c r="L211" s="62" t="str">
        <f>VLOOKUP($B211,Sheet4!$B:$E,4,0)</f>
        <v xml:space="preserve">mp-dhar-branch@ujjivan.com;helpdeskdelhi@ujjivan.com; </v>
      </c>
      <c r="M211" s="62" t="s">
        <v>1174</v>
      </c>
      <c r="N211" s="68" t="str">
        <f t="shared" si="7"/>
        <v xml:space="preserve">Dear Team, Please find attached list of prospect clients for REPEAT GL-LOANS (clients who have taken earlier an GL Loan) for you branch.
Thanks &amp; Regards,
MIS Team
</v>
      </c>
      <c r="O211" s="63" t="s">
        <v>1028</v>
      </c>
      <c r="X211" s="68" t="s">
        <v>3573</v>
      </c>
      <c r="Y211" s="120" t="s">
        <v>4924</v>
      </c>
      <c r="Z211" s="119" t="s">
        <v>3572</v>
      </c>
    </row>
    <row r="212" spans="1:26" ht="15.75" x14ac:dyDescent="0.25">
      <c r="A212" s="64" t="s">
        <v>864</v>
      </c>
      <c r="B212" s="148" t="s">
        <v>898</v>
      </c>
      <c r="C212" s="62" t="s">
        <v>4558</v>
      </c>
      <c r="D212" s="62" t="e">
        <f t="shared" si="8"/>
        <v>#N/A</v>
      </c>
      <c r="E212" s="62">
        <v>0</v>
      </c>
      <c r="F212" s="62" t="e">
        <v>#N/A</v>
      </c>
      <c r="G212" s="62" t="e">
        <v>#N/A</v>
      </c>
      <c r="H212" s="65"/>
      <c r="I212" s="65"/>
      <c r="J212" s="67" t="s">
        <v>4401</v>
      </c>
      <c r="K212" s="62" t="str">
        <f>VLOOKUP(B212,Sheet5!$A$1:$H$471,8,0)</f>
        <v>;;;;;;</v>
      </c>
      <c r="L212" s="62" t="str">
        <f>VLOOKUP($B212,Sheet4!$B:$E,4,0)</f>
        <v xml:space="preserve">mp-burhanpur-branch@ujjivan.com;helpdeskdelhi@ujjivan.com; </v>
      </c>
      <c r="M212" s="65" t="s">
        <v>1175</v>
      </c>
      <c r="N212" s="68"/>
      <c r="O212" s="66" t="s">
        <v>1028</v>
      </c>
      <c r="X212" s="68" t="s">
        <v>3573</v>
      </c>
      <c r="Y212" s="120" t="s">
        <v>4924</v>
      </c>
      <c r="Z212" s="119" t="s">
        <v>3572</v>
      </c>
    </row>
    <row r="213" spans="1:26" ht="15.75" x14ac:dyDescent="0.25">
      <c r="A213" s="61" t="s">
        <v>864</v>
      </c>
      <c r="B213" s="147" t="s">
        <v>899</v>
      </c>
      <c r="C213" s="62" t="s">
        <v>3365</v>
      </c>
      <c r="D213" s="62" t="str">
        <f t="shared" si="8"/>
        <v>priyanshu.jaiswal@ujjivan.com;sunil.choudhary@ujjivan.com;vijay.choudhary@ujjivan.com;</v>
      </c>
      <c r="E213" s="62" t="s">
        <v>3674</v>
      </c>
      <c r="F213" s="62" t="s">
        <v>4515</v>
      </c>
      <c r="G213" s="62" t="s">
        <v>888</v>
      </c>
      <c r="H213" s="62"/>
      <c r="I213" s="62"/>
      <c r="J213" s="67" t="s">
        <v>4401</v>
      </c>
      <c r="K213" s="62" t="str">
        <f>VLOOKUP(B213,Sheet5!$A$1:$H$471,8,0)</f>
        <v>priyanshu.jaiswal@ujjivan.com;sunil.choudhary@ujjivan.com;lavesh.sharma@ujjivan.com;vijay.choudhary@ujjivan.com;;;</v>
      </c>
      <c r="L213" s="62" t="str">
        <f>VLOOKUP($B213,Sheet4!$B:$E,4,0)</f>
        <v xml:space="preserve">mp-badnagar-branch@ujjivan.com;helpdeskdelhi@ujjivan.com; </v>
      </c>
      <c r="M213" s="62" t="s">
        <v>1176</v>
      </c>
      <c r="N213" s="68" t="str">
        <f t="shared" si="7"/>
        <v xml:space="preserve">Dear Team, Please find attached list of prospect clients for REPEAT GL-LOANS (clients who have taken earlier an GL Loan) for you branch.
Thanks &amp; Regards,
MIS Team
</v>
      </c>
      <c r="O213" s="63" t="s">
        <v>1028</v>
      </c>
      <c r="X213" s="68" t="s">
        <v>3573</v>
      </c>
      <c r="Y213" s="120" t="s">
        <v>4924</v>
      </c>
      <c r="Z213" s="119" t="s">
        <v>3572</v>
      </c>
    </row>
    <row r="214" spans="1:26" ht="15.75" x14ac:dyDescent="0.25">
      <c r="A214" s="64" t="s">
        <v>864</v>
      </c>
      <c r="B214" s="148" t="s">
        <v>942</v>
      </c>
      <c r="C214" s="62" t="s">
        <v>4558</v>
      </c>
      <c r="D214" s="62" t="e">
        <f t="shared" si="8"/>
        <v>#N/A</v>
      </c>
      <c r="E214" s="62">
        <v>0</v>
      </c>
      <c r="F214" s="62" t="e">
        <v>#N/A</v>
      </c>
      <c r="G214" s="62" t="e">
        <v>#N/A</v>
      </c>
      <c r="H214" s="65"/>
      <c r="I214" s="65"/>
      <c r="J214" s="67" t="s">
        <v>4401</v>
      </c>
      <c r="K214" s="62" t="str">
        <f>VLOOKUP(B214,Sheet5!$A$1:$H$471,8,0)</f>
        <v>;;;;;;</v>
      </c>
      <c r="L214" s="62" t="str">
        <f>VLOOKUP($B214,Sheet4!$B:$E,4,0)</f>
        <v xml:space="preserve">har-charkhidadri-branch@ujjivan.com;helpdeskdelhi@ujjivan.com; </v>
      </c>
      <c r="M214" s="65" t="s">
        <v>1208</v>
      </c>
      <c r="N214" s="68"/>
      <c r="O214" s="66" t="s">
        <v>1028</v>
      </c>
      <c r="X214" s="68" t="s">
        <v>3573</v>
      </c>
      <c r="Y214" s="120" t="s">
        <v>4924</v>
      </c>
      <c r="Z214" s="119" t="s">
        <v>3572</v>
      </c>
    </row>
    <row r="215" spans="1:26" ht="15.75" x14ac:dyDescent="0.25">
      <c r="A215" s="61" t="s">
        <v>864</v>
      </c>
      <c r="B215" s="147" t="s">
        <v>1008</v>
      </c>
      <c r="C215" s="62" t="s">
        <v>3366</v>
      </c>
      <c r="D215" s="62" t="e">
        <f t="shared" si="8"/>
        <v>#N/A</v>
      </c>
      <c r="E215" s="62" t="s">
        <v>3675</v>
      </c>
      <c r="F215" s="62" t="e">
        <v>#N/A</v>
      </c>
      <c r="G215" s="62" t="e">
        <v>#N/A</v>
      </c>
      <c r="H215" s="62" t="s">
        <v>978</v>
      </c>
      <c r="I215" s="62" t="s">
        <v>870</v>
      </c>
      <c r="J215" s="67" t="s">
        <v>4401</v>
      </c>
      <c r="K215" s="62" t="str">
        <f>VLOOKUP(B215,Sheet5!$A$1:$H$471,8,0)</f>
        <v>mohd.arslaan@ujjivan.com;prashant.kant@ujjivan.com;sarveshpratap.singh@ujjivan.com;;;;</v>
      </c>
      <c r="L215" s="62" t="str">
        <f>VLOOKUP($B215,Sheet4!$B:$E,4,0)</f>
        <v xml:space="preserve">up-moradabad-branch@ujjivan.com;helpdeskdelhi@ujjivan.com; </v>
      </c>
      <c r="M215" s="62" t="s">
        <v>1255</v>
      </c>
      <c r="N215" s="68" t="str">
        <f t="shared" si="7"/>
        <v xml:space="preserve">Dear Team, Please find attached list of prospect clients for REPEAT GL-LOANS (clients who have taken earlier an GL Loan) for you branch.
Thanks &amp; Regards,
MIS Team
</v>
      </c>
      <c r="O215" s="63" t="s">
        <v>1028</v>
      </c>
      <c r="X215" s="68" t="s">
        <v>3573</v>
      </c>
      <c r="Y215" s="120" t="s">
        <v>4924</v>
      </c>
      <c r="Z215" s="119" t="s">
        <v>3572</v>
      </c>
    </row>
    <row r="216" spans="1:26" ht="15.75" x14ac:dyDescent="0.25">
      <c r="A216" s="64" t="s">
        <v>864</v>
      </c>
      <c r="B216" s="148" t="s">
        <v>943</v>
      </c>
      <c r="C216" s="62" t="s">
        <v>3367</v>
      </c>
      <c r="D216" s="62" t="str">
        <f t="shared" si="8"/>
        <v>ravinder.kumar@ujjivan.com;ccr.mansa@ujjivan.com;rahul.sukhija@ujjivan.com;</v>
      </c>
      <c r="E216" s="62" t="s">
        <v>2853</v>
      </c>
      <c r="F216" s="62" t="s">
        <v>4516</v>
      </c>
      <c r="G216" s="62" t="s">
        <v>905</v>
      </c>
      <c r="H216" s="65"/>
      <c r="I216" s="65"/>
      <c r="J216" s="67" t="s">
        <v>4401</v>
      </c>
      <c r="K216" s="62" t="str">
        <f>VLOOKUP(B216,Sheet5!$A$1:$H$471,8,0)</f>
        <v>ravinder.kumar@ujjivan.com;ccr.mansa@ujjivan.com;shyam.patidar@ujjivan.com;rahul.sukhija@ujjivan.com;;;</v>
      </c>
      <c r="L216" s="62" t="str">
        <f>VLOOKUP($B216,Sheet4!$B:$E,4,0)</f>
        <v xml:space="preserve">har-fatehabad-branch@ujjivan.com;helpdeskdelhi@ujjivan.com; </v>
      </c>
      <c r="M216" s="65" t="s">
        <v>1209</v>
      </c>
      <c r="N216" s="68" t="str">
        <f t="shared" si="7"/>
        <v xml:space="preserve">Dear Team, Please find attached list of prospect clients for REPEAT GL-LOANS (clients who have taken earlier an GL Loan) for you branch.
Thanks &amp; Regards,
MIS Team
</v>
      </c>
      <c r="O216" s="66" t="s">
        <v>1028</v>
      </c>
      <c r="X216" s="68" t="s">
        <v>3573</v>
      </c>
      <c r="Y216" s="120" t="s">
        <v>4924</v>
      </c>
      <c r="Z216" s="119" t="s">
        <v>3572</v>
      </c>
    </row>
    <row r="217" spans="1:26" ht="15.75" x14ac:dyDescent="0.25">
      <c r="A217" s="61" t="s">
        <v>864</v>
      </c>
      <c r="B217" s="147" t="s">
        <v>901</v>
      </c>
      <c r="C217" s="62" t="s">
        <v>3368</v>
      </c>
      <c r="D217" s="62" t="e">
        <f t="shared" si="8"/>
        <v>#N/A</v>
      </c>
      <c r="E217" s="62" t="s">
        <v>3676</v>
      </c>
      <c r="F217" s="62" t="e">
        <v>#N/A</v>
      </c>
      <c r="G217" s="62" t="e">
        <v>#N/A</v>
      </c>
      <c r="H217" s="62"/>
      <c r="I217" s="62"/>
      <c r="J217" s="67" t="s">
        <v>4401</v>
      </c>
      <c r="K217" s="62" t="str">
        <f>VLOOKUP(B217,Sheet5!$A$1:$H$471,8,0)</f>
        <v>;rakesh.ningwal@ujjivan.com;sunilkumar.tiwari@ujjivan.com;;;;</v>
      </c>
      <c r="L217" s="62" t="str">
        <f>VLOOKUP($B217,Sheet4!$B:$E,4,0)</f>
        <v xml:space="preserve">mp-barwani-branch@ujjivan.com;helpdeskdelhi@ujjivan.com; </v>
      </c>
      <c r="M217" s="62" t="s">
        <v>1177</v>
      </c>
      <c r="N217" s="68" t="str">
        <f t="shared" si="7"/>
        <v xml:space="preserve">Dear Team, Please find attached list of prospect clients for REPEAT GL-LOANS (clients who have taken earlier an GL Loan) for you branch.
Thanks &amp; Regards,
MIS Team
</v>
      </c>
      <c r="O217" s="63" t="s">
        <v>1028</v>
      </c>
      <c r="X217" s="68" t="s">
        <v>3573</v>
      </c>
      <c r="Y217" s="120" t="s">
        <v>4924</v>
      </c>
      <c r="Z217" s="119" t="s">
        <v>3572</v>
      </c>
    </row>
    <row r="218" spans="1:26" ht="15.75" x14ac:dyDescent="0.25">
      <c r="A218" s="64" t="s">
        <v>864</v>
      </c>
      <c r="B218" s="148" t="s">
        <v>902</v>
      </c>
      <c r="C218" s="62" t="s">
        <v>3369</v>
      </c>
      <c r="D218" s="62" t="str">
        <f t="shared" si="8"/>
        <v>dinesh.malviya@ujjivan.com;jaysingh.chouhan@ujjivan.com;vijay.choudhary@ujjivan.com;</v>
      </c>
      <c r="E218" s="62" t="s">
        <v>903</v>
      </c>
      <c r="F218" s="62" t="s">
        <v>4517</v>
      </c>
      <c r="G218" s="62" t="s">
        <v>888</v>
      </c>
      <c r="H218" s="65"/>
      <c r="I218" s="65"/>
      <c r="J218" s="67" t="s">
        <v>4401</v>
      </c>
      <c r="K218" s="62" t="str">
        <f>VLOOKUP(B218,Sheet5!$A$1:$H$471,8,0)</f>
        <v>dinesh.malviya@ujjivan.com;vijay.panwar@ujjivan.com;sunilkumar.tiwari@ujjivan.com;vijay.choudhary@ujjivan.com;;;</v>
      </c>
      <c r="L218" s="62" t="str">
        <f>VLOOKUP($B218,Sheet4!$B:$E,4,0)</f>
        <v xml:space="preserve">mp-dhamnod-branch@ujjivan.com;helpdeskdelhi@ujjivan.com; </v>
      </c>
      <c r="M218" s="65" t="s">
        <v>1178</v>
      </c>
      <c r="N218" s="68" t="str">
        <f t="shared" si="7"/>
        <v xml:space="preserve">Dear Team, Please find attached list of prospect clients for REPEAT GL-LOANS (clients who have taken earlier an GL Loan) for you branch.
Thanks &amp; Regards,
MIS Team
</v>
      </c>
      <c r="O218" s="66" t="s">
        <v>1028</v>
      </c>
      <c r="X218" s="68" t="s">
        <v>3573</v>
      </c>
      <c r="Y218" s="120" t="s">
        <v>4924</v>
      </c>
      <c r="Z218" s="119" t="s">
        <v>3572</v>
      </c>
    </row>
    <row r="219" spans="1:26" ht="15.75" x14ac:dyDescent="0.25">
      <c r="A219" s="61" t="s">
        <v>864</v>
      </c>
      <c r="B219" s="147" t="s">
        <v>944</v>
      </c>
      <c r="C219" s="62" t="s">
        <v>3370</v>
      </c>
      <c r="D219" s="62" t="str">
        <f t="shared" si="8"/>
        <v>sandeepkumar.phor@ujjivan.com;monu.kumar@ujjivan.com;amit.vij@ujjivan.com;</v>
      </c>
      <c r="E219" s="62" t="s">
        <v>3677</v>
      </c>
      <c r="F219" s="62" t="s">
        <v>4274</v>
      </c>
      <c r="G219" s="62" t="s">
        <v>880</v>
      </c>
      <c r="H219" s="62"/>
      <c r="I219" s="62"/>
      <c r="J219" s="67" t="s">
        <v>4401</v>
      </c>
      <c r="K219" s="62" t="str">
        <f>VLOOKUP(B219,Sheet5!$A$1:$H$471,8,0)</f>
        <v>sandeepkumar.phor@ujjivan.com;monu.kumar@ujjivan.com;sourabh.narang@ujjivan.com;amit.vij@ujjivan.com;;;</v>
      </c>
      <c r="L219" s="62" t="str">
        <f>VLOOKUP($B219,Sheet4!$B:$E,4,0)</f>
        <v xml:space="preserve">har-safidon-branch@ujjivan.com;helpdeskdelhi@ujjivan.com; </v>
      </c>
      <c r="M219" s="62" t="s">
        <v>1210</v>
      </c>
      <c r="N219" s="68" t="str">
        <f t="shared" si="7"/>
        <v xml:space="preserve">Dear Team, Please find attached list of prospect clients for REPEAT GL-LOANS (clients who have taken earlier an GL Loan) for you branch.
Thanks &amp; Regards,
MIS Team
</v>
      </c>
      <c r="O219" s="63" t="s">
        <v>1028</v>
      </c>
      <c r="X219" s="68" t="s">
        <v>3573</v>
      </c>
      <c r="Y219" s="120" t="s">
        <v>4924</v>
      </c>
      <c r="Z219" s="119" t="s">
        <v>3572</v>
      </c>
    </row>
    <row r="220" spans="1:26" ht="15.75" x14ac:dyDescent="0.25">
      <c r="A220" s="64" t="s">
        <v>864</v>
      </c>
      <c r="B220" s="148" t="s">
        <v>885</v>
      </c>
      <c r="C220" s="62" t="s">
        <v>3371</v>
      </c>
      <c r="D220" s="62" t="e">
        <f t="shared" si="8"/>
        <v>#N/A</v>
      </c>
      <c r="E220" s="62" t="s">
        <v>3678</v>
      </c>
      <c r="F220" s="62" t="e">
        <v>#N/A</v>
      </c>
      <c r="G220" s="62" t="e">
        <v>#N/A</v>
      </c>
      <c r="H220" s="65"/>
      <c r="I220" s="65"/>
      <c r="J220" s="67" t="s">
        <v>4401</v>
      </c>
      <c r="K220" s="62" t="str">
        <f>VLOOKUP(B220,Sheet5!$A$1:$H$471,8,0)</f>
        <v>bijender.tanwar@ujjivan.com;;neelkant.tyagi@ujjivan.com;;;;</v>
      </c>
      <c r="L220" s="62" t="str">
        <f>VLOOKUP($B220,Sheet4!$B:$E,4,0)</f>
        <v xml:space="preserve">har-hodal-branch@ujjivan.com;helpdeskdelhi@ujjivan.com; </v>
      </c>
      <c r="M220" s="65" t="s">
        <v>1165</v>
      </c>
      <c r="N220" s="68" t="str">
        <f t="shared" si="7"/>
        <v xml:space="preserve">Dear Team, Please find attached list of prospect clients for REPEAT GL-LOANS (clients who have taken earlier an GL Loan) for you branch.
Thanks &amp; Regards,
MIS Team
</v>
      </c>
      <c r="O220" s="66" t="s">
        <v>1028</v>
      </c>
      <c r="X220" s="68" t="s">
        <v>3573</v>
      </c>
      <c r="Y220" s="120" t="s">
        <v>4924</v>
      </c>
      <c r="Z220" s="119" t="s">
        <v>3572</v>
      </c>
    </row>
    <row r="221" spans="1:26" ht="15.75" x14ac:dyDescent="0.25">
      <c r="A221" s="61" t="s">
        <v>864</v>
      </c>
      <c r="B221" s="147" t="s">
        <v>945</v>
      </c>
      <c r="C221" s="62" t="s">
        <v>3372</v>
      </c>
      <c r="D221" s="62" t="e">
        <f t="shared" si="8"/>
        <v>#N/A</v>
      </c>
      <c r="E221" s="62" t="s">
        <v>3679</v>
      </c>
      <c r="F221" s="62" t="e">
        <v>#N/A</v>
      </c>
      <c r="G221" s="62" t="e">
        <v>#N/A</v>
      </c>
      <c r="H221" s="62"/>
      <c r="I221" s="62"/>
      <c r="J221" s="67" t="s">
        <v>4401</v>
      </c>
      <c r="K221" s="62" t="str">
        <f>VLOOKUP(B221,Sheet5!$A$1:$H$471,8,0)</f>
        <v>deepankar.jayanth@ujjivan.com;ashish.kumar442@ujjivan.com;ashok.pareek@ujjivan.com;;;;</v>
      </c>
      <c r="L221" s="62" t="str">
        <f>VLOOKUP($B221,Sheet4!$B:$E,4,0)</f>
        <v xml:space="preserve">pnb-kapurthala-branch@ujjivan.com;helpdeskdelhi@ujjivan.com; </v>
      </c>
      <c r="M221" s="62" t="s">
        <v>1211</v>
      </c>
      <c r="N221" s="68" t="str">
        <f t="shared" si="7"/>
        <v xml:space="preserve">Dear Team, Please find attached list of prospect clients for REPEAT GL-LOANS (clients who have taken earlier an GL Loan) for you branch.
Thanks &amp; Regards,
MIS Team
</v>
      </c>
      <c r="O221" s="63" t="s">
        <v>1028</v>
      </c>
      <c r="X221" s="68" t="s">
        <v>3573</v>
      </c>
      <c r="Y221" s="120" t="s">
        <v>4924</v>
      </c>
      <c r="Z221" s="119" t="s">
        <v>3572</v>
      </c>
    </row>
    <row r="222" spans="1:26" ht="15.75" x14ac:dyDescent="0.25">
      <c r="A222" s="64" t="s">
        <v>864</v>
      </c>
      <c r="B222" s="148" t="s">
        <v>1009</v>
      </c>
      <c r="C222" s="62" t="s">
        <v>3373</v>
      </c>
      <c r="D222" s="62" t="str">
        <f t="shared" si="8"/>
        <v>saurabha.shrivastava@ujjivan.com;abhinav.chaudhary@ujjivan.com;rohit.parashar@ujjivan.com;</v>
      </c>
      <c r="E222" s="62" t="s">
        <v>900</v>
      </c>
      <c r="F222" s="62" t="s">
        <v>4518</v>
      </c>
      <c r="G222" s="62" t="s">
        <v>955</v>
      </c>
      <c r="H222" s="65"/>
      <c r="I222" s="65"/>
      <c r="J222" s="67" t="s">
        <v>4401</v>
      </c>
      <c r="K222" s="62" t="str">
        <f>VLOOKUP(B222,Sheet5!$A$1:$H$471,8,0)</f>
        <v>saurabha.shrivastava@ujjivan.com;abhinav.chaudhary@ujjivan.com;rajesh.kr@ujjivan.com;rohit.parashar@ujjivan.com;;;</v>
      </c>
      <c r="L222" s="62" t="str">
        <f>VLOOKUP($B222,Sheet4!$B:$E,4,0)</f>
        <v xml:space="preserve">mp-gwalior-branch@ujjivan.com;helpdeskdelhi@ujjivan.com; </v>
      </c>
      <c r="M222" s="65" t="s">
        <v>1256</v>
      </c>
      <c r="N222" s="68" t="str">
        <f t="shared" si="7"/>
        <v xml:space="preserve">Dear Team, Please find attached list of prospect clients for REPEAT GL-LOANS (clients who have taken earlier an GL Loan) for you branch.
Thanks &amp; Regards,
MIS Team
</v>
      </c>
      <c r="O222" s="66" t="s">
        <v>1028</v>
      </c>
      <c r="X222" s="68" t="s">
        <v>3573</v>
      </c>
      <c r="Y222" s="120" t="s">
        <v>4924</v>
      </c>
      <c r="Z222" s="119" t="s">
        <v>3572</v>
      </c>
    </row>
    <row r="223" spans="1:26" ht="15.75" x14ac:dyDescent="0.25">
      <c r="A223" s="61" t="s">
        <v>864</v>
      </c>
      <c r="B223" s="147" t="s">
        <v>886</v>
      </c>
      <c r="C223" s="62" t="s">
        <v>4558</v>
      </c>
      <c r="D223" s="62" t="e">
        <f t="shared" si="8"/>
        <v>#N/A</v>
      </c>
      <c r="E223" s="62">
        <v>0</v>
      </c>
      <c r="F223" s="62" t="e">
        <v>#N/A</v>
      </c>
      <c r="G223" s="62" t="e">
        <v>#N/A</v>
      </c>
      <c r="H223" s="62"/>
      <c r="I223" s="62"/>
      <c r="J223" s="67" t="s">
        <v>4401</v>
      </c>
      <c r="K223" s="62" t="str">
        <f>VLOOKUP(B223,Sheet5!$A$1:$H$471,8,0)</f>
        <v>;;;;;;</v>
      </c>
      <c r="L223" s="62" t="str">
        <f>VLOOKUP($B223,Sheet4!$B:$E,4,0)</f>
        <v xml:space="preserve">del-badarpur-branch@ujjivan.com;helpdeskdelhi@ujjivan.com; </v>
      </c>
      <c r="M223" s="62" t="s">
        <v>1166</v>
      </c>
      <c r="N223" s="68"/>
      <c r="O223" s="63" t="s">
        <v>1028</v>
      </c>
      <c r="X223" s="68" t="s">
        <v>3573</v>
      </c>
      <c r="Y223" s="120" t="s">
        <v>4924</v>
      </c>
      <c r="Z223" s="119" t="s">
        <v>3572</v>
      </c>
    </row>
    <row r="224" spans="1:26" ht="15.75" x14ac:dyDescent="0.25">
      <c r="A224" s="64" t="s">
        <v>864</v>
      </c>
      <c r="B224" s="148" t="s">
        <v>946</v>
      </c>
      <c r="C224" s="62" t="s">
        <v>3374</v>
      </c>
      <c r="D224" s="62" t="str">
        <f t="shared" si="8"/>
        <v>pradeep.rana@ujjivan.com;satpalsingh.jangra@ujjivan.com;rahul.sukhija@ujjivan.com;</v>
      </c>
      <c r="E224" s="62" t="s">
        <v>2820</v>
      </c>
      <c r="F224" s="62" t="s">
        <v>4277</v>
      </c>
      <c r="G224" s="62" t="s">
        <v>905</v>
      </c>
      <c r="H224" s="65"/>
      <c r="I224" s="65"/>
      <c r="J224" s="67" t="s">
        <v>4401</v>
      </c>
      <c r="K224" s="62" t="str">
        <f>VLOOKUP(B224,Sheet5!$A$1:$H$471,8,0)</f>
        <v>vijendra.sharma@ujjivan.com;satpalsingh.jangra@ujjivan.com;shiv.thanvi@ujjivan.com;rahul.sukhija@ujjivan.com;;;</v>
      </c>
      <c r="L224" s="62" t="str">
        <f>VLOOKUP($B224,Sheet4!$B:$E,4,0)</f>
        <v xml:space="preserve">har-ellenabad-branch@ujjivan.com;helpdeskdelhi@ujjivan.com; </v>
      </c>
      <c r="M224" s="65" t="s">
        <v>1212</v>
      </c>
      <c r="N224" s="68" t="str">
        <f t="shared" si="7"/>
        <v xml:space="preserve">Dear Team, Please find attached list of prospect clients for REPEAT GL-LOANS (clients who have taken earlier an GL Loan) for you branch.
Thanks &amp; Regards,
MIS Team
</v>
      </c>
      <c r="O224" s="66" t="s">
        <v>1028</v>
      </c>
      <c r="X224" s="68" t="s">
        <v>3573</v>
      </c>
      <c r="Y224" s="120" t="s">
        <v>4924</v>
      </c>
      <c r="Z224" s="119" t="s">
        <v>3572</v>
      </c>
    </row>
    <row r="225" spans="1:26" ht="15.75" x14ac:dyDescent="0.25">
      <c r="A225" s="61" t="s">
        <v>864</v>
      </c>
      <c r="B225" s="147" t="s">
        <v>948</v>
      </c>
      <c r="C225" s="62" t="s">
        <v>3375</v>
      </c>
      <c r="D225" s="62" t="str">
        <f t="shared" si="8"/>
        <v>abneesh.pachauri@ujjivan.com;sanjeev.kumar720@ujjivan.com;rahul.sukhija@ujjivan.com;</v>
      </c>
      <c r="E225" s="62" t="s">
        <v>949</v>
      </c>
      <c r="F225" s="62" t="s">
        <v>4278</v>
      </c>
      <c r="G225" s="62" t="s">
        <v>905</v>
      </c>
      <c r="H225" s="62"/>
      <c r="I225" s="62"/>
      <c r="J225" s="67" t="s">
        <v>4401</v>
      </c>
      <c r="K225" s="62" t="str">
        <f>VLOOKUP(B225,Sheet5!$A$1:$H$471,8,0)</f>
        <v>vikas.indora@ujjivan.com;sanjeev.kumar720@ujjivan.com;kumar.suresh@ujjivan.com;rahul.sukhija@ujjivan.com;;;</v>
      </c>
      <c r="L225" s="62" t="str">
        <f>VLOOKUP($B225,Sheet4!$B:$E,4,0)</f>
        <v xml:space="preserve">pnb-muktsar-branch@ujjivan.com;helpdeskdelhi@ujjivan.com; </v>
      </c>
      <c r="M225" s="62" t="s">
        <v>1213</v>
      </c>
      <c r="N225" s="68" t="str">
        <f t="shared" si="7"/>
        <v xml:space="preserve">Dear Team, Please find attached list of prospect clients for REPEAT GL-LOANS (clients who have taken earlier an GL Loan) for you branch.
Thanks &amp; Regards,
MIS Team
</v>
      </c>
      <c r="O225" s="63" t="s">
        <v>1028</v>
      </c>
      <c r="X225" s="68" t="s">
        <v>3573</v>
      </c>
      <c r="Y225" s="120" t="s">
        <v>4924</v>
      </c>
      <c r="Z225" s="119" t="s">
        <v>3572</v>
      </c>
    </row>
    <row r="226" spans="1:26" ht="15.75" x14ac:dyDescent="0.25">
      <c r="A226" s="64" t="s">
        <v>864</v>
      </c>
      <c r="B226" s="148" t="s">
        <v>950</v>
      </c>
      <c r="C226" s="62" t="s">
        <v>3376</v>
      </c>
      <c r="D226" s="62" t="str">
        <f t="shared" si="8"/>
        <v>ankaj.dhiman@ujjivan.com;ramandeep.singh@ujjivan.com;rahul.sukhija@ujjivan.com;</v>
      </c>
      <c r="E226" s="62" t="s">
        <v>3680</v>
      </c>
      <c r="F226" s="62" t="s">
        <v>4279</v>
      </c>
      <c r="G226" s="62" t="s">
        <v>905</v>
      </c>
      <c r="H226" s="65"/>
      <c r="I226" s="65"/>
      <c r="J226" s="67" t="s">
        <v>4401</v>
      </c>
      <c r="K226" s="62" t="str">
        <f>VLOOKUP(B226,Sheet5!$A$1:$H$471,8,0)</f>
        <v>ankaj.dhiman@ujjivan.com;ccr.ludhiananewshivajinagar@ujjivan.com;prakharkumar.pandey@ujjivan.com;rahul.sukhija@ujjivan.com;;;</v>
      </c>
      <c r="L226" s="62" t="str">
        <f>VLOOKUP($B226,Sheet4!$B:$E,4,0)</f>
        <v xml:space="preserve">pnb-muktsar-branch@ujjivan.com;helpdeskdelhi@ujjivan.com; </v>
      </c>
      <c r="M226" s="65" t="s">
        <v>1214</v>
      </c>
      <c r="N226" s="68" t="str">
        <f t="shared" si="7"/>
        <v xml:space="preserve">Dear Team, Please find attached list of prospect clients for REPEAT GL-LOANS (clients who have taken earlier an GL Loan) for you branch.
Thanks &amp; Regards,
MIS Team
</v>
      </c>
      <c r="O226" s="66" t="s">
        <v>1028</v>
      </c>
      <c r="X226" s="68" t="s">
        <v>3573</v>
      </c>
      <c r="Y226" s="120" t="s">
        <v>4924</v>
      </c>
      <c r="Z226" s="119" t="s">
        <v>3572</v>
      </c>
    </row>
    <row r="227" spans="1:26" ht="15.75" x14ac:dyDescent="0.25">
      <c r="A227" s="61" t="s">
        <v>864</v>
      </c>
      <c r="B227" s="147" t="s">
        <v>951</v>
      </c>
      <c r="C227" s="62" t="s">
        <v>4558</v>
      </c>
      <c r="D227" s="62" t="str">
        <f t="shared" si="8"/>
        <v>0;Vikas.tanwar@ujjivan.com;rahul.sukhija@ujjivan.com;</v>
      </c>
      <c r="E227" s="62">
        <v>0</v>
      </c>
      <c r="F227" s="62" t="s">
        <v>4228</v>
      </c>
      <c r="G227" s="62" t="s">
        <v>905</v>
      </c>
      <c r="H227" s="62"/>
      <c r="I227" s="62"/>
      <c r="J227" s="67" t="s">
        <v>4401</v>
      </c>
      <c r="K227" s="62" t="str">
        <f>VLOOKUP(B227,Sheet5!$A$1:$H$471,8,0)</f>
        <v>lalchand.verma@ujjivan.com;Vikas.tanwar@ujjivan.com;shanta.bhardwaj@ujjivan.com;rahul.sukhija@ujjivan.com;;;</v>
      </c>
      <c r="L227" s="62" t="str">
        <f>VLOOKUP($B227,Sheet4!$B:$E,4,0)</f>
        <v xml:space="preserve">har-narnaul-branch@ujjivan.com;helpdeskdelhi@ujjivan.com; </v>
      </c>
      <c r="M227" s="62" t="s">
        <v>1215</v>
      </c>
      <c r="N227" s="68"/>
      <c r="O227" s="63" t="s">
        <v>1028</v>
      </c>
      <c r="X227" s="68" t="s">
        <v>3573</v>
      </c>
      <c r="Y227" s="120" t="s">
        <v>4924</v>
      </c>
      <c r="Z227" s="119" t="s">
        <v>3572</v>
      </c>
    </row>
    <row r="228" spans="1:26" ht="15.75" x14ac:dyDescent="0.25">
      <c r="A228" s="64" t="s">
        <v>864</v>
      </c>
      <c r="B228" s="148" t="s">
        <v>975</v>
      </c>
      <c r="C228" s="62" t="s">
        <v>3377</v>
      </c>
      <c r="D228" s="62" t="str">
        <f t="shared" si="8"/>
        <v>mukesh.kasotiya@ujjivan.com;eshwar.sharma@ujjivan.com;rohit.parashar@ujjivan.com;</v>
      </c>
      <c r="E228" s="62" t="s">
        <v>3681</v>
      </c>
      <c r="F228" s="62" t="s">
        <v>4281</v>
      </c>
      <c r="G228" s="62" t="s">
        <v>955</v>
      </c>
      <c r="H228" s="65" t="s">
        <v>956</v>
      </c>
      <c r="I228" s="65" t="s">
        <v>870</v>
      </c>
      <c r="J228" s="67" t="s">
        <v>4401</v>
      </c>
      <c r="K228" s="62" t="str">
        <f>VLOOKUP(B228,Sheet5!$A$1:$H$471,8,0)</f>
        <v>mukesh.kasotiya@ujjivan.com;jaipal.singh@ujjivan.com;dalla.ram@ujjivan.com;rohit.parashar@ujjivan.com;;;</v>
      </c>
      <c r="L228" s="62" t="str">
        <f>VLOOKUP($B228,Sheet4!$B:$E,4,0)</f>
        <v xml:space="preserve">raj-falna-branch@ujjivan.com;helpdeskdelhi@ujjivan.com; </v>
      </c>
      <c r="M228" s="65" t="s">
        <v>1230</v>
      </c>
      <c r="N228" s="68" t="str">
        <f t="shared" si="7"/>
        <v xml:space="preserve">Dear Team, Please find attached list of prospect clients for REPEAT GL-LOANS (clients who have taken earlier an GL Loan) for you branch.
Thanks &amp; Regards,
MIS Team
</v>
      </c>
      <c r="O228" s="66" t="s">
        <v>1028</v>
      </c>
      <c r="X228" s="68" t="s">
        <v>3573</v>
      </c>
      <c r="Y228" s="120" t="s">
        <v>4924</v>
      </c>
      <c r="Z228" s="119" t="s">
        <v>3572</v>
      </c>
    </row>
    <row r="229" spans="1:26" ht="15.75" x14ac:dyDescent="0.25">
      <c r="A229" s="61" t="s">
        <v>864</v>
      </c>
      <c r="B229" s="147" t="s">
        <v>921</v>
      </c>
      <c r="C229" s="62" t="s">
        <v>3378</v>
      </c>
      <c r="D229" s="62" t="str">
        <f t="shared" si="8"/>
        <v>santlal.verma@ujjivan.com;kumar.jatinder@ujjivan.com;rahul.sukhija@ujjivan.com;</v>
      </c>
      <c r="E229" s="62" t="s">
        <v>3682</v>
      </c>
      <c r="F229" s="62" t="s">
        <v>4519</v>
      </c>
      <c r="G229" s="62" t="s">
        <v>905</v>
      </c>
      <c r="H229" s="62" t="s">
        <v>880</v>
      </c>
      <c r="I229" s="62" t="s">
        <v>870</v>
      </c>
      <c r="J229" s="67" t="s">
        <v>4401</v>
      </c>
      <c r="K229" s="62" t="str">
        <f>VLOOKUP(B229,Sheet5!$A$1:$H$471,8,0)</f>
        <v>gurvinder.singh644@ujjivan.com;kumar.jatinder@ujjivan.com;kumar.suresh@ujjivan.com;rahul.sukhija@ujjivan.com;;;</v>
      </c>
      <c r="L229" s="62" t="str">
        <f>VLOOKUP($B229,Sheet4!$B:$E,4,0)</f>
        <v xml:space="preserve">pnb-goniana-branch@ujjivan.com;helpdeskdelhi@ujjivan.com; </v>
      </c>
      <c r="M229" s="62" t="s">
        <v>1190</v>
      </c>
      <c r="N229" s="68" t="str">
        <f t="shared" si="7"/>
        <v xml:space="preserve">Dear Team, Please find attached list of prospect clients for REPEAT GL-LOANS (clients who have taken earlier an GL Loan) for you branch.
Thanks &amp; Regards,
MIS Team
</v>
      </c>
      <c r="O229" s="63" t="s">
        <v>1028</v>
      </c>
      <c r="X229" s="68" t="s">
        <v>3573</v>
      </c>
      <c r="Y229" s="120" t="s">
        <v>4924</v>
      </c>
      <c r="Z229" s="119" t="s">
        <v>3572</v>
      </c>
    </row>
    <row r="230" spans="1:26" ht="15.75" x14ac:dyDescent="0.25">
      <c r="A230" s="64" t="s">
        <v>599</v>
      </c>
      <c r="B230" s="148" t="s">
        <v>600</v>
      </c>
      <c r="C230" s="62" t="s">
        <v>4558</v>
      </c>
      <c r="D230" s="62" t="e">
        <f t="shared" si="8"/>
        <v>#N/A</v>
      </c>
      <c r="E230" s="62">
        <v>0</v>
      </c>
      <c r="F230" s="62" t="e">
        <v>#N/A</v>
      </c>
      <c r="G230" s="62" t="e">
        <v>#N/A</v>
      </c>
      <c r="H230" s="65" t="s">
        <v>601</v>
      </c>
      <c r="I230" s="65" t="s">
        <v>602</v>
      </c>
      <c r="J230" s="67" t="s">
        <v>4401</v>
      </c>
      <c r="K230" s="62" t="str">
        <f>VLOOKUP(B230,Sheet5!$A$1:$H$471,8,0)</f>
        <v>;;;;;;</v>
      </c>
      <c r="L230" s="62" t="str">
        <f>VLOOKUP($B230,Sheet4!$B:$E,4,0)</f>
        <v xml:space="preserve">cal-garcha-branch@ujjivan.com ;helpdeskkolkata@ujjivan.com; </v>
      </c>
      <c r="M230" s="65" t="s">
        <v>1307</v>
      </c>
      <c r="N230" s="68"/>
      <c r="O230" s="66" t="s">
        <v>1028</v>
      </c>
      <c r="X230" s="68" t="s">
        <v>3573</v>
      </c>
      <c r="Y230" s="120" t="s">
        <v>4924</v>
      </c>
      <c r="Z230" s="119" t="s">
        <v>3572</v>
      </c>
    </row>
    <row r="231" spans="1:26" ht="15.75" x14ac:dyDescent="0.25">
      <c r="A231" s="61" t="s">
        <v>599</v>
      </c>
      <c r="B231" s="147" t="s">
        <v>603</v>
      </c>
      <c r="C231" s="62" t="s">
        <v>3379</v>
      </c>
      <c r="D231" s="62" t="str">
        <f t="shared" si="8"/>
        <v>diptesh.biswas@ujjivan.com;sujit.halder@ujjivan.com;santanu.dey@ujjivan.com;</v>
      </c>
      <c r="E231" s="62" t="s">
        <v>2719</v>
      </c>
      <c r="F231" s="62" t="s">
        <v>4063</v>
      </c>
      <c r="G231" s="62" t="s">
        <v>610</v>
      </c>
      <c r="H231" s="62" t="s">
        <v>601</v>
      </c>
      <c r="I231" s="62" t="s">
        <v>602</v>
      </c>
      <c r="J231" s="67" t="s">
        <v>4401</v>
      </c>
      <c r="K231" s="62" t="str">
        <f>VLOOKUP(B231,Sheet5!$A$1:$H$471,8,0)</f>
        <v>diptesh.biswas@ujjivan.com;sujit.halder@ujjivan.com;amit.choubey@ujjivan.com;santanu.dey@ujjivan.com;;;</v>
      </c>
      <c r="L231" s="62" t="str">
        <f>VLOOKUP($B231,Sheet4!$B:$E,4,0)</f>
        <v xml:space="preserve">cal-tollygunge-branch@ujjivan.com ;helpdeskkolkata@ujjivan.com; </v>
      </c>
      <c r="M231" s="62" t="s">
        <v>1381</v>
      </c>
      <c r="N231" s="68" t="str">
        <f t="shared" si="7"/>
        <v xml:space="preserve">Dear Team, Please find attached list of prospect clients for REPEAT GL-LOANS (clients who have taken earlier an GL Loan) for you branch.
Thanks &amp; Regards,
MIS Team
</v>
      </c>
      <c r="O231" s="63" t="s">
        <v>1028</v>
      </c>
      <c r="X231" s="68" t="s">
        <v>3573</v>
      </c>
      <c r="Y231" s="120" t="s">
        <v>4924</v>
      </c>
      <c r="Z231" s="119" t="s">
        <v>3572</v>
      </c>
    </row>
    <row r="232" spans="1:26" ht="15.75" x14ac:dyDescent="0.25">
      <c r="A232" s="64" t="s">
        <v>599</v>
      </c>
      <c r="B232" s="148" t="s">
        <v>604</v>
      </c>
      <c r="C232" s="62" t="s">
        <v>3380</v>
      </c>
      <c r="D232" s="62" t="str">
        <f t="shared" si="8"/>
        <v>arijit.das@ujjivan.com;kunal.naskar@ujjivan.com;santanu.dey@ujjivan.com;</v>
      </c>
      <c r="E232" s="62" t="s">
        <v>3683</v>
      </c>
      <c r="F232" s="62" t="s">
        <v>4054</v>
      </c>
      <c r="G232" s="62" t="s">
        <v>610</v>
      </c>
      <c r="H232" s="65" t="s">
        <v>601</v>
      </c>
      <c r="I232" s="65" t="s">
        <v>602</v>
      </c>
      <c r="J232" s="67" t="s">
        <v>4401</v>
      </c>
      <c r="K232" s="62" t="str">
        <f>VLOOKUP(B232,Sheet5!$A$1:$H$471,8,0)</f>
        <v>arijit.das@ujjivan.com;kunal.naskar@ujjivan.com;sounak.saha@ujjivan.com;santanu.dey@ujjivan.com;;;</v>
      </c>
      <c r="L232" s="62" t="str">
        <f>VLOOKUP($B232,Sheet4!$B:$E,4,0)</f>
        <v xml:space="preserve">cal-kalighat-branch@ujjivan.com ;helpdeskkolkata@ujjivan.com; </v>
      </c>
      <c r="M232" s="65" t="s">
        <v>1326</v>
      </c>
      <c r="N232" s="68" t="str">
        <f t="shared" si="7"/>
        <v xml:space="preserve">Dear Team, Please find attached list of prospect clients for REPEAT GL-LOANS (clients who have taken earlier an GL Loan) for you branch.
Thanks &amp; Regards,
MIS Team
</v>
      </c>
      <c r="O232" s="66" t="s">
        <v>1028</v>
      </c>
      <c r="X232" s="68" t="s">
        <v>3573</v>
      </c>
      <c r="Y232" s="120" t="s">
        <v>4924</v>
      </c>
      <c r="Z232" s="119" t="s">
        <v>3572</v>
      </c>
    </row>
    <row r="233" spans="1:26" ht="15.75" x14ac:dyDescent="0.25">
      <c r="A233" s="61" t="s">
        <v>599</v>
      </c>
      <c r="B233" s="147" t="s">
        <v>605</v>
      </c>
      <c r="C233" s="62" t="s">
        <v>3381</v>
      </c>
      <c r="D233" s="62" t="str">
        <f t="shared" si="8"/>
        <v>arnab.sinha@ujjivan.com;samir.roy@ujjivan.com;santanu.dey@ujjivan.com;</v>
      </c>
      <c r="E233" s="62" t="s">
        <v>2858</v>
      </c>
      <c r="F233" s="62" t="s">
        <v>4045</v>
      </c>
      <c r="G233" s="62" t="s">
        <v>610</v>
      </c>
      <c r="H233" s="62" t="s">
        <v>601</v>
      </c>
      <c r="I233" s="62" t="s">
        <v>602</v>
      </c>
      <c r="J233" s="67" t="s">
        <v>4401</v>
      </c>
      <c r="K233" s="62" t="str">
        <f>VLOOKUP(B233,Sheet5!$A$1:$H$471,8,0)</f>
        <v>arnab.sinha@ujjivan.com;samir.roy@ujjivan.com;sounak.saha@ujjivan.com;santanu.dey@ujjivan.com;;;</v>
      </c>
      <c r="L233" s="62" t="str">
        <f>VLOOKUP($B233,Sheet4!$B:$E,4,0)</f>
        <v xml:space="preserve">cal-bidhannagar-branch@ujjivan.com ;helpdeskkolkata@ujjivan.com; </v>
      </c>
      <c r="M233" s="62" t="s">
        <v>1282</v>
      </c>
      <c r="N233" s="68" t="str">
        <f t="shared" si="7"/>
        <v xml:space="preserve">Dear Team, Please find attached list of prospect clients for REPEAT GL-LOANS (clients who have taken earlier an GL Loan) for you branch.
Thanks &amp; Regards,
MIS Team
</v>
      </c>
      <c r="O233" s="63" t="s">
        <v>1028</v>
      </c>
      <c r="X233" s="68" t="s">
        <v>3573</v>
      </c>
      <c r="Y233" s="120" t="s">
        <v>4924</v>
      </c>
      <c r="Z233" s="119" t="s">
        <v>3572</v>
      </c>
    </row>
    <row r="234" spans="1:26" ht="15.75" x14ac:dyDescent="0.25">
      <c r="A234" s="64" t="s">
        <v>599</v>
      </c>
      <c r="B234" s="148" t="s">
        <v>607</v>
      </c>
      <c r="C234" s="62" t="s">
        <v>3382</v>
      </c>
      <c r="D234" s="62" t="str">
        <f t="shared" si="8"/>
        <v>prabir.chowdhury@ujjivan.com;ashim.biswas@ujjivan.com;santanu.dey@ujjivan.com;</v>
      </c>
      <c r="E234" s="62" t="s">
        <v>634</v>
      </c>
      <c r="F234" s="62" t="s">
        <v>4053</v>
      </c>
      <c r="G234" s="62" t="s">
        <v>610</v>
      </c>
      <c r="H234" s="65" t="s">
        <v>601</v>
      </c>
      <c r="I234" s="65" t="s">
        <v>602</v>
      </c>
      <c r="J234" s="67" t="s">
        <v>4401</v>
      </c>
      <c r="K234" s="62" t="str">
        <f>VLOOKUP(B234,Sheet5!$A$1:$H$471,8,0)</f>
        <v>prabir.chowdhury@ujjivan.com;ashim.biswas@ujjivan.com;sounak.saha@ujjivan.com;santanu.dey@ujjivan.com;;;</v>
      </c>
      <c r="L234" s="62" t="str">
        <f>VLOOKUP($B234,Sheet4!$B:$E,4,0)</f>
        <v xml:space="preserve">cal-garia-branch@ujjivan.com ;helpdeskkolkata@ujjivan.com; </v>
      </c>
      <c r="M234" s="65" t="s">
        <v>1308</v>
      </c>
      <c r="N234" s="68" t="str">
        <f t="shared" si="7"/>
        <v xml:space="preserve">Dear Team, Please find attached list of prospect clients for REPEAT GL-LOANS (clients who have taken earlier an GL Loan) for you branch.
Thanks &amp; Regards,
MIS Team
</v>
      </c>
      <c r="O234" s="66" t="s">
        <v>1028</v>
      </c>
      <c r="X234" s="68" t="s">
        <v>3573</v>
      </c>
      <c r="Y234" s="120" t="s">
        <v>4924</v>
      </c>
      <c r="Z234" s="119" t="s">
        <v>3572</v>
      </c>
    </row>
    <row r="235" spans="1:26" ht="15.75" x14ac:dyDescent="0.25">
      <c r="A235" s="61" t="s">
        <v>599</v>
      </c>
      <c r="B235" s="147" t="s">
        <v>609</v>
      </c>
      <c r="C235" s="62" t="s">
        <v>3383</v>
      </c>
      <c r="D235" s="62" t="str">
        <f t="shared" si="8"/>
        <v>susanta.sur@ujjivan.com;milan.biswas@ujjivan.com;santanu.dey@ujjivan.com;</v>
      </c>
      <c r="E235" s="62" t="s">
        <v>626</v>
      </c>
      <c r="F235" s="62" t="s">
        <v>4049</v>
      </c>
      <c r="G235" s="62" t="s">
        <v>610</v>
      </c>
      <c r="H235" s="62" t="s">
        <v>601</v>
      </c>
      <c r="I235" s="62" t="s">
        <v>602</v>
      </c>
      <c r="J235" s="67" t="s">
        <v>4401</v>
      </c>
      <c r="K235" s="62" t="str">
        <f>VLOOKUP(B235,Sheet5!$A$1:$H$471,8,0)</f>
        <v>susanta.sur@ujjivan.com;milan.biswas@ujjivan.com;suvendu.banerjee@ujjivan.com;santanu.dey@ujjivan.com;;;</v>
      </c>
      <c r="L235" s="62" t="str">
        <f>VLOOKUP($B235,Sheet4!$B:$E,4,0)</f>
        <v xml:space="preserve">cal-dakhineswar-branch@ujjivan.com ;helpdeskkolkata@ujjivan.com; </v>
      </c>
      <c r="M235" s="62" t="s">
        <v>1293</v>
      </c>
      <c r="N235" s="68" t="str">
        <f t="shared" si="7"/>
        <v xml:space="preserve">Dear Team, Please find attached list of prospect clients for REPEAT GL-LOANS (clients who have taken earlier an GL Loan) for you branch.
Thanks &amp; Regards,
MIS Team
</v>
      </c>
      <c r="O235" s="63" t="s">
        <v>1028</v>
      </c>
      <c r="X235" s="68" t="s">
        <v>3573</v>
      </c>
      <c r="Y235" s="120" t="s">
        <v>4924</v>
      </c>
      <c r="Z235" s="119" t="s">
        <v>3572</v>
      </c>
    </row>
    <row r="236" spans="1:26" ht="15.75" x14ac:dyDescent="0.25">
      <c r="A236" s="64" t="s">
        <v>599</v>
      </c>
      <c r="B236" s="148" t="s">
        <v>611</v>
      </c>
      <c r="C236" s="62" t="s">
        <v>3384</v>
      </c>
      <c r="D236" s="62" t="str">
        <f t="shared" si="8"/>
        <v>ranju.mondal@ujjivan.com;binoy.debnath@ujjivan.com;santanu.dey@ujjivan.com;</v>
      </c>
      <c r="E236" s="62" t="s">
        <v>3684</v>
      </c>
      <c r="F236" s="62" t="s">
        <v>4056</v>
      </c>
      <c r="G236" s="62" t="s">
        <v>610</v>
      </c>
      <c r="H236" s="65" t="s">
        <v>601</v>
      </c>
      <c r="I236" s="65" t="s">
        <v>602</v>
      </c>
      <c r="J236" s="67" t="s">
        <v>4401</v>
      </c>
      <c r="K236" s="62" t="str">
        <f>VLOOKUP(B236,Sheet5!$A$1:$H$471,8,0)</f>
        <v>ranju.mondal@ujjivan.com;anshita.kashyap@ujjivan.com;sounak.saha@ujjivan.com;santanu.dey@ujjivan.com;;;</v>
      </c>
      <c r="L236" s="62" t="str">
        <f>VLOOKUP($B236,Sheet4!$B:$E,4,0)</f>
        <v xml:space="preserve">cal-kasba-branch@ujjivan.com ;helpdeskkolkata@ujjivan.com; </v>
      </c>
      <c r="M236" s="65" t="s">
        <v>1328</v>
      </c>
      <c r="N236" s="68" t="str">
        <f t="shared" si="7"/>
        <v xml:space="preserve">Dear Team, Please find attached list of prospect clients for REPEAT GL-LOANS (clients who have taken earlier an GL Loan) for you branch.
Thanks &amp; Regards,
MIS Team
</v>
      </c>
      <c r="O236" s="66" t="s">
        <v>1028</v>
      </c>
      <c r="X236" s="68" t="s">
        <v>3573</v>
      </c>
      <c r="Y236" s="120" t="s">
        <v>4924</v>
      </c>
      <c r="Z236" s="119" t="s">
        <v>3572</v>
      </c>
    </row>
    <row r="237" spans="1:26" ht="15.75" x14ac:dyDescent="0.25">
      <c r="A237" s="61" t="s">
        <v>599</v>
      </c>
      <c r="B237" s="147" t="s">
        <v>612</v>
      </c>
      <c r="C237" s="62" t="s">
        <v>3385</v>
      </c>
      <c r="D237" s="62" t="str">
        <f t="shared" si="8"/>
        <v>sanatan.pal@ujjivan.com;avik.ghosh@ujjivan.com;santanu.dey@ujjivan.com;</v>
      </c>
      <c r="E237" s="62" t="s">
        <v>2718</v>
      </c>
      <c r="F237" s="62" t="s">
        <v>4062</v>
      </c>
      <c r="G237" s="62" t="s">
        <v>610</v>
      </c>
      <c r="H237" s="62" t="s">
        <v>601</v>
      </c>
      <c r="I237" s="62" t="s">
        <v>602</v>
      </c>
      <c r="J237" s="67" t="s">
        <v>4401</v>
      </c>
      <c r="K237" s="62" t="str">
        <f>VLOOKUP(B237,Sheet5!$A$1:$H$471,8,0)</f>
        <v>sanatan.pal@ujjivan.com;avik.ghosh@ujjivan.com;amit.choubey@ujjivan.com;santanu.dey@ujjivan.com;;;</v>
      </c>
      <c r="L237" s="62" t="str">
        <f>VLOOKUP($B237,Sheet4!$B:$E,4,0)</f>
        <v xml:space="preserve">cal-thakurpukur-branch@ujjivan.com ;helpdeskkolkata@ujjivan.com; </v>
      </c>
      <c r="M237" s="62" t="s">
        <v>1378</v>
      </c>
      <c r="N237" s="68" t="str">
        <f t="shared" si="7"/>
        <v xml:space="preserve">Dear Team, Please find attached list of prospect clients for REPEAT GL-LOANS (clients who have taken earlier an GL Loan) for you branch.
Thanks &amp; Regards,
MIS Team
</v>
      </c>
      <c r="O237" s="63" t="s">
        <v>1028</v>
      </c>
      <c r="X237" s="68" t="s">
        <v>3573</v>
      </c>
      <c r="Y237" s="120" t="s">
        <v>4924</v>
      </c>
      <c r="Z237" s="119" t="s">
        <v>3572</v>
      </c>
    </row>
    <row r="238" spans="1:26" ht="15.75" x14ac:dyDescent="0.25">
      <c r="A238" s="64" t="s">
        <v>599</v>
      </c>
      <c r="B238" s="148" t="s">
        <v>613</v>
      </c>
      <c r="C238" s="62" t="s">
        <v>3386</v>
      </c>
      <c r="D238" s="62" t="str">
        <f t="shared" si="8"/>
        <v>sudip.das@ujjivan.com;rajib.bairagi@ujjivan.com;santanu.dey@ujjivan.com;</v>
      </c>
      <c r="E238" s="62" t="s">
        <v>614</v>
      </c>
      <c r="F238" s="62" t="s">
        <v>4070</v>
      </c>
      <c r="G238" s="62" t="s">
        <v>610</v>
      </c>
      <c r="H238" s="65" t="s">
        <v>601</v>
      </c>
      <c r="I238" s="65" t="s">
        <v>602</v>
      </c>
      <c r="J238" s="67" t="s">
        <v>4401</v>
      </c>
      <c r="K238" s="62" t="str">
        <f>VLOOKUP(B238,Sheet5!$A$1:$H$471,8,0)</f>
        <v>sudip.das@ujjivan.com;rajib.bairagi@ujjivan.com;sounak.saha@ujjivan.com;santanu.dey@ujjivan.com;;;</v>
      </c>
      <c r="L238" s="62" t="str">
        <f>VLOOKUP($B238,Sheet4!$B:$E,4,0)</f>
        <v xml:space="preserve">cal-dumdum-branch@ujjivan.com;helpdeskkolkata@ujjivan.com; </v>
      </c>
      <c r="M238" s="65" t="s">
        <v>1302</v>
      </c>
      <c r="N238" s="68" t="str">
        <f t="shared" si="7"/>
        <v xml:space="preserve">Dear Team, Please find attached list of prospect clients for REPEAT GL-LOANS (clients who have taken earlier an GL Loan) for you branch.
Thanks &amp; Regards,
MIS Team
</v>
      </c>
      <c r="O238" s="66" t="s">
        <v>1028</v>
      </c>
      <c r="X238" s="68" t="s">
        <v>3573</v>
      </c>
      <c r="Y238" s="120" t="s">
        <v>4924</v>
      </c>
      <c r="Z238" s="119" t="s">
        <v>3572</v>
      </c>
    </row>
    <row r="239" spans="1:26" ht="15.75" x14ac:dyDescent="0.25">
      <c r="A239" s="61" t="s">
        <v>599</v>
      </c>
      <c r="B239" s="147" t="s">
        <v>615</v>
      </c>
      <c r="C239" s="62" t="s">
        <v>3387</v>
      </c>
      <c r="D239" s="62" t="str">
        <f t="shared" si="8"/>
        <v>ujjal.dhar@ujjivan.com;rabin.mandal@ujjivan.com;santanu.dey@ujjivan.com;</v>
      </c>
      <c r="E239" s="62" t="s">
        <v>606</v>
      </c>
      <c r="F239" s="62" t="s">
        <v>4057</v>
      </c>
      <c r="G239" s="62" t="s">
        <v>610</v>
      </c>
      <c r="H239" s="62" t="s">
        <v>601</v>
      </c>
      <c r="I239" s="62" t="s">
        <v>602</v>
      </c>
      <c r="J239" s="67" t="s">
        <v>4401</v>
      </c>
      <c r="K239" s="62" t="str">
        <f>VLOOKUP(B239,Sheet5!$A$1:$H$471,8,0)</f>
        <v>ujjal.dhar@ujjivan.com;rabin.mandal@ujjivan.com;amit.choubey@ujjivan.com;santanu.dey@ujjivan.com;;;</v>
      </c>
      <c r="L239" s="62" t="str">
        <f>VLOOKUP($B239,Sheet4!$B:$E,4,0)</f>
        <v xml:space="preserve">cal-parkcircus-branch@ujjivan.com;helpdeskkolkata@ujjivan.com; </v>
      </c>
      <c r="M239" s="62" t="s">
        <v>1348</v>
      </c>
      <c r="N239" s="68" t="str">
        <f t="shared" si="7"/>
        <v xml:space="preserve">Dear Team, Please find attached list of prospect clients for REPEAT GL-LOANS (clients who have taken earlier an GL Loan) for you branch.
Thanks &amp; Regards,
MIS Team
</v>
      </c>
      <c r="O239" s="63" t="s">
        <v>1028</v>
      </c>
      <c r="X239" s="68" t="s">
        <v>3573</v>
      </c>
      <c r="Y239" s="120" t="s">
        <v>4924</v>
      </c>
      <c r="Z239" s="119" t="s">
        <v>3572</v>
      </c>
    </row>
    <row r="240" spans="1:26" ht="15.75" x14ac:dyDescent="0.25">
      <c r="A240" s="64" t="s">
        <v>599</v>
      </c>
      <c r="B240" s="148" t="s">
        <v>616</v>
      </c>
      <c r="C240" s="62" t="s">
        <v>3388</v>
      </c>
      <c r="D240" s="62" t="str">
        <f t="shared" si="8"/>
        <v>shubham.tiwari@ujjivan.com;bimal.nayak@ujjivan.com;rajdeep.bhaduri@ujjivan.com;</v>
      </c>
      <c r="E240" s="62" t="s">
        <v>3685</v>
      </c>
      <c r="F240" s="62" t="s">
        <v>4068</v>
      </c>
      <c r="G240" s="62" t="s">
        <v>699</v>
      </c>
      <c r="H240" s="65" t="s">
        <v>601</v>
      </c>
      <c r="I240" s="65" t="s">
        <v>602</v>
      </c>
      <c r="J240" s="67" t="s">
        <v>4401</v>
      </c>
      <c r="K240" s="62" t="str">
        <f>VLOOKUP(B240,Sheet5!$A$1:$H$471,8,0)</f>
        <v>dipankar.lodh@ujjivan.com;bimal.nayak@ujjivan.com;nilkamal.manna@ujjivan.com;rajdeep.bhaduri@ujjivan.com;;;</v>
      </c>
      <c r="L240" s="62" t="str">
        <f>VLOOKUP($B240,Sheet4!$B:$E,4,0)</f>
        <v xml:space="preserve">cal-shibpur-branch@ujjivan.com;helpdeskkolkata@ujjivan.com; </v>
      </c>
      <c r="M240" s="65" t="s">
        <v>1368</v>
      </c>
      <c r="N240" s="68" t="str">
        <f t="shared" si="7"/>
        <v xml:space="preserve">Dear Team, Please find attached list of prospect clients for REPEAT GL-LOANS (clients who have taken earlier an GL Loan) for you branch.
Thanks &amp; Regards,
MIS Team
</v>
      </c>
      <c r="O240" s="66" t="s">
        <v>1028</v>
      </c>
      <c r="X240" s="68" t="s">
        <v>3573</v>
      </c>
      <c r="Y240" s="120" t="s">
        <v>4924</v>
      </c>
      <c r="Z240" s="119" t="s">
        <v>3572</v>
      </c>
    </row>
    <row r="241" spans="1:26" ht="15.75" x14ac:dyDescent="0.25">
      <c r="A241" s="61" t="s">
        <v>599</v>
      </c>
      <c r="B241" s="147" t="s">
        <v>617</v>
      </c>
      <c r="C241" s="62" t="s">
        <v>3389</v>
      </c>
      <c r="D241" s="62" t="str">
        <f t="shared" si="8"/>
        <v>bapi.das@ujjivan.com;joydeb.karmakar@ujjivan.com;rajdeep.bhaduri@ujjivan.com;</v>
      </c>
      <c r="E241" s="62" t="s">
        <v>632</v>
      </c>
      <c r="F241" s="62" t="s">
        <v>4066</v>
      </c>
      <c r="G241" s="62" t="s">
        <v>699</v>
      </c>
      <c r="H241" s="62" t="s">
        <v>601</v>
      </c>
      <c r="I241" s="62" t="s">
        <v>602</v>
      </c>
      <c r="J241" s="67" t="s">
        <v>4401</v>
      </c>
      <c r="K241" s="62" t="str">
        <f>VLOOKUP(B241,Sheet5!$A$1:$H$471,8,0)</f>
        <v>bapi.das@ujjivan.com;joydeb.karmakar@ujjivan.com;arup.kashyapi@ujjivan.com;rajdeep.bhaduri@ujjivan.com;;;</v>
      </c>
      <c r="L241" s="62" t="str">
        <f>VLOOKUP($B241,Sheet4!$B:$E,4,0)</f>
        <v xml:space="preserve">cal-barasat-branch@ujjivan.com;helpdeskkolkata@ujjivan.com; </v>
      </c>
      <c r="M241" s="62" t="s">
        <v>1274</v>
      </c>
      <c r="N241" s="68" t="str">
        <f t="shared" si="7"/>
        <v xml:space="preserve">Dear Team, Please find attached list of prospect clients for REPEAT GL-LOANS (clients who have taken earlier an GL Loan) for you branch.
Thanks &amp; Regards,
MIS Team
</v>
      </c>
      <c r="O241" s="63" t="s">
        <v>1028</v>
      </c>
      <c r="X241" s="68" t="s">
        <v>3573</v>
      </c>
      <c r="Y241" s="120" t="s">
        <v>4924</v>
      </c>
      <c r="Z241" s="119" t="s">
        <v>3572</v>
      </c>
    </row>
    <row r="242" spans="1:26" ht="15.75" x14ac:dyDescent="0.25">
      <c r="A242" s="64" t="s">
        <v>599</v>
      </c>
      <c r="B242" s="148" t="s">
        <v>618</v>
      </c>
      <c r="C242" s="62" t="s">
        <v>3390</v>
      </c>
      <c r="D242" s="62" t="str">
        <f t="shared" si="8"/>
        <v>rabindranath.sarkar@ujjivan.com;narayan.biswas@ujjivan.com;rajdeep.bhaduri@ujjivan.com;</v>
      </c>
      <c r="E242" s="62" t="s">
        <v>619</v>
      </c>
      <c r="F242" s="62" t="s">
        <v>4069</v>
      </c>
      <c r="G242" s="62" t="s">
        <v>699</v>
      </c>
      <c r="H242" s="65" t="s">
        <v>601</v>
      </c>
      <c r="I242" s="65" t="s">
        <v>602</v>
      </c>
      <c r="J242" s="67" t="s">
        <v>4401</v>
      </c>
      <c r="K242" s="62" t="str">
        <f>VLOOKUP(B242,Sheet5!$A$1:$H$471,8,0)</f>
        <v>rabindranath.sarkar@ujjivan.com;subrat.sarangi@ujjivan.com;arup.kashyapi@ujjivan.com;rajdeep.bhaduri@ujjivan.com;;;</v>
      </c>
      <c r="L242" s="62" t="str">
        <f>VLOOKUP($B242,Sheet4!$B:$E,4,0)</f>
        <v xml:space="preserve">cal-sodepur-branch@ujjivan.com;helpdeskkolkata@ujjivan.com; </v>
      </c>
      <c r="M242" s="65" t="s">
        <v>1370</v>
      </c>
      <c r="N242" s="68" t="str">
        <f t="shared" si="7"/>
        <v xml:space="preserve">Dear Team, Please find attached list of prospect clients for REPEAT GL-LOANS (clients who have taken earlier an GL Loan) for you branch.
Thanks &amp; Regards,
MIS Team
</v>
      </c>
      <c r="O242" s="66" t="s">
        <v>1028</v>
      </c>
      <c r="X242" s="68" t="s">
        <v>3573</v>
      </c>
      <c r="Y242" s="120" t="s">
        <v>4924</v>
      </c>
      <c r="Z242" s="119" t="s">
        <v>3572</v>
      </c>
    </row>
    <row r="243" spans="1:26" ht="15.75" x14ac:dyDescent="0.25">
      <c r="A243" s="61" t="s">
        <v>599</v>
      </c>
      <c r="B243" s="147" t="s">
        <v>620</v>
      </c>
      <c r="C243" s="62" t="s">
        <v>3391</v>
      </c>
      <c r="D243" s="62" t="str">
        <f t="shared" si="8"/>
        <v>monodip.das@ujjivan.com;das.utpal@ujjivan.com;rajdeep.bhaduri@ujjivan.com;</v>
      </c>
      <c r="E243" s="62" t="s">
        <v>3686</v>
      </c>
      <c r="F243" s="62" t="s">
        <v>4067</v>
      </c>
      <c r="G243" s="62" t="s">
        <v>699</v>
      </c>
      <c r="H243" s="62" t="s">
        <v>601</v>
      </c>
      <c r="I243" s="62" t="s">
        <v>602</v>
      </c>
      <c r="J243" s="67" t="s">
        <v>4401</v>
      </c>
      <c r="K243" s="62" t="str">
        <f>VLOOKUP(B243,Sheet5!$A$1:$H$471,8,0)</f>
        <v>monodip.das@ujjivan.com;das.utpal@ujjivan.com;arup.kashyapi@ujjivan.com;rajdeep.bhaduri@ujjivan.com;;;</v>
      </c>
      <c r="L243" s="62" t="str">
        <f>VLOOKUP($B243,Sheet4!$B:$E,4,0)</f>
        <v xml:space="preserve">cal-habra-branch@ujjivan.com ;helpdeskkolkata@ujjivan.com; </v>
      </c>
      <c r="M243" s="62" t="s">
        <v>1313</v>
      </c>
      <c r="N243" s="68" t="str">
        <f t="shared" si="7"/>
        <v xml:space="preserve">Dear Team, Please find attached list of prospect clients for REPEAT GL-LOANS (clients who have taken earlier an GL Loan) for you branch.
Thanks &amp; Regards,
MIS Team
</v>
      </c>
      <c r="O243" s="63" t="s">
        <v>1028</v>
      </c>
      <c r="X243" s="68" t="s">
        <v>3573</v>
      </c>
      <c r="Y243" s="120" t="s">
        <v>4924</v>
      </c>
      <c r="Z243" s="119" t="s">
        <v>3572</v>
      </c>
    </row>
    <row r="244" spans="1:26" ht="15.75" x14ac:dyDescent="0.25">
      <c r="A244" s="64" t="s">
        <v>599</v>
      </c>
      <c r="B244" s="148" t="s">
        <v>621</v>
      </c>
      <c r="C244" s="62" t="s">
        <v>3392</v>
      </c>
      <c r="D244" s="62" t="str">
        <f t="shared" si="8"/>
        <v>sanjib.nath@ujjivan.com;mukesh.sahu@ujjivan.com;santanu.dey@ujjivan.com;</v>
      </c>
      <c r="E244" s="62" t="s">
        <v>2712</v>
      </c>
      <c r="F244" s="62" t="s">
        <v>4042</v>
      </c>
      <c r="G244" s="62" t="s">
        <v>610</v>
      </c>
      <c r="H244" s="65" t="s">
        <v>601</v>
      </c>
      <c r="I244" s="65" t="s">
        <v>602</v>
      </c>
      <c r="J244" s="67" t="s">
        <v>4401</v>
      </c>
      <c r="K244" s="62" t="str">
        <f>VLOOKUP(B244,Sheet5!$A$1:$H$471,8,0)</f>
        <v>sanjib.nath@ujjivan.com;mukesh.sahu@ujjivan.com;suvendu.banerjee@ujjivan.com;santanu.dey@ujjivan.com;;;</v>
      </c>
      <c r="L244" s="62" t="str">
        <f>VLOOKUP($B244,Sheet4!$B:$E,4,0)</f>
        <v xml:space="preserve">cal-bally-branch@ujjivan.com ;helpdeskkolkata@ujjivan.com; </v>
      </c>
      <c r="M244" s="65" t="s">
        <v>1269</v>
      </c>
      <c r="N244" s="68" t="str">
        <f t="shared" si="7"/>
        <v xml:space="preserve">Dear Team, Please find attached list of prospect clients for REPEAT GL-LOANS (clients who have taken earlier an GL Loan) for you branch.
Thanks &amp; Regards,
MIS Team
</v>
      </c>
      <c r="O244" s="66" t="s">
        <v>1028</v>
      </c>
      <c r="X244" s="68" t="s">
        <v>3573</v>
      </c>
      <c r="Y244" s="120" t="s">
        <v>4924</v>
      </c>
      <c r="Z244" s="119" t="s">
        <v>3572</v>
      </c>
    </row>
    <row r="245" spans="1:26" ht="15.75" x14ac:dyDescent="0.25">
      <c r="A245" s="61" t="s">
        <v>599</v>
      </c>
      <c r="B245" s="147" t="s">
        <v>622</v>
      </c>
      <c r="C245" s="62" t="s">
        <v>3393</v>
      </c>
      <c r="D245" s="62" t="str">
        <f t="shared" si="8"/>
        <v>cal-chakdaha-branch@ujjivan.com;snehasish.biswas@ujjivan.com;rajdeep.bhaduri@ujjivan.com;</v>
      </c>
      <c r="E245" s="62" t="s">
        <v>3687</v>
      </c>
      <c r="F245" s="62" t="s">
        <v>4065</v>
      </c>
      <c r="G245" s="62" t="s">
        <v>699</v>
      </c>
      <c r="H245" s="62" t="s">
        <v>601</v>
      </c>
      <c r="I245" s="62" t="s">
        <v>602</v>
      </c>
      <c r="J245" s="67" t="s">
        <v>4401</v>
      </c>
      <c r="K245" s="62" t="str">
        <f>VLOOKUP(B245,Sheet5!$A$1:$H$471,8,0)</f>
        <v>pabitra.biswas@ujjivan.com;snehasish.biswas@ujjivan.com;arup.kashyapi@ujjivan.com;rajdeep.bhaduri@ujjivan.com;;;</v>
      </c>
      <c r="L245" s="62" t="str">
        <f>VLOOKUP($B245,Sheet4!$B:$E,4,0)</f>
        <v xml:space="preserve">cal-chakdaha-branch@ujjivan.com ;helpdeskkolkata@ujjivan.com; </v>
      </c>
      <c r="M245" s="62" t="s">
        <v>1286</v>
      </c>
      <c r="N245" s="68" t="str">
        <f t="shared" si="7"/>
        <v xml:space="preserve">Dear Team, Please find attached list of prospect clients for REPEAT GL-LOANS (clients who have taken earlier an GL Loan) for you branch.
Thanks &amp; Regards,
MIS Team
</v>
      </c>
      <c r="O245" s="63" t="s">
        <v>1028</v>
      </c>
      <c r="X245" s="68" t="s">
        <v>3573</v>
      </c>
      <c r="Y245" s="120" t="s">
        <v>4924</v>
      </c>
      <c r="Z245" s="119" t="s">
        <v>3572</v>
      </c>
    </row>
    <row r="246" spans="1:26" ht="15.75" x14ac:dyDescent="0.25">
      <c r="A246" s="64" t="s">
        <v>599</v>
      </c>
      <c r="B246" s="148" t="s">
        <v>623</v>
      </c>
      <c r="C246" s="62" t="s">
        <v>3394</v>
      </c>
      <c r="D246" s="62" t="str">
        <f t="shared" si="8"/>
        <v>manojit.sabui@ujjivan.com;subhankar.saha@ujjivan.com;rajdeep.bhaduri@ujjivan.com;</v>
      </c>
      <c r="E246" s="62" t="s">
        <v>2716</v>
      </c>
      <c r="F246" s="62" t="s">
        <v>4048</v>
      </c>
      <c r="G246" s="62" t="s">
        <v>699</v>
      </c>
      <c r="H246" s="65" t="s">
        <v>601</v>
      </c>
      <c r="I246" s="65" t="s">
        <v>602</v>
      </c>
      <c r="J246" s="67" t="s">
        <v>4401</v>
      </c>
      <c r="K246" s="62" t="str">
        <f>VLOOKUP(B246,Sheet5!$A$1:$H$471,8,0)</f>
        <v>ramprasad.mondal@ujjivan.com;anup.das@ujjivan.com;nilkamal.manna@ujjivan.com;rajdeep.bhaduri@ujjivan.com;;;</v>
      </c>
      <c r="L246" s="62" t="str">
        <f>VLOOKUP($B246,Sheet4!$B:$E,4,0)</f>
        <v xml:space="preserve">cal-chandannagar-branch@ujjivan.com ;helpdeskkolkata@ujjivan.com; </v>
      </c>
      <c r="M246" s="65" t="s">
        <v>1287</v>
      </c>
      <c r="N246" s="68" t="str">
        <f t="shared" si="7"/>
        <v xml:space="preserve">Dear Team, Please find attached list of prospect clients for REPEAT GL-LOANS (clients who have taken earlier an GL Loan) for you branch.
Thanks &amp; Regards,
MIS Team
</v>
      </c>
      <c r="O246" s="66" t="s">
        <v>1028</v>
      </c>
      <c r="X246" s="68" t="s">
        <v>3573</v>
      </c>
      <c r="Y246" s="120" t="s">
        <v>4924</v>
      </c>
      <c r="Z246" s="119" t="s">
        <v>3572</v>
      </c>
    </row>
    <row r="247" spans="1:26" ht="15.75" x14ac:dyDescent="0.25">
      <c r="A247" s="61" t="s">
        <v>599</v>
      </c>
      <c r="B247" s="147" t="s">
        <v>624</v>
      </c>
      <c r="C247" s="62" t="s">
        <v>3395</v>
      </c>
      <c r="D247" s="62" t="str">
        <f t="shared" si="8"/>
        <v>swarup.sukul@ujjivan.com;tarun.ghosh@ujjivan.com;rajdeep.bhaduri@ujjivan.com;</v>
      </c>
      <c r="E247" s="62" t="s">
        <v>3688</v>
      </c>
      <c r="F247" s="62" t="s">
        <v>4043</v>
      </c>
      <c r="G247" s="62" t="s">
        <v>699</v>
      </c>
      <c r="H247" s="62" t="s">
        <v>601</v>
      </c>
      <c r="I247" s="62" t="s">
        <v>602</v>
      </c>
      <c r="J247" s="67" t="s">
        <v>4401</v>
      </c>
      <c r="K247" s="62" t="str">
        <f>VLOOKUP(B247,Sheet5!$A$1:$H$471,8,0)</f>
        <v>swarup.sukul@ujjivan.com;tarun.ghosh@ujjivan.com;arup.kashyapi@ujjivan.com;rajdeep.bhaduri@ujjivan.com;;;</v>
      </c>
      <c r="L247" s="62" t="str">
        <f>VLOOKUP($B247,Sheet4!$B:$E,4,0)</f>
        <v xml:space="preserve">cal-bandel-branch@ujjivan.com;helpdeskkolkata@ujjivan.com; </v>
      </c>
      <c r="M247" s="62" t="s">
        <v>1272</v>
      </c>
      <c r="N247" s="68" t="str">
        <f t="shared" si="7"/>
        <v xml:space="preserve">Dear Team, Please find attached list of prospect clients for REPEAT GL-LOANS (clients who have taken earlier an GL Loan) for you branch.
Thanks &amp; Regards,
MIS Team
</v>
      </c>
      <c r="O247" s="63" t="s">
        <v>1028</v>
      </c>
      <c r="X247" s="68" t="s">
        <v>3573</v>
      </c>
      <c r="Y247" s="120" t="s">
        <v>4924</v>
      </c>
      <c r="Z247" s="119" t="s">
        <v>3572</v>
      </c>
    </row>
    <row r="248" spans="1:26" ht="15.75" x14ac:dyDescent="0.25">
      <c r="A248" s="64" t="s">
        <v>599</v>
      </c>
      <c r="B248" s="148" t="s">
        <v>625</v>
      </c>
      <c r="C248" s="62" t="s">
        <v>3396</v>
      </c>
      <c r="D248" s="62" t="str">
        <f t="shared" si="8"/>
        <v>tridib.kr@ujjivan.com;tamijul.islam@ujjivan.com;santanu.dey@ujjivan.com;</v>
      </c>
      <c r="E248" s="62" t="s">
        <v>3689</v>
      </c>
      <c r="F248" s="62" t="s">
        <v>4060</v>
      </c>
      <c r="G248" s="62" t="s">
        <v>610</v>
      </c>
      <c r="H248" s="65" t="s">
        <v>601</v>
      </c>
      <c r="I248" s="65" t="s">
        <v>602</v>
      </c>
      <c r="J248" s="67" t="s">
        <v>4401</v>
      </c>
      <c r="K248" s="62" t="str">
        <f>VLOOKUP(B248,Sheet5!$A$1:$H$471,8,0)</f>
        <v>tridib.kr@ujjivan.com;tamijul.islam@ujjivan.com;suvendu.banerjee@ujjivan.com;santanu.dey@ujjivan.com;;;</v>
      </c>
      <c r="L248" s="62" t="str">
        <f>VLOOKUP($B248,Sheet4!$B:$E,4,0)</f>
        <v xml:space="preserve">cal-sankrail-branch@ujjivan.com;helpdeskkolkata@ujjivan.com; </v>
      </c>
      <c r="M248" s="65" t="s">
        <v>1367</v>
      </c>
      <c r="N248" s="68" t="str">
        <f t="shared" si="7"/>
        <v xml:space="preserve">Dear Team, Please find attached list of prospect clients for REPEAT GL-LOANS (clients who have taken earlier an GL Loan) for you branch.
Thanks &amp; Regards,
MIS Team
</v>
      </c>
      <c r="O248" s="66" t="s">
        <v>1028</v>
      </c>
      <c r="X248" s="68" t="s">
        <v>3573</v>
      </c>
      <c r="Y248" s="120" t="s">
        <v>4924</v>
      </c>
      <c r="Z248" s="119" t="s">
        <v>3572</v>
      </c>
    </row>
    <row r="249" spans="1:26" ht="15.75" x14ac:dyDescent="0.25">
      <c r="A249" s="61" t="s">
        <v>599</v>
      </c>
      <c r="B249" s="147" t="s">
        <v>627</v>
      </c>
      <c r="C249" s="62" t="s">
        <v>3397</v>
      </c>
      <c r="D249" s="62" t="str">
        <f t="shared" si="8"/>
        <v>mangalampalli.srinivas@ujjivan.com;sumitra.sahu@ujjivan.com;ashish.das@ujjivan.com;</v>
      </c>
      <c r="E249" s="62" t="s">
        <v>3690</v>
      </c>
      <c r="F249" s="62" t="s">
        <v>4090</v>
      </c>
      <c r="G249" s="62" t="s">
        <v>643</v>
      </c>
      <c r="H249" s="62" t="s">
        <v>628</v>
      </c>
      <c r="I249" s="62" t="s">
        <v>602</v>
      </c>
      <c r="J249" s="67" t="s">
        <v>4401</v>
      </c>
      <c r="K249" s="62" t="str">
        <f>VLOOKUP(B249,Sheet5!$A$1:$H$471,8,0)</f>
        <v>mangalampalli.srinivas@ujjivan.com;sumitra.sahu@ujjivan.com;bholanath.khawas@ujjivan.com;ashish.das@ujjivan.com;;;</v>
      </c>
      <c r="L249" s="62" t="str">
        <f>VLOOKUP($B249,Sheet4!$B:$E,4,0)</f>
        <v xml:space="preserve">jha-baridih-branch@ujjivan.com;helpdeskkolkata@ujjivan.com; </v>
      </c>
      <c r="M249" s="62" t="s">
        <v>1277</v>
      </c>
      <c r="N249" s="68" t="str">
        <f t="shared" si="7"/>
        <v xml:space="preserve">Dear Team, Please find attached list of prospect clients for REPEAT GL-LOANS (clients who have taken earlier an GL Loan) for you branch.
Thanks &amp; Regards,
MIS Team
</v>
      </c>
      <c r="O249" s="63" t="s">
        <v>1028</v>
      </c>
      <c r="X249" s="68" t="s">
        <v>3573</v>
      </c>
      <c r="Y249" s="120" t="s">
        <v>4924</v>
      </c>
      <c r="Z249" s="119" t="s">
        <v>3572</v>
      </c>
    </row>
    <row r="250" spans="1:26" ht="15.75" x14ac:dyDescent="0.25">
      <c r="A250" s="64" t="s">
        <v>599</v>
      </c>
      <c r="B250" s="148" t="s">
        <v>629</v>
      </c>
      <c r="C250" s="62" t="s">
        <v>4558</v>
      </c>
      <c r="D250" s="62" t="e">
        <f t="shared" si="8"/>
        <v>#N/A</v>
      </c>
      <c r="E250" s="62">
        <v>0</v>
      </c>
      <c r="F250" s="62" t="e">
        <v>#N/A</v>
      </c>
      <c r="G250" s="62" t="e">
        <v>#N/A</v>
      </c>
      <c r="H250" s="65" t="s">
        <v>628</v>
      </c>
      <c r="I250" s="65" t="s">
        <v>602</v>
      </c>
      <c r="J250" s="67" t="s">
        <v>4401</v>
      </c>
      <c r="K250" s="62" t="str">
        <f>VLOOKUP(B250,Sheet5!$A$1:$H$471,8,0)</f>
        <v>;;;;;;</v>
      </c>
      <c r="L250" s="62" t="str">
        <f>VLOOKUP($B250,Sheet4!$B:$E,4,0)</f>
        <v xml:space="preserve">jha-mango-branch@ujjivan.com ;helpdeskkolkata@ujjivan.com; </v>
      </c>
      <c r="M250" s="65" t="s">
        <v>1338</v>
      </c>
      <c r="N250" s="68"/>
      <c r="O250" s="66" t="s">
        <v>1028</v>
      </c>
      <c r="X250" s="68" t="s">
        <v>3573</v>
      </c>
      <c r="Y250" s="120" t="s">
        <v>4924</v>
      </c>
      <c r="Z250" s="119" t="s">
        <v>3572</v>
      </c>
    </row>
    <row r="251" spans="1:26" ht="15.75" x14ac:dyDescent="0.25">
      <c r="A251" s="61" t="s">
        <v>599</v>
      </c>
      <c r="B251" s="147" t="s">
        <v>630</v>
      </c>
      <c r="C251" s="62" t="s">
        <v>3398</v>
      </c>
      <c r="D251" s="62" t="str">
        <f t="shared" si="8"/>
        <v>ashokkumar.gupta@ujjivan.com;mantu.kumar@ujjivan.com;ashish.das@ujjivan.com;</v>
      </c>
      <c r="E251" s="62" t="s">
        <v>661</v>
      </c>
      <c r="F251" s="62" t="s">
        <v>4451</v>
      </c>
      <c r="G251" s="62" t="s">
        <v>643</v>
      </c>
      <c r="H251" s="62" t="s">
        <v>628</v>
      </c>
      <c r="I251" s="62" t="s">
        <v>602</v>
      </c>
      <c r="J251" s="67" t="s">
        <v>4401</v>
      </c>
      <c r="K251" s="62" t="str">
        <f>VLOOKUP(B251,Sheet5!$A$1:$H$471,8,0)</f>
        <v>kumar.manoj@ujjivan.com;rakesh.singh@ujjivan.com;bholanath.khawas@ujjivan.com;ashish.das@ujjivan.com;;;</v>
      </c>
      <c r="L251" s="62" t="str">
        <f>VLOOKUP($B251,Sheet4!$B:$E,4,0)</f>
        <v xml:space="preserve">jha-parsudih-branch@ujjivan.com ;helpdeskkolkata@ujjivan.com; </v>
      </c>
      <c r="M251" s="62" t="s">
        <v>1349</v>
      </c>
      <c r="N251" s="68" t="str">
        <f t="shared" si="7"/>
        <v xml:space="preserve">Dear Team, Please find attached list of prospect clients for REPEAT GL-LOANS (clients who have taken earlier an GL Loan) for you branch.
Thanks &amp; Regards,
MIS Team
</v>
      </c>
      <c r="O251" s="63" t="s">
        <v>1028</v>
      </c>
      <c r="X251" s="68" t="s">
        <v>3573</v>
      </c>
      <c r="Y251" s="120" t="s">
        <v>4924</v>
      </c>
      <c r="Z251" s="119" t="s">
        <v>3572</v>
      </c>
    </row>
    <row r="252" spans="1:26" ht="15.75" x14ac:dyDescent="0.25">
      <c r="A252" s="64" t="s">
        <v>599</v>
      </c>
      <c r="B252" s="148" t="s">
        <v>631</v>
      </c>
      <c r="C252" s="62" t="s">
        <v>3399</v>
      </c>
      <c r="D252" s="62" t="str">
        <f t="shared" si="8"/>
        <v>avijit.pramanik@ujjivan.com;balaram.seth@ujjivan.com;skjakir.hossain@ujjivan.com;</v>
      </c>
      <c r="E252" s="62" t="s">
        <v>3691</v>
      </c>
      <c r="F252" s="62" t="s">
        <v>4051</v>
      </c>
      <c r="G252" s="62" t="s">
        <v>4532</v>
      </c>
      <c r="H252" s="65" t="s">
        <v>601</v>
      </c>
      <c r="I252" s="65" t="s">
        <v>602</v>
      </c>
      <c r="J252" s="67" t="s">
        <v>4401</v>
      </c>
      <c r="K252" s="62" t="str">
        <f>VLOOKUP(B252,Sheet5!$A$1:$H$471,8,0)</f>
        <v>avijit.pramanik@ujjivan.com;balaram.seth@ujjivan.com;suvendu.banerjee@ujjivan.com;skjakir.hossain@ujjivan.com;;;</v>
      </c>
      <c r="L252" s="62" t="str">
        <f>VLOOKUP($B252,Sheet4!$B:$E,4,0)</f>
        <v xml:space="preserve">cal-domjur-branch@ujjivan.com;helpdeskkolkata@ujjivan.com; </v>
      </c>
      <c r="M252" s="65" t="s">
        <v>1301</v>
      </c>
      <c r="N252" s="68" t="str">
        <f t="shared" si="7"/>
        <v xml:space="preserve">Dear Team, Please find attached list of prospect clients for REPEAT GL-LOANS (clients who have taken earlier an GL Loan) for you branch.
Thanks &amp; Regards,
MIS Team
</v>
      </c>
      <c r="O252" s="66" t="s">
        <v>1028</v>
      </c>
      <c r="X252" s="68" t="s">
        <v>3573</v>
      </c>
      <c r="Y252" s="120" t="s">
        <v>4924</v>
      </c>
      <c r="Z252" s="119" t="s">
        <v>3572</v>
      </c>
    </row>
    <row r="253" spans="1:26" ht="15.75" x14ac:dyDescent="0.25">
      <c r="A253" s="61" t="s">
        <v>599</v>
      </c>
      <c r="B253" s="147" t="s">
        <v>633</v>
      </c>
      <c r="C253" s="62" t="s">
        <v>3400</v>
      </c>
      <c r="D253" s="62" t="str">
        <f t="shared" si="8"/>
        <v>manab.gayen@ujjivan.com;susanta.banerjee@ujjivan.com;santanu.dey@ujjivan.com;</v>
      </c>
      <c r="E253" s="62" t="s">
        <v>608</v>
      </c>
      <c r="F253" s="62" t="s">
        <v>4452</v>
      </c>
      <c r="G253" s="62" t="s">
        <v>610</v>
      </c>
      <c r="H253" s="62" t="s">
        <v>601</v>
      </c>
      <c r="I253" s="62" t="s">
        <v>602</v>
      </c>
      <c r="J253" s="67" t="s">
        <v>4401</v>
      </c>
      <c r="K253" s="62" t="str">
        <f>VLOOKUP(B253,Sheet5!$A$1:$H$471,8,0)</f>
        <v>manab.gayen@ujjivan.com;susanta.banerjee@ujjivan.com;sounak.saha@ujjivan.com;santanu.dey@ujjivan.com;;;</v>
      </c>
      <c r="L253" s="62" t="str">
        <f>VLOOKUP($B253,Sheet4!$B:$E,4,0)</f>
        <v xml:space="preserve">cal-subhasgram-branch@ujjivan.com;helpdeskkolkata@ujjivan.com; </v>
      </c>
      <c r="M253" s="62" t="s">
        <v>1372</v>
      </c>
      <c r="N253" s="68" t="str">
        <f t="shared" si="7"/>
        <v xml:space="preserve">Dear Team, Please find attached list of prospect clients for REPEAT GL-LOANS (clients who have taken earlier an GL Loan) for you branch.
Thanks &amp; Regards,
MIS Team
</v>
      </c>
      <c r="O253" s="63" t="s">
        <v>1028</v>
      </c>
      <c r="X253" s="68" t="s">
        <v>3573</v>
      </c>
      <c r="Y253" s="120" t="s">
        <v>4924</v>
      </c>
      <c r="Z253" s="119" t="s">
        <v>3572</v>
      </c>
    </row>
    <row r="254" spans="1:26" ht="15.75" x14ac:dyDescent="0.25">
      <c r="A254" s="64" t="s">
        <v>599</v>
      </c>
      <c r="B254" s="148" t="s">
        <v>635</v>
      </c>
      <c r="C254" s="62" t="s">
        <v>3401</v>
      </c>
      <c r="D254" s="62" t="str">
        <f t="shared" si="8"/>
        <v>santu.kundu@ujjivan.com;joydev.roy@ujjivan.com;santanu.dey@ujjivan.com;</v>
      </c>
      <c r="E254" s="62" t="s">
        <v>3692</v>
      </c>
      <c r="F254" s="62" t="s">
        <v>4453</v>
      </c>
      <c r="G254" s="62" t="s">
        <v>610</v>
      </c>
      <c r="H254" s="65" t="s">
        <v>601</v>
      </c>
      <c r="I254" s="65" t="s">
        <v>602</v>
      </c>
      <c r="J254" s="67" t="s">
        <v>4401</v>
      </c>
      <c r="K254" s="62" t="str">
        <f>VLOOKUP(B254,Sheet5!$A$1:$H$471,8,0)</f>
        <v>santu.kundu@ujjivan.com;joydev.roy@ujjivan.com;amit.choubey@ujjivan.com;santanu.dey@ujjivan.com;;;</v>
      </c>
      <c r="L254" s="62" t="str">
        <f>VLOOKUP($B254,Sheet4!$B:$E,4,0)</f>
        <v xml:space="preserve">cal-halisahar-branch@ujjivan.com;helpdeskkolkata@ujjivan.com; </v>
      </c>
      <c r="M254" s="65" t="s">
        <v>1315</v>
      </c>
      <c r="N254" s="68" t="str">
        <f t="shared" si="7"/>
        <v xml:space="preserve">Dear Team, Please find attached list of prospect clients for REPEAT GL-LOANS (clients who have taken earlier an GL Loan) for you branch.
Thanks &amp; Regards,
MIS Team
</v>
      </c>
      <c r="O254" s="66" t="s">
        <v>1028</v>
      </c>
      <c r="X254" s="68" t="s">
        <v>3573</v>
      </c>
      <c r="Y254" s="120" t="s">
        <v>4924</v>
      </c>
      <c r="Z254" s="119" t="s">
        <v>3572</v>
      </c>
    </row>
    <row r="255" spans="1:26" ht="15.75" x14ac:dyDescent="0.25">
      <c r="A255" s="61" t="s">
        <v>599</v>
      </c>
      <c r="B255" s="147" t="s">
        <v>636</v>
      </c>
      <c r="C255" s="62" t="s">
        <v>3402</v>
      </c>
      <c r="D255" s="62" t="str">
        <f t="shared" si="8"/>
        <v>sanjoy.mondal@ujjivan.com;amarkumar.guha@ujjivan.com;santanu.dey@ujjivan.com;</v>
      </c>
      <c r="E255" s="62" t="s">
        <v>637</v>
      </c>
      <c r="F255" s="62" t="s">
        <v>4044</v>
      </c>
      <c r="G255" s="62" t="s">
        <v>610</v>
      </c>
      <c r="H255" s="62" t="s">
        <v>601</v>
      </c>
      <c r="I255" s="62" t="s">
        <v>602</v>
      </c>
      <c r="J255" s="67" t="s">
        <v>4401</v>
      </c>
      <c r="K255" s="62" t="str">
        <f>VLOOKUP(B255,Sheet5!$A$1:$H$471,8,0)</f>
        <v>sanjoy.mondal@ujjivan.com;amarkumar.guha@ujjivan.com;amit.choubey@ujjivan.com;santanu.dey@ujjivan.com;;;</v>
      </c>
      <c r="L255" s="62" t="str">
        <f>VLOOKUP($B255,Sheet4!$B:$E,4,0)</f>
        <v xml:space="preserve">cal-batanagar-branch@ujjivan.com;helpdeskkolkata@ujjivan.com; </v>
      </c>
      <c r="M255" s="62" t="s">
        <v>1279</v>
      </c>
      <c r="N255" s="68" t="str">
        <f t="shared" si="7"/>
        <v xml:space="preserve">Dear Team, Please find attached list of prospect clients for REPEAT GL-LOANS (clients who have taken earlier an GL Loan) for you branch.
Thanks &amp; Regards,
MIS Team
</v>
      </c>
      <c r="O255" s="63" t="s">
        <v>1028</v>
      </c>
      <c r="X255" s="68" t="s">
        <v>3573</v>
      </c>
      <c r="Y255" s="120" t="s">
        <v>4924</v>
      </c>
      <c r="Z255" s="119" t="s">
        <v>3572</v>
      </c>
    </row>
    <row r="256" spans="1:26" ht="15.75" x14ac:dyDescent="0.25">
      <c r="A256" s="64" t="s">
        <v>599</v>
      </c>
      <c r="B256" s="148" t="s">
        <v>638</v>
      </c>
      <c r="C256" s="62" t="s">
        <v>3403</v>
      </c>
      <c r="D256" s="62" t="str">
        <f t="shared" si="8"/>
        <v>nagina.kumar@ujjivan.com;chandan.mahato@ujjivan.com;amit.kumar@ujjivan.com;</v>
      </c>
      <c r="E256" s="62" t="s">
        <v>639</v>
      </c>
      <c r="F256" s="62" t="s">
        <v>4093</v>
      </c>
      <c r="G256" s="62" t="s">
        <v>2788</v>
      </c>
      <c r="H256" s="65" t="s">
        <v>628</v>
      </c>
      <c r="I256" s="65" t="s">
        <v>602</v>
      </c>
      <c r="J256" s="67" t="s">
        <v>4401</v>
      </c>
      <c r="K256" s="62" t="str">
        <f>VLOOKUP(B256,Sheet5!$A$1:$H$471,8,0)</f>
        <v>nagina.kumar@ujjivan.com;chandan.mahato@ujjivan.com;kishor.kaushal@ujjivan.com;amit.kumar@ujjivan.com;;;</v>
      </c>
      <c r="L256" s="62" t="str">
        <f>VLOOKUP($B256,Sheet4!$B:$E,4,0)</f>
        <v xml:space="preserve">jha-dhanbad-branch@ujjivan.com;helpdeskkolkata@ujjivan.com; </v>
      </c>
      <c r="M256" s="65" t="s">
        <v>1297</v>
      </c>
      <c r="N256" s="68" t="str">
        <f t="shared" si="7"/>
        <v xml:space="preserve">Dear Team, Please find attached list of prospect clients for REPEAT GL-LOANS (clients who have taken earlier an GL Loan) for you branch.
Thanks &amp; Regards,
MIS Team
</v>
      </c>
      <c r="O256" s="66" t="s">
        <v>1028</v>
      </c>
      <c r="X256" s="68" t="s">
        <v>3573</v>
      </c>
      <c r="Y256" s="120" t="s">
        <v>4924</v>
      </c>
      <c r="Z256" s="119" t="s">
        <v>3572</v>
      </c>
    </row>
    <row r="257" spans="1:26" ht="15.75" x14ac:dyDescent="0.25">
      <c r="A257" s="61" t="s">
        <v>599</v>
      </c>
      <c r="B257" s="147" t="s">
        <v>641</v>
      </c>
      <c r="C257" s="62" t="s">
        <v>3404</v>
      </c>
      <c r="D257" s="62" t="str">
        <f t="shared" si="8"/>
        <v>manish.kr@ujjivan.com;r.kumar@ujjivan.com;amit.kumar@ujjivan.com;</v>
      </c>
      <c r="E257" s="62" t="s">
        <v>2729</v>
      </c>
      <c r="F257" s="62" t="s">
        <v>4097</v>
      </c>
      <c r="G257" s="62" t="s">
        <v>2788</v>
      </c>
      <c r="H257" s="62" t="s">
        <v>628</v>
      </c>
      <c r="I257" s="62" t="s">
        <v>602</v>
      </c>
      <c r="J257" s="67" t="s">
        <v>4401</v>
      </c>
      <c r="K257" s="62" t="str">
        <f>VLOOKUP(B257,Sheet5!$A$1:$H$471,8,0)</f>
        <v>manish.kr@ujjivan.com;r.kumar@ujjivan.com;kishor.kaushal@ujjivan.com;amit.kumar@ujjivan.com;;;</v>
      </c>
      <c r="L257" s="62" t="str">
        <f>VLOOKUP($B257,Sheet4!$B:$E,4,0)</f>
        <v xml:space="preserve">jha-katras-branch@ujjivan.com;helpdeskkolkata@ujjivan.com; </v>
      </c>
      <c r="M257" s="62" t="s">
        <v>1329</v>
      </c>
      <c r="N257" s="68" t="str">
        <f t="shared" si="7"/>
        <v xml:space="preserve">Dear Team, Please find attached list of prospect clients for REPEAT GL-LOANS (clients who have taken earlier an GL Loan) for you branch.
Thanks &amp; Regards,
MIS Team
</v>
      </c>
      <c r="O257" s="63" t="s">
        <v>1028</v>
      </c>
      <c r="X257" s="68" t="s">
        <v>3573</v>
      </c>
      <c r="Y257" s="120" t="s">
        <v>4924</v>
      </c>
      <c r="Z257" s="119" t="s">
        <v>3572</v>
      </c>
    </row>
    <row r="258" spans="1:26" ht="15.75" x14ac:dyDescent="0.25">
      <c r="A258" s="64" t="s">
        <v>599</v>
      </c>
      <c r="B258" s="148" t="s">
        <v>642</v>
      </c>
      <c r="C258" s="62" t="s">
        <v>3405</v>
      </c>
      <c r="D258" s="62" t="str">
        <f t="shared" si="8"/>
        <v>kavita.swain@ujjivan.com;-;ashish.das@ujjivan.com;</v>
      </c>
      <c r="E258" s="62" t="s">
        <v>3693</v>
      </c>
      <c r="F258" s="62" t="s">
        <v>3608</v>
      </c>
      <c r="G258" s="62" t="s">
        <v>643</v>
      </c>
      <c r="H258" s="65" t="s">
        <v>628</v>
      </c>
      <c r="I258" s="65" t="s">
        <v>602</v>
      </c>
      <c r="J258" s="67" t="s">
        <v>4401</v>
      </c>
      <c r="K258" s="62" t="str">
        <f>VLOOKUP(B258,Sheet5!$A$1:$H$471,8,0)</f>
        <v>durga.mohanty@ujjivan.com;manas.lenka@ujjivan.com;sanjit.moharana@ujjivan.com;ashish.das@ujjivan.com;;;</v>
      </c>
      <c r="L258" s="62" t="str">
        <f>VLOOKUP($B258,Sheet4!$B:$E,4,0)</f>
        <v xml:space="preserve">ori-chandrasekharpur-branch@ujjivan.com;helpdeskkolkata@ujjivan.com; </v>
      </c>
      <c r="M258" s="65" t="s">
        <v>1288</v>
      </c>
      <c r="N258" s="68" t="str">
        <f t="shared" si="7"/>
        <v xml:space="preserve">Dear Team, Please find attached list of prospect clients for REPEAT GL-LOANS (clients who have taken earlier an GL Loan) for you branch.
Thanks &amp; Regards,
MIS Team
</v>
      </c>
      <c r="O258" s="66" t="s">
        <v>1028</v>
      </c>
      <c r="X258" s="68" t="s">
        <v>3573</v>
      </c>
      <c r="Y258" s="120" t="s">
        <v>4924</v>
      </c>
      <c r="Z258" s="119" t="s">
        <v>3572</v>
      </c>
    </row>
    <row r="259" spans="1:26" ht="15.75" x14ac:dyDescent="0.25">
      <c r="A259" s="61" t="s">
        <v>599</v>
      </c>
      <c r="B259" s="147" t="s">
        <v>644</v>
      </c>
      <c r="C259" s="62" t="s">
        <v>3406</v>
      </c>
      <c r="D259" s="62" t="str">
        <f t="shared" si="8"/>
        <v>sabir.mirdda@ujjivan.com;sudipto.mondal@ujjivan.com;santanu.dey@ujjivan.com;</v>
      </c>
      <c r="E259" s="62" t="s">
        <v>3694</v>
      </c>
      <c r="F259" s="62" t="s">
        <v>4041</v>
      </c>
      <c r="G259" s="62" t="s">
        <v>610</v>
      </c>
      <c r="H259" s="62" t="s">
        <v>601</v>
      </c>
      <c r="I259" s="62" t="s">
        <v>602</v>
      </c>
      <c r="J259" s="67" t="s">
        <v>4401</v>
      </c>
      <c r="K259" s="62" t="str">
        <f>VLOOKUP(B259,Sheet5!$A$1:$H$471,8,0)</f>
        <v>sabir.mirdda@ujjivan.com;sudipto.mondal@ujjivan.com;suvendu.banerjee@ujjivan.com;santanu.dey@ujjivan.com;;;</v>
      </c>
      <c r="L259" s="62" t="str">
        <f>VLOOKUP($B259,Sheet4!$B:$E,4,0)</f>
        <v xml:space="preserve">cal-bagnan-branch@ujjivan.com;helpdeskkolkata@ujjivan.com; </v>
      </c>
      <c r="M259" s="62" t="s">
        <v>1266</v>
      </c>
      <c r="N259" s="68" t="str">
        <f t="shared" si="7"/>
        <v xml:space="preserve">Dear Team, Please find attached list of prospect clients for REPEAT GL-LOANS (clients who have taken earlier an GL Loan) for you branch.
Thanks &amp; Regards,
MIS Team
</v>
      </c>
      <c r="O259" s="63" t="s">
        <v>1028</v>
      </c>
      <c r="X259" s="68" t="s">
        <v>3573</v>
      </c>
      <c r="Y259" s="120" t="s">
        <v>4924</v>
      </c>
      <c r="Z259" s="119" t="s">
        <v>3572</v>
      </c>
    </row>
    <row r="260" spans="1:26" ht="15.75" x14ac:dyDescent="0.25">
      <c r="A260" s="64" t="s">
        <v>599</v>
      </c>
      <c r="B260" s="148" t="s">
        <v>645</v>
      </c>
      <c r="C260" s="62" t="s">
        <v>3407</v>
      </c>
      <c r="D260" s="62" t="str">
        <f t="shared" si="8"/>
        <v>laxmikanta.panda@ujjivan.com;suryakanta.bai@ujjivan.com;ashish.das@ujjivan.com;</v>
      </c>
      <c r="E260" s="62" t="s">
        <v>647</v>
      </c>
      <c r="F260" s="62" t="s">
        <v>4454</v>
      </c>
      <c r="G260" s="62" t="s">
        <v>643</v>
      </c>
      <c r="H260" s="65" t="s">
        <v>628</v>
      </c>
      <c r="I260" s="65" t="s">
        <v>602</v>
      </c>
      <c r="J260" s="67" t="s">
        <v>4401</v>
      </c>
      <c r="K260" s="62" t="str">
        <f>VLOOKUP(B260,Sheet5!$A$1:$H$471,8,0)</f>
        <v>laxmikanta.panda@ujjivan.com;binay.biswal226@ujjivan.com;sanjit.moharana@ujjivan.com;ashish.das@ujjivan.com;;;</v>
      </c>
      <c r="L260" s="62" t="str">
        <f>VLOOKUP($B260,Sheet4!$B:$E,4,0)</f>
        <v xml:space="preserve">ori-samantarapur-branch@ujjivan.com;helpdeskkolkata@ujjivan.com; </v>
      </c>
      <c r="M260" s="65" t="s">
        <v>1364</v>
      </c>
      <c r="N260" s="68" t="str">
        <f t="shared" si="7"/>
        <v xml:space="preserve">Dear Team, Please find attached list of prospect clients for REPEAT GL-LOANS (clients who have taken earlier an GL Loan) for you branch.
Thanks &amp; Regards,
MIS Team
</v>
      </c>
      <c r="O260" s="66" t="s">
        <v>1028</v>
      </c>
      <c r="X260" s="68" t="s">
        <v>3573</v>
      </c>
      <c r="Y260" s="120" t="s">
        <v>4924</v>
      </c>
      <c r="Z260" s="119" t="s">
        <v>3572</v>
      </c>
    </row>
    <row r="261" spans="1:26" ht="15.75" x14ac:dyDescent="0.25">
      <c r="A261" s="61" t="s">
        <v>599</v>
      </c>
      <c r="B261" s="147" t="s">
        <v>646</v>
      </c>
      <c r="C261" s="62" t="s">
        <v>4558</v>
      </c>
      <c r="D261" s="62" t="str">
        <f t="shared" si="8"/>
        <v>0;narayan.mishra@ujjivan.com;ashish.das@ujjivan.com;</v>
      </c>
      <c r="E261" s="62">
        <v>0</v>
      </c>
      <c r="F261" s="62" t="s">
        <v>4103</v>
      </c>
      <c r="G261" s="62" t="s">
        <v>643</v>
      </c>
      <c r="H261" s="62" t="s">
        <v>628</v>
      </c>
      <c r="I261" s="62" t="s">
        <v>602</v>
      </c>
      <c r="J261" s="67" t="s">
        <v>4401</v>
      </c>
      <c r="K261" s="62" t="str">
        <f>VLOOKUP(B261,Sheet5!$A$1:$H$471,8,0)</f>
        <v>manoj.mohapatra@ujjivan.com;sneha.jaiswal@ujjivan.com;sanjit.moharana@ujjivan.com;ashish.das@ujjivan.com;;;</v>
      </c>
      <c r="L261" s="62" t="str">
        <f>VLOOKUP($B261,Sheet4!$B:$E,4,0)</f>
        <v xml:space="preserve">ori-baramunda-branch@ujjivan.com;helpdeskkolkata@ujjivan.com; </v>
      </c>
      <c r="M261" s="62" t="s">
        <v>1273</v>
      </c>
      <c r="N261" s="68"/>
      <c r="O261" s="63" t="s">
        <v>1028</v>
      </c>
      <c r="X261" s="68" t="s">
        <v>3573</v>
      </c>
      <c r="Y261" s="120" t="s">
        <v>4924</v>
      </c>
      <c r="Z261" s="119" t="s">
        <v>3572</v>
      </c>
    </row>
    <row r="262" spans="1:26" ht="15.75" x14ac:dyDescent="0.25">
      <c r="A262" s="64" t="s">
        <v>599</v>
      </c>
      <c r="B262" s="148" t="s">
        <v>648</v>
      </c>
      <c r="C262" s="62" t="s">
        <v>3408</v>
      </c>
      <c r="D262" s="62" t="str">
        <f t="shared" ref="D262:D325" si="9">CONCATENATE(E262,";",F262,";",G262,";")</f>
        <v>kumar.sonu@ujjivan.com;anand.pathak@ujjivan.com;ashish.das@ujjivan.com;</v>
      </c>
      <c r="E262" s="62" t="s">
        <v>3695</v>
      </c>
      <c r="F262" s="62" t="s">
        <v>4101</v>
      </c>
      <c r="G262" s="62" t="s">
        <v>643</v>
      </c>
      <c r="H262" s="65" t="s">
        <v>628</v>
      </c>
      <c r="I262" s="65" t="s">
        <v>602</v>
      </c>
      <c r="J262" s="67" t="s">
        <v>4401</v>
      </c>
      <c r="K262" s="62" t="str">
        <f>VLOOKUP(B262,Sheet5!$A$1:$H$471,8,0)</f>
        <v>lovelysaxena@ujjivan.com;amitkumar.18343@ujjivan.com;bholanath.khawas@ujjivan.com;ashish.das@ujjivan.com;;;</v>
      </c>
      <c r="L262" s="62" t="str">
        <f>VLOOKUP($B262,Sheet4!$B:$E,4,0)</f>
        <v xml:space="preserve">jha-raturoad-branch@ujjivan.com;helpdeskkolkata@ujjivan.com; </v>
      </c>
      <c r="M262" s="65" t="s">
        <v>1360</v>
      </c>
      <c r="N262" s="68" t="str">
        <f t="shared" ref="N262:N324" si="10">X262&amp;" "&amp; Y262&amp;", "&amp;Z262</f>
        <v xml:space="preserve">Dear Team, Please find attached list of prospect clients for REPEAT GL-LOANS (clients who have taken earlier an GL Loan) for you branch.
Thanks &amp; Regards,
MIS Team
</v>
      </c>
      <c r="O262" s="66" t="s">
        <v>1028</v>
      </c>
      <c r="X262" s="68" t="s">
        <v>3573</v>
      </c>
      <c r="Y262" s="120" t="s">
        <v>4924</v>
      </c>
      <c r="Z262" s="119" t="s">
        <v>3572</v>
      </c>
    </row>
    <row r="263" spans="1:26" ht="15.75" x14ac:dyDescent="0.25">
      <c r="A263" s="61" t="s">
        <v>599</v>
      </c>
      <c r="B263" s="147" t="s">
        <v>649</v>
      </c>
      <c r="C263" s="62" t="s">
        <v>3409</v>
      </c>
      <c r="D263" s="62" t="str">
        <f t="shared" si="9"/>
        <v>suman.chakraborty@ujjivan.com;monoranjan.debnath@ujjivan.com;santanu.dey@ujjivan.com;</v>
      </c>
      <c r="E263" s="62" t="s">
        <v>3199</v>
      </c>
      <c r="F263" s="62" t="s">
        <v>4109</v>
      </c>
      <c r="G263" s="62" t="s">
        <v>610</v>
      </c>
      <c r="H263" s="62" t="s">
        <v>601</v>
      </c>
      <c r="I263" s="62" t="s">
        <v>602</v>
      </c>
      <c r="J263" s="67" t="s">
        <v>4401</v>
      </c>
      <c r="K263" s="62" t="str">
        <f>VLOOKUP(B263,Sheet5!$A$1:$H$471,8,0)</f>
        <v>suman.chakraborty@ujjivan.com;monoranjan.debnath@ujjivan.com;anirban.biswas@ujjivan.com;santanu.dey@ujjivan.com;;;</v>
      </c>
      <c r="L263" s="62" t="str">
        <f>VLOOKUP($B263,Sheet4!$B:$E,4,0)</f>
        <v xml:space="preserve">cal-panskura-branch@ujjivan.com;helpdeskkolkata@ujjivan.com; </v>
      </c>
      <c r="M263" s="62" t="s">
        <v>1347</v>
      </c>
      <c r="N263" s="68" t="str">
        <f t="shared" si="10"/>
        <v xml:space="preserve">Dear Team, Please find attached list of prospect clients for REPEAT GL-LOANS (clients who have taken earlier an GL Loan) for you branch.
Thanks &amp; Regards,
MIS Team
</v>
      </c>
      <c r="O263" s="63" t="s">
        <v>1028</v>
      </c>
      <c r="X263" s="68" t="s">
        <v>3573</v>
      </c>
      <c r="Y263" s="120" t="s">
        <v>4924</v>
      </c>
      <c r="Z263" s="119" t="s">
        <v>3572</v>
      </c>
    </row>
    <row r="264" spans="1:26" ht="15.75" x14ac:dyDescent="0.25">
      <c r="A264" s="64" t="s">
        <v>599</v>
      </c>
      <c r="B264" s="148" t="s">
        <v>651</v>
      </c>
      <c r="C264" s="62" t="s">
        <v>3410</v>
      </c>
      <c r="D264" s="62" t="str">
        <f t="shared" si="9"/>
        <v>piyush.kumar@ujjivan.com;laxmikant.roy@ujjivan.com;ashish.das@ujjivan.com;</v>
      </c>
      <c r="E264" s="62" t="s">
        <v>3696</v>
      </c>
      <c r="F264" s="62" t="s">
        <v>4098</v>
      </c>
      <c r="G264" s="62" t="s">
        <v>643</v>
      </c>
      <c r="H264" s="65" t="s">
        <v>628</v>
      </c>
      <c r="I264" s="65" t="s">
        <v>602</v>
      </c>
      <c r="J264" s="67" t="s">
        <v>4401</v>
      </c>
      <c r="K264" s="62" t="str">
        <f>VLOOKUP(B264,Sheet5!$A$1:$H$471,8,0)</f>
        <v>kumar.sonu@ujjivan.com;laxmikant.roy@ujjivan.com;bholanath.khawas@ujjivan.com;ashish.das@ujjivan.com;;;</v>
      </c>
      <c r="L264" s="62" t="str">
        <f>VLOOKUP($B264,Sheet4!$B:$E,4,0)</f>
        <v xml:space="preserve">jha-kokar-branch@ujjivan.com;helpdeskkolkata@ujjivan.com; </v>
      </c>
      <c r="M264" s="65" t="s">
        <v>1333</v>
      </c>
      <c r="N264" s="68" t="str">
        <f t="shared" si="10"/>
        <v xml:space="preserve">Dear Team, Please find attached list of prospect clients for REPEAT GL-LOANS (clients who have taken earlier an GL Loan) for you branch.
Thanks &amp; Regards,
MIS Team
</v>
      </c>
      <c r="O264" s="66" t="s">
        <v>1028</v>
      </c>
      <c r="X264" s="68" t="s">
        <v>3573</v>
      </c>
      <c r="Y264" s="120" t="s">
        <v>4924</v>
      </c>
      <c r="Z264" s="119" t="s">
        <v>3572</v>
      </c>
    </row>
    <row r="265" spans="1:26" ht="15.75" x14ac:dyDescent="0.25">
      <c r="A265" s="61" t="s">
        <v>599</v>
      </c>
      <c r="B265" s="147" t="s">
        <v>652</v>
      </c>
      <c r="C265" s="62" t="s">
        <v>3411</v>
      </c>
      <c r="D265" s="62" t="str">
        <f t="shared" si="9"/>
        <v>ashish.mandal@ujjivan.com;satish.kumar@ujjivan.com;amit.kumar@ujjivan.com;</v>
      </c>
      <c r="E265" s="62" t="s">
        <v>653</v>
      </c>
      <c r="F265" s="62" t="s">
        <v>4455</v>
      </c>
      <c r="G265" s="62" t="s">
        <v>2788</v>
      </c>
      <c r="H265" s="62" t="s">
        <v>628</v>
      </c>
      <c r="I265" s="62" t="s">
        <v>602</v>
      </c>
      <c r="J265" s="67" t="s">
        <v>4401</v>
      </c>
      <c r="K265" s="62" t="str">
        <f>VLOOKUP(B265,Sheet5!$A$1:$H$471,8,0)</f>
        <v>ashish.mandal@ujjivan.com;satish.kumar@ujjivan.com;kishor.kaushal@ujjivan.com;amit.kumar@ujjivan.com;;;</v>
      </c>
      <c r="L265" s="62" t="str">
        <f>VLOOKUP($B265,Sheet4!$B:$E,4,0)</f>
        <v xml:space="preserve">jha-govindpur-branch@ujjivan.com;helpdeskkolkata@ujjivan.com; </v>
      </c>
      <c r="M265" s="62" t="s">
        <v>1312</v>
      </c>
      <c r="N265" s="68" t="str">
        <f t="shared" si="10"/>
        <v xml:space="preserve">Dear Team, Please find attached list of prospect clients for REPEAT GL-LOANS (clients who have taken earlier an GL Loan) for you branch.
Thanks &amp; Regards,
MIS Team
</v>
      </c>
      <c r="O265" s="63" t="s">
        <v>1028</v>
      </c>
      <c r="X265" s="68" t="s">
        <v>3573</v>
      </c>
      <c r="Y265" s="120" t="s">
        <v>4924</v>
      </c>
      <c r="Z265" s="119" t="s">
        <v>3572</v>
      </c>
    </row>
    <row r="266" spans="1:26" ht="15.75" x14ac:dyDescent="0.25">
      <c r="A266" s="64" t="s">
        <v>599</v>
      </c>
      <c r="B266" s="148" t="s">
        <v>654</v>
      </c>
      <c r="C266" s="62" t="s">
        <v>3412</v>
      </c>
      <c r="D266" s="62" t="str">
        <f t="shared" si="9"/>
        <v>avay.kumar@ujjivan.com;deepak.kumar646@ujjivan.com;amit.kumar@ujjivan.com;</v>
      </c>
      <c r="E266" s="62" t="s">
        <v>2736</v>
      </c>
      <c r="F266" s="62" t="s">
        <v>4118</v>
      </c>
      <c r="G266" s="62" t="s">
        <v>2788</v>
      </c>
      <c r="H266" s="65" t="s">
        <v>725</v>
      </c>
      <c r="I266" s="65" t="s">
        <v>602</v>
      </c>
      <c r="J266" s="67" t="s">
        <v>4401</v>
      </c>
      <c r="K266" s="62" t="str">
        <f>VLOOKUP(B266,Sheet5!$A$1:$H$471,8,0)</f>
        <v>avay.kumar@ujjivan.com;deepak.kumar646@ujjivan.com;shashi.choubey@ujjivan.com;amit.kumar@ujjivan.com;;;</v>
      </c>
      <c r="L266" s="62" t="str">
        <f>VLOOKUP($B266,Sheet4!$B:$E,4,0)</f>
        <v xml:space="preserve">bhr-danapur-branch@ujjivan.com;helpdeskkolkata@ujjivan.com; </v>
      </c>
      <c r="M266" s="65" t="s">
        <v>1294</v>
      </c>
      <c r="N266" s="68" t="str">
        <f t="shared" si="10"/>
        <v xml:space="preserve">Dear Team, Please find attached list of prospect clients for REPEAT GL-LOANS (clients who have taken earlier an GL Loan) for you branch.
Thanks &amp; Regards,
MIS Team
</v>
      </c>
      <c r="O266" s="66" t="s">
        <v>1028</v>
      </c>
      <c r="X266" s="68" t="s">
        <v>3573</v>
      </c>
      <c r="Y266" s="120" t="s">
        <v>4924</v>
      </c>
      <c r="Z266" s="119" t="s">
        <v>3572</v>
      </c>
    </row>
    <row r="267" spans="1:26" ht="15.75" x14ac:dyDescent="0.25">
      <c r="A267" s="61" t="s">
        <v>599</v>
      </c>
      <c r="B267" s="147" t="s">
        <v>655</v>
      </c>
      <c r="C267" s="62" t="s">
        <v>3413</v>
      </c>
      <c r="D267" s="62" t="str">
        <f t="shared" si="9"/>
        <v>amitkumar.16636@ujjivan.com;amitkumar.04903@ujjivan.com;amit.kumar@ujjivan.com;</v>
      </c>
      <c r="E267" s="62" t="s">
        <v>2740</v>
      </c>
      <c r="F267" s="62" t="s">
        <v>4129</v>
      </c>
      <c r="G267" s="62" t="s">
        <v>2788</v>
      </c>
      <c r="H267" s="62" t="s">
        <v>725</v>
      </c>
      <c r="I267" s="62" t="s">
        <v>602</v>
      </c>
      <c r="J267" s="67" t="s">
        <v>4401</v>
      </c>
      <c r="K267" s="62" t="str">
        <f>VLOOKUP(B267,Sheet5!$A$1:$H$471,8,0)</f>
        <v>amitkumar.04903@ujjivan.com;sunil.kumar133@ujjivan.com;shashi.choubey@ujjivan.com;amit.kumar@ujjivan.com;;;</v>
      </c>
      <c r="L267" s="62" t="str">
        <f>VLOOKUP($B267,Sheet4!$B:$E,4,0)</f>
        <v xml:space="preserve">bhr-patnacity-branch@ujjivan.com;helpdeskkolkata@ujjivan.com; </v>
      </c>
      <c r="M267" s="62" t="s">
        <v>1351</v>
      </c>
      <c r="N267" s="68" t="str">
        <f t="shared" si="10"/>
        <v xml:space="preserve">Dear Team, Please find attached list of prospect clients for REPEAT GL-LOANS (clients who have taken earlier an GL Loan) for you branch.
Thanks &amp; Regards,
MIS Team
</v>
      </c>
      <c r="O267" s="63" t="s">
        <v>1028</v>
      </c>
      <c r="X267" s="68" t="s">
        <v>3573</v>
      </c>
      <c r="Y267" s="120" t="s">
        <v>4924</v>
      </c>
      <c r="Z267" s="119" t="s">
        <v>3572</v>
      </c>
    </row>
    <row r="268" spans="1:26" ht="15.75" x14ac:dyDescent="0.25">
      <c r="A268" s="64" t="s">
        <v>599</v>
      </c>
      <c r="B268" s="148" t="s">
        <v>656</v>
      </c>
      <c r="C268" s="62" t="s">
        <v>3414</v>
      </c>
      <c r="D268" s="62" t="str">
        <f t="shared" si="9"/>
        <v>kumar.rao@ujjivan.com;rakesh.singh@ujjivan.com;ashish.das@ujjivan.com;</v>
      </c>
      <c r="E268" s="62" t="s">
        <v>657</v>
      </c>
      <c r="F268" s="62" t="s">
        <v>4088</v>
      </c>
      <c r="G268" s="62" t="s">
        <v>643</v>
      </c>
      <c r="H268" s="65" t="s">
        <v>628</v>
      </c>
      <c r="I268" s="65" t="s">
        <v>602</v>
      </c>
      <c r="J268" s="67" t="s">
        <v>4401</v>
      </c>
      <c r="K268" s="62" t="str">
        <f>VLOOKUP(B268,Sheet5!$A$1:$H$471,8,0)</f>
        <v>anand.pathak@ujjivan.com;mantu.kumar@ujjivan.com;bholanath.khawas@ujjivan.com;ashish.das@ujjivan.com;;;</v>
      </c>
      <c r="L268" s="62" t="str">
        <f>VLOOKUP($B268,Sheet4!$B:$E,4,0)</f>
        <v xml:space="preserve">jha-adityapur-branch@ujjivan.com ;helpdeskkolkata@ujjivan.com; </v>
      </c>
      <c r="M268" s="65" t="s">
        <v>1257</v>
      </c>
      <c r="N268" s="68" t="str">
        <f t="shared" si="10"/>
        <v xml:space="preserve">Dear Team, Please find attached list of prospect clients for REPEAT GL-LOANS (clients who have taken earlier an GL Loan) for you branch.
Thanks &amp; Regards,
MIS Team
</v>
      </c>
      <c r="O268" s="66" t="s">
        <v>1028</v>
      </c>
      <c r="X268" s="68" t="s">
        <v>3573</v>
      </c>
      <c r="Y268" s="120" t="s">
        <v>4924</v>
      </c>
      <c r="Z268" s="119" t="s">
        <v>3572</v>
      </c>
    </row>
    <row r="269" spans="1:26" ht="15.75" x14ac:dyDescent="0.25">
      <c r="A269" s="61" t="s">
        <v>599</v>
      </c>
      <c r="B269" s="147" t="s">
        <v>658</v>
      </c>
      <c r="C269" s="62" t="s">
        <v>3415</v>
      </c>
      <c r="D269" s="62" t="str">
        <f t="shared" si="9"/>
        <v>surendra.sethy@ujjivan.com;rajkishor.behera@ujjivan.com;ashish.das@ujjivan.com;</v>
      </c>
      <c r="E269" s="62" t="s">
        <v>2733</v>
      </c>
      <c r="F269" s="62" t="s">
        <v>4110</v>
      </c>
      <c r="G269" s="62" t="s">
        <v>643</v>
      </c>
      <c r="H269" s="62" t="s">
        <v>628</v>
      </c>
      <c r="I269" s="62" t="s">
        <v>602</v>
      </c>
      <c r="J269" s="67" t="s">
        <v>4401</v>
      </c>
      <c r="K269" s="62" t="str">
        <f>VLOOKUP(B269,Sheet5!$A$1:$H$471,8,0)</f>
        <v>pritamraj.rout@ujjivan.com;pujarchana.das@ujjivan.com;sanjit.moharana@ujjivan.com;ashish.das@ujjivan.com;;;</v>
      </c>
      <c r="L269" s="62" t="str">
        <f>VLOOKUP($B269,Sheet4!$B:$E,4,0)</f>
        <v xml:space="preserve">ori-puri-branch@ujjivan.com ;helpdeskkolkata@ujjivan.com; </v>
      </c>
      <c r="M269" s="62" t="s">
        <v>1354</v>
      </c>
      <c r="N269" s="68" t="str">
        <f t="shared" si="10"/>
        <v xml:space="preserve">Dear Team, Please find attached list of prospect clients for REPEAT GL-LOANS (clients who have taken earlier an GL Loan) for you branch.
Thanks &amp; Regards,
MIS Team
</v>
      </c>
      <c r="O269" s="63" t="s">
        <v>1028</v>
      </c>
      <c r="X269" s="68" t="s">
        <v>3573</v>
      </c>
      <c r="Y269" s="120" t="s">
        <v>4924</v>
      </c>
      <c r="Z269" s="119" t="s">
        <v>3572</v>
      </c>
    </row>
    <row r="270" spans="1:26" ht="15.75" x14ac:dyDescent="0.25">
      <c r="A270" s="64" t="s">
        <v>599</v>
      </c>
      <c r="B270" s="148" t="s">
        <v>660</v>
      </c>
      <c r="C270" s="62" t="s">
        <v>3416</v>
      </c>
      <c r="D270" s="62" t="e">
        <f t="shared" si="9"/>
        <v>#N/A</v>
      </c>
      <c r="E270" s="62" t="s">
        <v>1018</v>
      </c>
      <c r="F270" s="62" t="e">
        <v>#N/A</v>
      </c>
      <c r="G270" s="62" t="e">
        <v>#N/A</v>
      </c>
      <c r="H270" s="65"/>
      <c r="I270" s="65" t="s">
        <v>602</v>
      </c>
      <c r="J270" s="67" t="s">
        <v>4401</v>
      </c>
      <c r="K270" s="62" t="str">
        <f>VLOOKUP(B270,Sheet5!$A$1:$H$471,8,0)</f>
        <v>ashokkumar.gupta@ujjivan.com;;bholanath.khawas@ujjivan.com;;;;</v>
      </c>
      <c r="L270" s="62" t="str">
        <f>VLOOKUP($B270,Sheet4!$B:$E,4,0)</f>
        <v xml:space="preserve">jha-ghatsila-branch@ujjivan.com ;helpdeskkolkata@ujjivan.com; </v>
      </c>
      <c r="M270" s="65" t="s">
        <v>1310</v>
      </c>
      <c r="N270" s="68" t="str">
        <f t="shared" si="10"/>
        <v xml:space="preserve">Dear Team, Please find attached list of prospect clients for REPEAT GL-LOANS (clients who have taken earlier an GL Loan) for you branch.
Thanks &amp; Regards,
MIS Team
</v>
      </c>
      <c r="O270" s="66" t="s">
        <v>1028</v>
      </c>
      <c r="X270" s="68" t="s">
        <v>3573</v>
      </c>
      <c r="Y270" s="120" t="s">
        <v>4924</v>
      </c>
      <c r="Z270" s="119" t="s">
        <v>3572</v>
      </c>
    </row>
    <row r="271" spans="1:26" ht="15.75" x14ac:dyDescent="0.25">
      <c r="A271" s="61" t="s">
        <v>599</v>
      </c>
      <c r="B271" s="147" t="s">
        <v>662</v>
      </c>
      <c r="C271" s="62" t="s">
        <v>3417</v>
      </c>
      <c r="D271" s="62" t="str">
        <f t="shared" si="9"/>
        <v>sanjeev.kumar@ujjivan.com;mahesh.singh@ujjivan.com;amit.kumar@ujjivan.com;</v>
      </c>
      <c r="E271" s="62" t="s">
        <v>2739</v>
      </c>
      <c r="F271" s="62" t="s">
        <v>4124</v>
      </c>
      <c r="G271" s="62" t="s">
        <v>2788</v>
      </c>
      <c r="H271" s="62" t="s">
        <v>725</v>
      </c>
      <c r="I271" s="62" t="s">
        <v>602</v>
      </c>
      <c r="J271" s="67" t="s">
        <v>4401</v>
      </c>
      <c r="K271" s="62" t="str">
        <f>VLOOKUP(B271,Sheet5!$A$1:$H$471,8,0)</f>
        <v>sanjeev.kumar@ujjivan.com;pankaj.kumar331@ujjivan.com;manish.choudhary@ujjivan.com;amit.kumar@ujjivan.com;;;</v>
      </c>
      <c r="L271" s="62" t="str">
        <f>VLOOKUP($B271,Sheet4!$B:$E,4,0)</f>
        <v xml:space="preserve">bhr-hajipur-branch@ujjivan.com ;helpdeskkolkata@ujjivan.com; </v>
      </c>
      <c r="M271" s="62" t="s">
        <v>1314</v>
      </c>
      <c r="N271" s="68" t="str">
        <f t="shared" si="10"/>
        <v xml:space="preserve">Dear Team, Please find attached list of prospect clients for REPEAT GL-LOANS (clients who have taken earlier an GL Loan) for you branch.
Thanks &amp; Regards,
MIS Team
</v>
      </c>
      <c r="O271" s="63" t="s">
        <v>1028</v>
      </c>
      <c r="X271" s="68" t="s">
        <v>3573</v>
      </c>
      <c r="Y271" s="120" t="s">
        <v>4924</v>
      </c>
      <c r="Z271" s="119" t="s">
        <v>3572</v>
      </c>
    </row>
    <row r="272" spans="1:26" ht="15.75" x14ac:dyDescent="0.25">
      <c r="A272" s="64" t="s">
        <v>599</v>
      </c>
      <c r="B272" s="148" t="s">
        <v>663</v>
      </c>
      <c r="C272" s="62" t="s">
        <v>3031</v>
      </c>
      <c r="D272" s="62" t="str">
        <f t="shared" si="9"/>
        <v>arindam.mandal@ujjivan.com;subrata.modak@ujjivan.com;rajdeep.bhaduri@ujjivan.com;</v>
      </c>
      <c r="E272" s="62" t="s">
        <v>684</v>
      </c>
      <c r="F272" s="62" t="s">
        <v>4055</v>
      </c>
      <c r="G272" s="62" t="s">
        <v>699</v>
      </c>
      <c r="H272" s="65" t="s">
        <v>601</v>
      </c>
      <c r="I272" s="65" t="s">
        <v>602</v>
      </c>
      <c r="J272" s="67" t="s">
        <v>4401</v>
      </c>
      <c r="K272" s="62" t="str">
        <f>VLOOKUP(B272,Sheet5!$A$1:$H$471,8,0)</f>
        <v>debajyoti.ghosh@ujjivan.com;abhishek.kumar311@ujjivan.com;kunal.ghosh@ujjivan.com;rajdeep.bhaduri@ujjivan.com;;;</v>
      </c>
      <c r="L272" s="62" t="str">
        <f>VLOOKUP($B272,Sheet4!$B:$E,4,0)</f>
        <v xml:space="preserve">cal-kalnagate-branch@ujjivan.com ;helpdeskkolkata@ujjivan.com; </v>
      </c>
      <c r="M272" s="65" t="s">
        <v>1327</v>
      </c>
      <c r="N272" s="68" t="str">
        <f t="shared" si="10"/>
        <v xml:space="preserve">Dear Team, Please find attached list of prospect clients for REPEAT GL-LOANS (clients who have taken earlier an GL Loan) for you branch.
Thanks &amp; Regards,
MIS Team
</v>
      </c>
      <c r="O272" s="66" t="s">
        <v>1028</v>
      </c>
      <c r="X272" s="68" t="s">
        <v>3573</v>
      </c>
      <c r="Y272" s="120" t="s">
        <v>4924</v>
      </c>
      <c r="Z272" s="119" t="s">
        <v>3572</v>
      </c>
    </row>
    <row r="273" spans="1:26" ht="15.75" x14ac:dyDescent="0.25">
      <c r="A273" s="61" t="s">
        <v>599</v>
      </c>
      <c r="B273" s="147" t="s">
        <v>666</v>
      </c>
      <c r="C273" s="62" t="s">
        <v>3418</v>
      </c>
      <c r="D273" s="62" t="str">
        <f t="shared" si="9"/>
        <v>ramprasad.mondal@ujjivan.com;sudipta.nandi@ujjivan.com;rajdeep.bhaduri@ujjivan.com;</v>
      </c>
      <c r="E273" s="62" t="s">
        <v>667</v>
      </c>
      <c r="F273" s="62" t="s">
        <v>4456</v>
      </c>
      <c r="G273" s="62" t="s">
        <v>699</v>
      </c>
      <c r="H273" s="62" t="s">
        <v>601</v>
      </c>
      <c r="I273" s="62" t="s">
        <v>602</v>
      </c>
      <c r="J273" s="67" t="s">
        <v>4401</v>
      </c>
      <c r="K273" s="62" t="str">
        <f>VLOOKUP(B273,Sheet5!$A$1:$H$471,8,0)</f>
        <v>manojit.sabui@ujjivan.com;fatik.shaikh@ujjivan.com;nilkamal.manna@ujjivan.com;rajdeep.bhaduri@ujjivan.com;;;</v>
      </c>
      <c r="L273" s="62" t="str">
        <f>VLOOKUP($B273,Sheet4!$B:$E,4,0)</f>
        <v xml:space="preserve">cal-arambagh-branch@ujjivan.com  ;helpdeskkolkata@ujjivan.com; </v>
      </c>
      <c r="M273" s="62" t="s">
        <v>1263</v>
      </c>
      <c r="N273" s="68" t="str">
        <f t="shared" si="10"/>
        <v xml:space="preserve">Dear Team, Please find attached list of prospect clients for REPEAT GL-LOANS (clients who have taken earlier an GL Loan) for you branch.
Thanks &amp; Regards,
MIS Team
</v>
      </c>
      <c r="O273" s="63" t="s">
        <v>1028</v>
      </c>
      <c r="X273" s="68" t="s">
        <v>3573</v>
      </c>
      <c r="Y273" s="120" t="s">
        <v>4924</v>
      </c>
      <c r="Z273" s="119" t="s">
        <v>3572</v>
      </c>
    </row>
    <row r="274" spans="1:26" ht="15.75" x14ac:dyDescent="0.25">
      <c r="A274" s="64" t="s">
        <v>599</v>
      </c>
      <c r="B274" s="148" t="s">
        <v>668</v>
      </c>
      <c r="C274" s="62" t="s">
        <v>3419</v>
      </c>
      <c r="D274" s="62" t="str">
        <f t="shared" si="9"/>
        <v>prasenjit.datta@ujjivan.com;ranjit.bhandary@ujjivan.com;rajdeep.bhaduri@ujjivan.com;</v>
      </c>
      <c r="E274" s="62" t="s">
        <v>2715</v>
      </c>
      <c r="F274" s="62" t="s">
        <v>4047</v>
      </c>
      <c r="G274" s="62" t="s">
        <v>699</v>
      </c>
      <c r="H274" s="65" t="s">
        <v>601</v>
      </c>
      <c r="I274" s="65" t="s">
        <v>602</v>
      </c>
      <c r="J274" s="67" t="s">
        <v>4401</v>
      </c>
      <c r="K274" s="62" t="str">
        <f>VLOOKUP(B274,Sheet5!$A$1:$H$471,8,0)</f>
        <v xml:space="preserve">
nirmal.ghosh@ujjivan.com;ranjit.bhandary@ujjivan.com;kunal.ghosh@ujjivan.com;rajdeep.bhaduri@ujjivan.com;;;</v>
      </c>
      <c r="L274" s="62" t="str">
        <f>VLOOKUP($B274,Sheet4!$B:$E,4,0)</f>
        <v xml:space="preserve">cal-budbud-branch@ujjivan.com;helpdeskkolkata@ujjivan.com; </v>
      </c>
      <c r="M274" s="65" t="s">
        <v>1285</v>
      </c>
      <c r="N274" s="68" t="str">
        <f t="shared" si="10"/>
        <v xml:space="preserve">Dear Team, Please find attached list of prospect clients for REPEAT GL-LOANS (clients who have taken earlier an GL Loan) for you branch.
Thanks &amp; Regards,
MIS Team
</v>
      </c>
      <c r="O274" s="66" t="s">
        <v>1028</v>
      </c>
      <c r="X274" s="68" t="s">
        <v>3573</v>
      </c>
      <c r="Y274" s="120" t="s">
        <v>4924</v>
      </c>
      <c r="Z274" s="119" t="s">
        <v>3572</v>
      </c>
    </row>
    <row r="275" spans="1:26" ht="15.75" x14ac:dyDescent="0.25">
      <c r="A275" s="61" t="s">
        <v>599</v>
      </c>
      <c r="B275" s="147" t="s">
        <v>670</v>
      </c>
      <c r="C275" s="62" t="s">
        <v>4400</v>
      </c>
      <c r="D275" s="62" t="str">
        <f t="shared" si="9"/>
        <v>kumar.abinash@ujjivan.com;deepak.kumar@ujjivan.com;amit.kumar@ujjivan.com;</v>
      </c>
      <c r="E275" s="62" t="s">
        <v>4398</v>
      </c>
      <c r="F275" s="62" t="s">
        <v>4091</v>
      </c>
      <c r="G275" s="62" t="s">
        <v>2788</v>
      </c>
      <c r="H275" s="62" t="s">
        <v>628</v>
      </c>
      <c r="I275" s="62" t="s">
        <v>602</v>
      </c>
      <c r="J275" s="67" t="s">
        <v>4401</v>
      </c>
      <c r="K275" s="62" t="str">
        <f>VLOOKUP(B275,Sheet5!$A$1:$H$471,8,0)</f>
        <v>kumar.abinash@ujjivan.com;ccr.dhanbad@ujjivan.com;kishor.kaushal@ujjivan.com;amit.kumar@ujjivan.com;;;</v>
      </c>
      <c r="L275" s="62" t="str">
        <f>VLOOKUP($B275,Sheet4!$B:$E,4,0)</f>
        <v xml:space="preserve">jha-chas-branch@ujjivan.com  ;helpdeskkolkata@ujjivan.com; </v>
      </c>
      <c r="M275" s="62" t="s">
        <v>1289</v>
      </c>
      <c r="N275" s="68" t="str">
        <f t="shared" si="10"/>
        <v xml:space="preserve">Dear Team, Please find attached list of prospect clients for REPEAT GL-LOANS (clients who have taken earlier an GL Loan) for you branch.
Thanks &amp; Regards,
MIS Team
</v>
      </c>
      <c r="O275" s="63" t="s">
        <v>1028</v>
      </c>
      <c r="X275" s="68" t="s">
        <v>3573</v>
      </c>
      <c r="Y275" s="120" t="s">
        <v>4924</v>
      </c>
      <c r="Z275" s="119" t="s">
        <v>3572</v>
      </c>
    </row>
    <row r="276" spans="1:26" ht="15.75" x14ac:dyDescent="0.25">
      <c r="A276" s="64" t="s">
        <v>599</v>
      </c>
      <c r="B276" s="148" t="s">
        <v>671</v>
      </c>
      <c r="C276" s="62" t="s">
        <v>3420</v>
      </c>
      <c r="D276" s="62" t="str">
        <f t="shared" si="9"/>
        <v>chandidas.madhukar@ujjivan.com;sarfaraz.ahmad@ujjivan.com;amit.kumar@ujjivan.com;</v>
      </c>
      <c r="E276" s="62" t="s">
        <v>672</v>
      </c>
      <c r="F276" s="62" t="s">
        <v>4096</v>
      </c>
      <c r="G276" s="62" t="s">
        <v>2788</v>
      </c>
      <c r="H276" s="65" t="s">
        <v>628</v>
      </c>
      <c r="I276" s="65" t="s">
        <v>602</v>
      </c>
      <c r="J276" s="67" t="s">
        <v>4401</v>
      </c>
      <c r="K276" s="62" t="str">
        <f>VLOOKUP(B276,Sheet5!$A$1:$H$471,8,0)</f>
        <v>chandidas.madhukar@ujjivan.com;;kishor.kaushal@ujjivan.com;amit.kumar@ujjivan.com;;;</v>
      </c>
      <c r="L276" s="62" t="str">
        <f>VLOOKUP($B276,Sheet4!$B:$E,4,0)</f>
        <v xml:space="preserve">jha-jharia-branch@ujjivan.com;helpdeskkolkata@ujjivan.com; </v>
      </c>
      <c r="M276" s="65" t="s">
        <v>1319</v>
      </c>
      <c r="N276" s="68" t="str">
        <f t="shared" si="10"/>
        <v xml:space="preserve">Dear Team, Please find attached list of prospect clients for REPEAT GL-LOANS (clients who have taken earlier an GL Loan) for you branch.
Thanks &amp; Regards,
MIS Team
</v>
      </c>
      <c r="O276" s="66" t="s">
        <v>1028</v>
      </c>
      <c r="X276" s="68" t="s">
        <v>3573</v>
      </c>
      <c r="Y276" s="120" t="s">
        <v>4924</v>
      </c>
      <c r="Z276" s="119" t="s">
        <v>3572</v>
      </c>
    </row>
    <row r="277" spans="1:26" ht="15.75" x14ac:dyDescent="0.25">
      <c r="A277" s="61" t="s">
        <v>599</v>
      </c>
      <c r="B277" s="147" t="s">
        <v>673</v>
      </c>
      <c r="C277" s="62" t="s">
        <v>3421</v>
      </c>
      <c r="D277" s="62" t="str">
        <f t="shared" si="9"/>
        <v>pradeep.tiwari@ujjivan.com;surendra.kumar@ujjivan.com;ashish.das@ujjivan.com;</v>
      </c>
      <c r="E277" s="62" t="s">
        <v>3697</v>
      </c>
      <c r="F277" s="62" t="s">
        <v>4457</v>
      </c>
      <c r="G277" s="62" t="s">
        <v>643</v>
      </c>
      <c r="H277" s="62" t="s">
        <v>628</v>
      </c>
      <c r="I277" s="62" t="s">
        <v>602</v>
      </c>
      <c r="J277" s="67" t="s">
        <v>4401</v>
      </c>
      <c r="K277" s="62" t="str">
        <f>VLOOKUP(B277,Sheet5!$A$1:$H$471,8,0)</f>
        <v>pradeep.tiwari@ujjivan.com;surendra.kumar@ujjivan.com;bholanath.khawas@ujjivan.com;ashish.das@ujjivan.com;;;</v>
      </c>
      <c r="L277" s="62" t="str">
        <f>VLOOKUP($B277,Sheet4!$B:$E,4,0)</f>
        <v xml:space="preserve">jha-hazaribagh-branch@ujjivan.com;helpdeskkolkata@ujjivan.com; </v>
      </c>
      <c r="M277" s="62" t="s">
        <v>1316</v>
      </c>
      <c r="N277" s="68" t="str">
        <f t="shared" si="10"/>
        <v xml:space="preserve">Dear Team, Please find attached list of prospect clients for REPEAT GL-LOANS (clients who have taken earlier an GL Loan) for you branch.
Thanks &amp; Regards,
MIS Team
</v>
      </c>
      <c r="O277" s="63" t="s">
        <v>1028</v>
      </c>
      <c r="X277" s="68" t="s">
        <v>3573</v>
      </c>
      <c r="Y277" s="120" t="s">
        <v>4924</v>
      </c>
      <c r="Z277" s="119" t="s">
        <v>3572</v>
      </c>
    </row>
    <row r="278" spans="1:26" ht="15.75" x14ac:dyDescent="0.25">
      <c r="A278" s="64" t="s">
        <v>599</v>
      </c>
      <c r="B278" s="148" t="s">
        <v>674</v>
      </c>
      <c r="C278" s="62" t="s">
        <v>3422</v>
      </c>
      <c r="D278" s="62" t="e">
        <f t="shared" si="9"/>
        <v>#N/A</v>
      </c>
      <c r="E278" s="62" t="s">
        <v>2728</v>
      </c>
      <c r="F278" s="62" t="e">
        <v>#N/A</v>
      </c>
      <c r="G278" s="62" t="e">
        <v>#N/A</v>
      </c>
      <c r="H278" s="65" t="s">
        <v>601</v>
      </c>
      <c r="I278" s="65" t="s">
        <v>602</v>
      </c>
      <c r="J278" s="67" t="s">
        <v>4401</v>
      </c>
      <c r="K278" s="62" t="str">
        <f>VLOOKUP(B278,Sheet5!$A$1:$H$471,8,0)</f>
        <v>dinabandhu.saha@ujjivan.com;;kunal.ghosh@ujjivan.com;;;;</v>
      </c>
      <c r="L278" s="62" t="str">
        <f>VLOOKUP($B278,Sheet4!$B:$E,4,0)</f>
        <v xml:space="preserve">jha-purulia-branch@ujjivan.com;helpdeskkolkata@ujjivan.com; </v>
      </c>
      <c r="M278" s="65" t="s">
        <v>1355</v>
      </c>
      <c r="N278" s="68" t="str">
        <f t="shared" si="10"/>
        <v xml:space="preserve">Dear Team, Please find attached list of prospect clients for REPEAT GL-LOANS (clients who have taken earlier an GL Loan) for you branch.
Thanks &amp; Regards,
MIS Team
</v>
      </c>
      <c r="O278" s="66" t="s">
        <v>1028</v>
      </c>
      <c r="X278" s="68" t="s">
        <v>3573</v>
      </c>
      <c r="Y278" s="120" t="s">
        <v>4924</v>
      </c>
      <c r="Z278" s="119" t="s">
        <v>3572</v>
      </c>
    </row>
    <row r="279" spans="1:26" ht="15.75" x14ac:dyDescent="0.25">
      <c r="A279" s="61" t="s">
        <v>599</v>
      </c>
      <c r="B279" s="147" t="s">
        <v>675</v>
      </c>
      <c r="C279" s="62" t="s">
        <v>3423</v>
      </c>
      <c r="D279" s="62" t="str">
        <f t="shared" si="9"/>
        <v>debajyoti.ghosh@ujjivan.com;nirmal.ghosh@ujjivan.com;rajdeep.bhaduri@ujjivan.com;</v>
      </c>
      <c r="E279" s="62" t="s">
        <v>678</v>
      </c>
      <c r="F279" s="62" t="s">
        <v>4058</v>
      </c>
      <c r="G279" s="62" t="s">
        <v>699</v>
      </c>
      <c r="H279" s="62" t="s">
        <v>601</v>
      </c>
      <c r="I279" s="62" t="s">
        <v>602</v>
      </c>
      <c r="J279" s="67" t="s">
        <v>4401</v>
      </c>
      <c r="K279" s="62" t="str">
        <f>VLOOKUP(B279,Sheet5!$A$1:$H$471,8,0)</f>
        <v>prasenjit.datta@ujjivan.com;nirmal.ghosh@ujjivan.com;kunal.ghosh@ujjivan.com;rajdeep.bhaduri@ujjivan.com;;;</v>
      </c>
      <c r="L279" s="62" t="str">
        <f>VLOOKUP($B279,Sheet4!$B:$E,4,0)</f>
        <v xml:space="preserve">cal-rasulpur-branch@ujjivan.com;helpdeskkolkata@ujjivan.com; </v>
      </c>
      <c r="M279" s="62" t="s">
        <v>1359</v>
      </c>
      <c r="N279" s="68" t="str">
        <f t="shared" si="10"/>
        <v xml:space="preserve">Dear Team, Please find attached list of prospect clients for REPEAT GL-LOANS (clients who have taken earlier an GL Loan) for you branch.
Thanks &amp; Regards,
MIS Team
</v>
      </c>
      <c r="O279" s="63" t="s">
        <v>1028</v>
      </c>
      <c r="X279" s="68" t="s">
        <v>3573</v>
      </c>
      <c r="Y279" s="120" t="s">
        <v>4924</v>
      </c>
      <c r="Z279" s="119" t="s">
        <v>3572</v>
      </c>
    </row>
    <row r="280" spans="1:26" ht="15.75" x14ac:dyDescent="0.25">
      <c r="A280" s="64" t="s">
        <v>599</v>
      </c>
      <c r="B280" s="148" t="s">
        <v>676</v>
      </c>
      <c r="C280" s="62" t="s">
        <v>3424</v>
      </c>
      <c r="D280" s="62" t="e">
        <f t="shared" si="9"/>
        <v>#N/A</v>
      </c>
      <c r="E280" s="62" t="s">
        <v>2714</v>
      </c>
      <c r="F280" s="62" t="e">
        <v>#N/A</v>
      </c>
      <c r="G280" s="62" t="e">
        <v>#N/A</v>
      </c>
      <c r="H280" s="65" t="s">
        <v>601</v>
      </c>
      <c r="I280" s="65" t="s">
        <v>602</v>
      </c>
      <c r="J280" s="67" t="s">
        <v>4401</v>
      </c>
      <c r="K280" s="62" t="str">
        <f>VLOOKUP(B280,Sheet5!$A$1:$H$471,8,0)</f>
        <v>tanmoy.pal@ujjivan.com;saikat.ghosh@ujjivan.com;nilkamal.manna@ujjivan.com;;;;</v>
      </c>
      <c r="L280" s="62" t="str">
        <f>VLOOKUP($B280,Sheet4!$B:$E,4,0)</f>
        <v xml:space="preserve">cal-bolpur-branch@ujjivan.com;helpdeskkolkata@ujjivan.com; </v>
      </c>
      <c r="M280" s="65" t="s">
        <v>1284</v>
      </c>
      <c r="N280" s="68" t="str">
        <f t="shared" si="10"/>
        <v xml:space="preserve">Dear Team, Please find attached list of prospect clients for REPEAT GL-LOANS (clients who have taken earlier an GL Loan) for you branch.
Thanks &amp; Regards,
MIS Team
</v>
      </c>
      <c r="O280" s="66" t="s">
        <v>1028</v>
      </c>
      <c r="X280" s="68" t="s">
        <v>3573</v>
      </c>
      <c r="Y280" s="120" t="s">
        <v>4924</v>
      </c>
      <c r="Z280" s="119" t="s">
        <v>3572</v>
      </c>
    </row>
    <row r="281" spans="1:26" ht="15.75" x14ac:dyDescent="0.25">
      <c r="A281" s="61" t="s">
        <v>599</v>
      </c>
      <c r="B281" s="147" t="s">
        <v>677</v>
      </c>
      <c r="C281" s="62" t="s">
        <v>3425</v>
      </c>
      <c r="D281" s="62" t="str">
        <f t="shared" si="9"/>
        <v>sanjoy.chakraborty@ujjivan.com;dipu.das@ujjivan.com;rajdeep.bhaduri@ujjivan.com;</v>
      </c>
      <c r="E281" s="62" t="s">
        <v>2717</v>
      </c>
      <c r="F281" s="62" t="s">
        <v>4052</v>
      </c>
      <c r="G281" s="62" t="s">
        <v>699</v>
      </c>
      <c r="H281" s="62" t="s">
        <v>601</v>
      </c>
      <c r="I281" s="62" t="s">
        <v>602</v>
      </c>
      <c r="J281" s="67" t="s">
        <v>4401</v>
      </c>
      <c r="K281" s="62" t="str">
        <f>VLOOKUP(B281,Sheet5!$A$1:$H$471,8,0)</f>
        <v>sanjoy.chakraborty@ujjivan.com;;kunal.ghosh@ujjivan.com;rajdeep.bhaduri@ujjivan.com;;;</v>
      </c>
      <c r="L281" s="62" t="str">
        <f>VLOOKUP($B281,Sheet4!$B:$E,4,0)</f>
        <v xml:space="preserve">cal-durgapur-branch@ujjivan.com;helpdeskkolkata@ujjivan.com; </v>
      </c>
      <c r="M281" s="62" t="s">
        <v>1303</v>
      </c>
      <c r="N281" s="68" t="str">
        <f t="shared" si="10"/>
        <v xml:space="preserve">Dear Team, Please find attached list of prospect clients for REPEAT GL-LOANS (clients who have taken earlier an GL Loan) for you branch.
Thanks &amp; Regards,
MIS Team
</v>
      </c>
      <c r="O281" s="63" t="s">
        <v>1028</v>
      </c>
      <c r="X281" s="68" t="s">
        <v>3573</v>
      </c>
      <c r="Y281" s="120" t="s">
        <v>4924</v>
      </c>
      <c r="Z281" s="119" t="s">
        <v>3572</v>
      </c>
    </row>
    <row r="282" spans="1:26" ht="15.75" x14ac:dyDescent="0.25">
      <c r="A282" s="64" t="s">
        <v>599</v>
      </c>
      <c r="B282" s="148" t="s">
        <v>679</v>
      </c>
      <c r="C282" s="62" t="s">
        <v>3426</v>
      </c>
      <c r="D282" s="62" t="str">
        <f t="shared" si="9"/>
        <v>abhijit.saha@ujjivan.com;sen.sandip@ujjivan.com;rajdeep.bhaduri@ujjivan.com;</v>
      </c>
      <c r="E282" s="62" t="s">
        <v>3698</v>
      </c>
      <c r="F282" s="62" t="s">
        <v>4089</v>
      </c>
      <c r="G282" s="62" t="s">
        <v>699</v>
      </c>
      <c r="H282" s="65" t="s">
        <v>601</v>
      </c>
      <c r="I282" s="65" t="s">
        <v>602</v>
      </c>
      <c r="J282" s="67" t="s">
        <v>4401</v>
      </c>
      <c r="K282" s="62" t="str">
        <f>VLOOKUP(B282,Sheet5!$A$1:$H$471,8,0)</f>
        <v>abhijit.saha@ujjivan.com;anamika.raj@ujjivan.com;kunal.ghosh@ujjivan.com;rajdeep.bhaduri@ujjivan.com;;;</v>
      </c>
      <c r="L282" s="62" t="str">
        <f>VLOOKUP($B282,Sheet4!$B:$E,4,0)</f>
        <v xml:space="preserve">cal-asansol-branch@ujjivan.com;helpdeskkolkata@ujjivan.com; </v>
      </c>
      <c r="M282" s="65" t="s">
        <v>1264</v>
      </c>
      <c r="N282" s="68" t="str">
        <f t="shared" si="10"/>
        <v xml:space="preserve">Dear Team, Please find attached list of prospect clients for REPEAT GL-LOANS (clients who have taken earlier an GL Loan) for you branch.
Thanks &amp; Regards,
MIS Team
</v>
      </c>
      <c r="O282" s="66" t="s">
        <v>1028</v>
      </c>
      <c r="X282" s="68" t="s">
        <v>3573</v>
      </c>
      <c r="Y282" s="120" t="s">
        <v>4924</v>
      </c>
      <c r="Z282" s="119" t="s">
        <v>3572</v>
      </c>
    </row>
    <row r="283" spans="1:26" ht="15.75" x14ac:dyDescent="0.25">
      <c r="A283" s="61" t="s">
        <v>599</v>
      </c>
      <c r="B283" s="147" t="s">
        <v>680</v>
      </c>
      <c r="C283" s="62" t="s">
        <v>3427</v>
      </c>
      <c r="D283" s="62" t="str">
        <f t="shared" si="9"/>
        <v>diler.kumar@ujjivan.com;amber.raj@ujjivan.com;amit.kumar@ujjivan.com;</v>
      </c>
      <c r="E283" s="62" t="s">
        <v>3699</v>
      </c>
      <c r="F283" s="62" t="s">
        <v>4120</v>
      </c>
      <c r="G283" s="62" t="s">
        <v>2788</v>
      </c>
      <c r="H283" s="62" t="s">
        <v>725</v>
      </c>
      <c r="I283" s="62" t="s">
        <v>602</v>
      </c>
      <c r="J283" s="67" t="s">
        <v>4401</v>
      </c>
      <c r="K283" s="62" t="str">
        <f>VLOOKUP(B283,Sheet5!$A$1:$H$471,8,0)</f>
        <v>diler.kumar@ujjivan.com;amber.raj@ujjivan.com;shashi.choubey@ujjivan.com;amit.kumar@ujjivan.com;;;</v>
      </c>
      <c r="L283" s="62" t="str">
        <f>VLOOKUP($B283,Sheet4!$B:$E,4,0)</f>
        <v xml:space="preserve">bhr-fatuah-branch@ujjivan.com ;helpdeskkolkata@ujjivan.com; </v>
      </c>
      <c r="M283" s="62" t="s">
        <v>1304</v>
      </c>
      <c r="N283" s="68" t="str">
        <f t="shared" si="10"/>
        <v xml:space="preserve">Dear Team, Please find attached list of prospect clients for REPEAT GL-LOANS (clients who have taken earlier an GL Loan) for you branch.
Thanks &amp; Regards,
MIS Team
</v>
      </c>
      <c r="O283" s="63" t="s">
        <v>1028</v>
      </c>
      <c r="X283" s="68" t="s">
        <v>3573</v>
      </c>
      <c r="Y283" s="120" t="s">
        <v>4924</v>
      </c>
      <c r="Z283" s="119" t="s">
        <v>3572</v>
      </c>
    </row>
    <row r="284" spans="1:26" ht="15.75" x14ac:dyDescent="0.25">
      <c r="A284" s="64" t="s">
        <v>599</v>
      </c>
      <c r="B284" s="148" t="s">
        <v>681</v>
      </c>
      <c r="C284" s="62" t="s">
        <v>3428</v>
      </c>
      <c r="D284" s="62" t="str">
        <f t="shared" si="9"/>
        <v>sunil.singh@ujjivan.com;sheela.devi@ujjivan.com;amit.kumar@ujjivan.com;</v>
      </c>
      <c r="E284" s="62" t="s">
        <v>3700</v>
      </c>
      <c r="F284" s="62" t="s">
        <v>4458</v>
      </c>
      <c r="G284" s="62" t="s">
        <v>2788</v>
      </c>
      <c r="H284" s="65" t="s">
        <v>725</v>
      </c>
      <c r="I284" s="65" t="s">
        <v>602</v>
      </c>
      <c r="J284" s="67" t="s">
        <v>4401</v>
      </c>
      <c r="K284" s="62" t="str">
        <f>VLOOKUP(B284,Sheet5!$A$1:$H$471,8,0)</f>
        <v>manish.k@ujjivan.com;sheela.devi@ujjivan.com;shashi.choubey@ujjivan.com;amit.kumar@ujjivan.com;;;</v>
      </c>
      <c r="L284" s="62" t="str">
        <f>VLOOKUP($B284,Sheet4!$B:$E,4,0)</f>
        <v xml:space="preserve">bhr-gandhimaidan-branch@ujjivan.com;helpdeskkolkata@ujjivan.com; </v>
      </c>
      <c r="M284" s="65" t="s">
        <v>1306</v>
      </c>
      <c r="N284" s="68" t="str">
        <f t="shared" si="10"/>
        <v xml:space="preserve">Dear Team, Please find attached list of prospect clients for REPEAT GL-LOANS (clients who have taken earlier an GL Loan) for you branch.
Thanks &amp; Regards,
MIS Team
</v>
      </c>
      <c r="O284" s="66" t="s">
        <v>1028</v>
      </c>
      <c r="X284" s="68" t="s">
        <v>3573</v>
      </c>
      <c r="Y284" s="120" t="s">
        <v>4924</v>
      </c>
      <c r="Z284" s="119" t="s">
        <v>3572</v>
      </c>
    </row>
    <row r="285" spans="1:26" ht="15.75" x14ac:dyDescent="0.25">
      <c r="A285" s="61" t="s">
        <v>599</v>
      </c>
      <c r="B285" s="147" t="s">
        <v>682</v>
      </c>
      <c r="C285" s="62" t="s">
        <v>3429</v>
      </c>
      <c r="D285" s="62" t="str">
        <f t="shared" si="9"/>
        <v>abhinaw.kumar@ujjivan.com;awinashkumar.sharma@ujjivan.com;amit.kumar@ujjivan.com;</v>
      </c>
      <c r="E285" s="62" t="s">
        <v>3701</v>
      </c>
      <c r="F285" s="62" t="s">
        <v>4459</v>
      </c>
      <c r="G285" s="62" t="s">
        <v>2788</v>
      </c>
      <c r="H285" s="62" t="s">
        <v>725</v>
      </c>
      <c r="I285" s="62" t="s">
        <v>602</v>
      </c>
      <c r="J285" s="67" t="s">
        <v>4401</v>
      </c>
      <c r="K285" s="62" t="str">
        <f>VLOOKUP(B285,Sheet5!$A$1:$H$471,8,0)</f>
        <v>pawan.kumar046@ujjivan.com;awinashkumar.sharma@ujjivan.com;shashi.choubey@ujjivan.com;amit.kumar@ujjivan.com;;;</v>
      </c>
      <c r="L285" s="62" t="str">
        <f>VLOOKUP($B285,Sheet4!$B:$E,4,0)</f>
        <v xml:space="preserve">bhr-fulwarishariff-branch@ujjivan.com ;helpdeskkolkata@ujjivan.com; </v>
      </c>
      <c r="M285" s="62" t="s">
        <v>1305</v>
      </c>
      <c r="N285" s="68" t="str">
        <f t="shared" si="10"/>
        <v xml:space="preserve">Dear Team, Please find attached list of prospect clients for REPEAT GL-LOANS (clients who have taken earlier an GL Loan) for you branch.
Thanks &amp; Regards,
MIS Team
</v>
      </c>
      <c r="O285" s="63" t="s">
        <v>1028</v>
      </c>
      <c r="X285" s="68" t="s">
        <v>3573</v>
      </c>
      <c r="Y285" s="120" t="s">
        <v>4924</v>
      </c>
      <c r="Z285" s="119" t="s">
        <v>3572</v>
      </c>
    </row>
    <row r="286" spans="1:26" ht="15.75" x14ac:dyDescent="0.25">
      <c r="A286" s="64" t="s">
        <v>599</v>
      </c>
      <c r="B286" s="148" t="s">
        <v>683</v>
      </c>
      <c r="C286" s="62" t="s">
        <v>3430</v>
      </c>
      <c r="D286" s="62" t="str">
        <f t="shared" si="9"/>
        <v>manisankar.banerjee@ujjivan.com;abhijit.biswas@ujjivan.com;rajdeep.bhaduri@ujjivan.com;</v>
      </c>
      <c r="E286" s="62" t="s">
        <v>3702</v>
      </c>
      <c r="F286" s="62" t="s">
        <v>4050</v>
      </c>
      <c r="G286" s="62" t="s">
        <v>699</v>
      </c>
      <c r="H286" s="65" t="s">
        <v>601</v>
      </c>
      <c r="I286" s="65" t="s">
        <v>602</v>
      </c>
      <c r="J286" s="67" t="s">
        <v>4401</v>
      </c>
      <c r="K286" s="62" t="str">
        <f>VLOOKUP(B286,Sheet5!$A$1:$H$471,8,0)</f>
        <v>manisankar.banerjee@ujjivan.com;abhijit.biswas@ujjivan.com;nilkamal.manna@ujjivan.com;rajdeep.bhaduri@ujjivan.com;;;</v>
      </c>
      <c r="L286" s="62" t="str">
        <f>VLOOKUP($B286,Sheet4!$B:$E,4,0)</f>
        <v xml:space="preserve">cal-dhaniakhali-branch@ujjivan.com ;helpdeskkolkata@ujjivan.com; </v>
      </c>
      <c r="M286" s="65" t="s">
        <v>1298</v>
      </c>
      <c r="N286" s="68" t="str">
        <f t="shared" si="10"/>
        <v xml:space="preserve">Dear Team, Please find attached list of prospect clients for REPEAT GL-LOANS (clients who have taken earlier an GL Loan) for you branch.
Thanks &amp; Regards,
MIS Team
</v>
      </c>
      <c r="O286" s="66" t="s">
        <v>1028</v>
      </c>
      <c r="X286" s="68" t="s">
        <v>3573</v>
      </c>
      <c r="Y286" s="120" t="s">
        <v>4924</v>
      </c>
      <c r="Z286" s="119" t="s">
        <v>3572</v>
      </c>
    </row>
    <row r="287" spans="1:26" ht="15.75" x14ac:dyDescent="0.25">
      <c r="A287" s="61" t="s">
        <v>599</v>
      </c>
      <c r="B287" s="147" t="s">
        <v>685</v>
      </c>
      <c r="C287" s="62" t="s">
        <v>3431</v>
      </c>
      <c r="D287" s="62" t="str">
        <f t="shared" si="9"/>
        <v>sukhwant.singh@ujjivan.com;sanatan.sethy@ujjivan.com;ashish.das@ujjivan.com;</v>
      </c>
      <c r="E287" s="62" t="s">
        <v>2734</v>
      </c>
      <c r="F287" s="62" t="s">
        <v>4111</v>
      </c>
      <c r="G287" s="62" t="s">
        <v>643</v>
      </c>
      <c r="H287" s="62" t="s">
        <v>628</v>
      </c>
      <c r="I287" s="62" t="s">
        <v>602</v>
      </c>
      <c r="J287" s="67" t="s">
        <v>4401</v>
      </c>
      <c r="K287" s="62" t="str">
        <f>VLOOKUP(B287,Sheet5!$A$1:$H$471,8,0)</f>
        <v>suryakanta.bai@ujjivan.com;sanatan.sethy@ujjivan.com;sushanta.pujari@ujjivan.com;ashish.das@ujjivan.com;;;</v>
      </c>
      <c r="L287" s="62" t="str">
        <f>VLOOKUP($B287,Sheet4!$B:$E,4,0)</f>
        <v xml:space="preserve">ori-rajgangpur-branch@ujjivan.com ;helpdeskkolkata@ujjivan.com; </v>
      </c>
      <c r="M287" s="62" t="s">
        <v>1358</v>
      </c>
      <c r="N287" s="68" t="str">
        <f t="shared" si="10"/>
        <v xml:space="preserve">Dear Team, Please find attached list of prospect clients for REPEAT GL-LOANS (clients who have taken earlier an GL Loan) for you branch.
Thanks &amp; Regards,
MIS Team
</v>
      </c>
      <c r="O287" s="63" t="s">
        <v>1028</v>
      </c>
      <c r="X287" s="68" t="s">
        <v>3573</v>
      </c>
      <c r="Y287" s="120" t="s">
        <v>4924</v>
      </c>
      <c r="Z287" s="119" t="s">
        <v>3572</v>
      </c>
    </row>
    <row r="288" spans="1:26" ht="15.75" x14ac:dyDescent="0.25">
      <c r="A288" s="64" t="s">
        <v>599</v>
      </c>
      <c r="B288" s="148" t="s">
        <v>686</v>
      </c>
      <c r="C288" s="62" t="s">
        <v>3432</v>
      </c>
      <c r="D288" s="62" t="str">
        <f t="shared" si="9"/>
        <v>umakanta.mohanty@ujjivan.com;manas.sasmal@ujjivan.com;ashish.das@ujjivan.com;</v>
      </c>
      <c r="E288" s="62" t="s">
        <v>687</v>
      </c>
      <c r="F288" s="62" t="s">
        <v>4112</v>
      </c>
      <c r="G288" s="62" t="s">
        <v>643</v>
      </c>
      <c r="H288" s="65" t="s">
        <v>628</v>
      </c>
      <c r="I288" s="65" t="s">
        <v>602</v>
      </c>
      <c r="J288" s="67" t="s">
        <v>4401</v>
      </c>
      <c r="K288" s="62" t="str">
        <f>VLOOKUP(B288,Sheet5!$A$1:$H$471,8,0)</f>
        <v>sukhwant.singh@ujjivan.com;manas.sasmal@ujjivan.com;sushanta.pujari@ujjivan.com;ashish.das@ujjivan.com;;;</v>
      </c>
      <c r="L288" s="62" t="str">
        <f>VLOOKUP($B288,Sheet4!$B:$E,4,0)</f>
        <v xml:space="preserve">ori-rourkela-branch@ujjivan.com;helpdeskkolkata@ujjivan.com; </v>
      </c>
      <c r="M288" s="65" t="s">
        <v>1361</v>
      </c>
      <c r="N288" s="68" t="str">
        <f t="shared" si="10"/>
        <v xml:space="preserve">Dear Team, Please find attached list of prospect clients for REPEAT GL-LOANS (clients who have taken earlier an GL Loan) for you branch.
Thanks &amp; Regards,
MIS Team
</v>
      </c>
      <c r="O288" s="66" t="s">
        <v>1028</v>
      </c>
      <c r="X288" s="68" t="s">
        <v>3573</v>
      </c>
      <c r="Y288" s="120" t="s">
        <v>4924</v>
      </c>
      <c r="Z288" s="119" t="s">
        <v>3572</v>
      </c>
    </row>
    <row r="289" spans="1:26" ht="15.75" x14ac:dyDescent="0.25">
      <c r="A289" s="61" t="s">
        <v>599</v>
      </c>
      <c r="B289" s="147" t="s">
        <v>688</v>
      </c>
      <c r="C289" s="62" t="s">
        <v>4558</v>
      </c>
      <c r="D289" s="62" t="e">
        <f t="shared" si="9"/>
        <v>#N/A</v>
      </c>
      <c r="E289" s="62">
        <v>0</v>
      </c>
      <c r="F289" s="62" t="e">
        <v>#N/A</v>
      </c>
      <c r="G289" s="62" t="e">
        <v>#N/A</v>
      </c>
      <c r="H289" s="62" t="s">
        <v>628</v>
      </c>
      <c r="I289" s="62" t="s">
        <v>602</v>
      </c>
      <c r="J289" s="67" t="s">
        <v>4401</v>
      </c>
      <c r="K289" s="62" t="str">
        <f>VLOOKUP(B289,Sheet5!$A$1:$H$471,8,0)</f>
        <v>;;;;;;</v>
      </c>
      <c r="L289" s="62" t="str">
        <f>VLOOKUP($B289,Sheet4!$B:$E,4,0)</f>
        <v xml:space="preserve">ori-koelnagar-branch@ujjivan.com ;helpdeskkolkata@ujjivan.com; </v>
      </c>
      <c r="M289" s="62" t="s">
        <v>1332</v>
      </c>
      <c r="N289" s="68"/>
      <c r="O289" s="63" t="s">
        <v>1028</v>
      </c>
      <c r="X289" s="68" t="s">
        <v>3573</v>
      </c>
      <c r="Y289" s="120" t="s">
        <v>4924</v>
      </c>
      <c r="Z289" s="119" t="s">
        <v>3572</v>
      </c>
    </row>
    <row r="290" spans="1:26" ht="15.75" x14ac:dyDescent="0.25">
      <c r="A290" s="64" t="s">
        <v>599</v>
      </c>
      <c r="B290" s="148" t="s">
        <v>689</v>
      </c>
      <c r="C290" s="62" t="s">
        <v>4558</v>
      </c>
      <c r="D290" s="62" t="str">
        <f t="shared" si="9"/>
        <v>surajkumar.gupta@ujjivan.com;bharat.shaw@ujjivan.com;amit.kumar@ujjivan.com;</v>
      </c>
      <c r="E290" s="62" t="s">
        <v>1014</v>
      </c>
      <c r="F290" s="62" t="s">
        <v>4102</v>
      </c>
      <c r="G290" s="62" t="s">
        <v>2788</v>
      </c>
      <c r="H290" s="65"/>
      <c r="I290" s="65" t="s">
        <v>602</v>
      </c>
      <c r="J290" s="67" t="s">
        <v>4401</v>
      </c>
      <c r="K290" s="62" t="str">
        <f>VLOOKUP(B290,Sheet5!$A$1:$H$471,8,0)</f>
        <v>sandeep.singh@ujjivan.com;bharat.shaw@ujjivan.com;kishor.kaushal@ujjivan.com;amit.kumar@ujjivan.com;;;</v>
      </c>
      <c r="L290" s="62" t="str">
        <f>VLOOKUP($B290,Sheet4!$B:$E,4,0)</f>
        <v xml:space="preserve">jha-tilaiya-branch@ujjivan.com;helpdeskkolkata@ujjivan.com; </v>
      </c>
      <c r="M290" s="65" t="s">
        <v>1379</v>
      </c>
      <c r="N290" s="68" t="str">
        <f t="shared" si="10"/>
        <v xml:space="preserve">Dear Team, Please find attached list of prospect clients for REPEAT GL-LOANS (clients who have taken earlier an GL Loan) for you branch.
Thanks &amp; Regards,
MIS Team
</v>
      </c>
      <c r="O290" s="66" t="s">
        <v>1028</v>
      </c>
      <c r="X290" s="68" t="s">
        <v>3573</v>
      </c>
      <c r="Y290" s="120" t="s">
        <v>4924</v>
      </c>
      <c r="Z290" s="119" t="s">
        <v>3572</v>
      </c>
    </row>
    <row r="291" spans="1:26" ht="15.75" x14ac:dyDescent="0.25">
      <c r="A291" s="61" t="s">
        <v>599</v>
      </c>
      <c r="B291" s="147" t="s">
        <v>690</v>
      </c>
      <c r="C291" s="62" t="s">
        <v>3433</v>
      </c>
      <c r="D291" s="62" t="str">
        <f t="shared" si="9"/>
        <v>brajadulal.baug@ujjivan.com;satyajit.ghatak@ujjivan.com;rajdeep.bhaduri@ujjivan.com;</v>
      </c>
      <c r="E291" s="62" t="s">
        <v>691</v>
      </c>
      <c r="F291" s="62" t="s">
        <v>4059</v>
      </c>
      <c r="G291" s="62" t="s">
        <v>699</v>
      </c>
      <c r="H291" s="62" t="s">
        <v>601</v>
      </c>
      <c r="I291" s="62" t="s">
        <v>602</v>
      </c>
      <c r="J291" s="67" t="s">
        <v>4401</v>
      </c>
      <c r="K291" s="62" t="str">
        <f>VLOOKUP(B291,Sheet5!$A$1:$H$471,8,0)</f>
        <v>brajadulal.baug@ujjivan.com;satyajit.ghatak@ujjivan.com;nilkamal.manna@ujjivan.com;rajdeep.bhaduri@ujjivan.com;;;</v>
      </c>
      <c r="L291" s="62" t="str">
        <f>VLOOKUP($B291,Sheet4!$B:$E,4,0)</f>
        <v xml:space="preserve">cal-sainthiya-branch@ujjivan.com ;helpdeskkolkata@ujjivan.com; </v>
      </c>
      <c r="M291" s="62" t="s">
        <v>1363</v>
      </c>
      <c r="N291" s="68" t="str">
        <f t="shared" si="10"/>
        <v xml:space="preserve">Dear Team, Please find attached list of prospect clients for REPEAT GL-LOANS (clients who have taken earlier an GL Loan) for you branch.
Thanks &amp; Regards,
MIS Team
</v>
      </c>
      <c r="O291" s="63" t="s">
        <v>1028</v>
      </c>
      <c r="X291" s="68" t="s">
        <v>3573</v>
      </c>
      <c r="Y291" s="120" t="s">
        <v>4924</v>
      </c>
      <c r="Z291" s="119" t="s">
        <v>3572</v>
      </c>
    </row>
    <row r="292" spans="1:26" ht="15.75" x14ac:dyDescent="0.25">
      <c r="A292" s="64" t="s">
        <v>599</v>
      </c>
      <c r="B292" s="148" t="s">
        <v>692</v>
      </c>
      <c r="C292" s="62" t="s">
        <v>3434</v>
      </c>
      <c r="D292" s="62" t="str">
        <f t="shared" si="9"/>
        <v>sk.mohiuddin@ujjivan.com;sujan.chakraborty@ujjivan.com;rajdeep.bhaduri@ujjivan.com;</v>
      </c>
      <c r="E292" s="62" t="s">
        <v>2727</v>
      </c>
      <c r="F292" s="62" t="s">
        <v>4099</v>
      </c>
      <c r="G292" s="62" t="s">
        <v>699</v>
      </c>
      <c r="H292" s="65" t="s">
        <v>601</v>
      </c>
      <c r="I292" s="65" t="s">
        <v>602</v>
      </c>
      <c r="J292" s="67" t="s">
        <v>4401</v>
      </c>
      <c r="K292" s="62" t="str">
        <f>VLOOKUP(B292,Sheet5!$A$1:$H$471,8,0)</f>
        <v>sk.mohiuddin@ujjivan.com;sujan.chakraborty@ujjivan.com;kunal.ghosh@ujjivan.com;rajdeep.bhaduri@ujjivan.com;;;</v>
      </c>
      <c r="L292" s="62" t="str">
        <f>VLOOKUP($B292,Sheet4!$B:$E,4,0)</f>
        <v xml:space="preserve">cal-kulti-branch@ujjivan.com;helpdeskkolkata@ujjivan.com; </v>
      </c>
      <c r="M292" s="65" t="s">
        <v>1334</v>
      </c>
      <c r="N292" s="68" t="str">
        <f t="shared" si="10"/>
        <v xml:space="preserve">Dear Team, Please find attached list of prospect clients for REPEAT GL-LOANS (clients who have taken earlier an GL Loan) for you branch.
Thanks &amp; Regards,
MIS Team
</v>
      </c>
      <c r="O292" s="66" t="s">
        <v>1028</v>
      </c>
      <c r="X292" s="68" t="s">
        <v>3573</v>
      </c>
      <c r="Y292" s="120" t="s">
        <v>4924</v>
      </c>
      <c r="Z292" s="119" t="s">
        <v>3572</v>
      </c>
    </row>
    <row r="293" spans="1:26" ht="15.75" x14ac:dyDescent="0.25">
      <c r="A293" s="61" t="s">
        <v>599</v>
      </c>
      <c r="B293" s="147" t="s">
        <v>693</v>
      </c>
      <c r="C293" s="62" t="s">
        <v>3435</v>
      </c>
      <c r="D293" s="62" t="str">
        <f t="shared" si="9"/>
        <v>sunil.mahato@ujjivan.com;pintu.rahaman@ujjivan.com;santanu.dey@ujjivan.com;</v>
      </c>
      <c r="E293" s="62" t="s">
        <v>3703</v>
      </c>
      <c r="F293" s="62" t="s">
        <v>4107</v>
      </c>
      <c r="G293" s="62" t="s">
        <v>610</v>
      </c>
      <c r="H293" s="62" t="s">
        <v>601</v>
      </c>
      <c r="I293" s="62" t="s">
        <v>602</v>
      </c>
      <c r="J293" s="67" t="s">
        <v>4401</v>
      </c>
      <c r="K293" s="62" t="str">
        <f>VLOOKUP(B293,Sheet5!$A$1:$H$471,8,0)</f>
        <v>sunil.mahato@ujjivan.com;pintu.rahaman@ujjivan.com;anirban.biswas@ujjivan.com;santanu.dey@ujjivan.com;;;</v>
      </c>
      <c r="L293" s="62" t="str">
        <f>VLOOKUP($B293,Sheet4!$B:$E,4,0)</f>
        <v xml:space="preserve">cal-kharagpur-branch@ujjivan.com;helpdeskkolkata@ujjivan.com; </v>
      </c>
      <c r="M293" s="62" t="s">
        <v>1331</v>
      </c>
      <c r="N293" s="68" t="str">
        <f t="shared" si="10"/>
        <v xml:space="preserve">Dear Team, Please find attached list of prospect clients for REPEAT GL-LOANS (clients who have taken earlier an GL Loan) for you branch.
Thanks &amp; Regards,
MIS Team
</v>
      </c>
      <c r="O293" s="63" t="s">
        <v>1028</v>
      </c>
      <c r="X293" s="68" t="s">
        <v>3573</v>
      </c>
      <c r="Y293" s="120" t="s">
        <v>4924</v>
      </c>
      <c r="Z293" s="119" t="s">
        <v>3572</v>
      </c>
    </row>
    <row r="294" spans="1:26" ht="15.75" x14ac:dyDescent="0.25">
      <c r="A294" s="64" t="s">
        <v>599</v>
      </c>
      <c r="B294" s="148" t="s">
        <v>694</v>
      </c>
      <c r="C294" s="62" t="s">
        <v>3436</v>
      </c>
      <c r="D294" s="62" t="str">
        <f t="shared" si="9"/>
        <v>manoj.bera@ujjivan.com;abhijit.maity@ujjivan.com;santanu.dey@ujjivan.com;</v>
      </c>
      <c r="E294" s="62" t="s">
        <v>2732</v>
      </c>
      <c r="F294" s="62" t="s">
        <v>4108</v>
      </c>
      <c r="G294" s="62" t="s">
        <v>610</v>
      </c>
      <c r="H294" s="65" t="s">
        <v>601</v>
      </c>
      <c r="I294" s="65" t="s">
        <v>602</v>
      </c>
      <c r="J294" s="67" t="s">
        <v>4401</v>
      </c>
      <c r="K294" s="62" t="str">
        <f>VLOOKUP(B294,Sheet5!$A$1:$H$471,8,0)</f>
        <v>manoj.bera@ujjivan.com;abhijit.maity@ujjivan.com;anirban.biswas@ujjivan.com;santanu.dey@ujjivan.com;;;</v>
      </c>
      <c r="L294" s="62" t="str">
        <f>VLOOKUP($B294,Sheet4!$B:$E,4,0)</f>
        <v xml:space="preserve">cal-midnapur-branch@ujjivan.com;helpdeskkolkata@ujjivan.com; </v>
      </c>
      <c r="M294" s="65" t="s">
        <v>1342</v>
      </c>
      <c r="N294" s="68" t="str">
        <f t="shared" si="10"/>
        <v xml:space="preserve">Dear Team, Please find attached list of prospect clients for REPEAT GL-LOANS (clients who have taken earlier an GL Loan) for you branch.
Thanks &amp; Regards,
MIS Team
</v>
      </c>
      <c r="O294" s="66" t="s">
        <v>1028</v>
      </c>
      <c r="X294" s="68" t="s">
        <v>3573</v>
      </c>
      <c r="Y294" s="120" t="s">
        <v>4924</v>
      </c>
      <c r="Z294" s="119" t="s">
        <v>3572</v>
      </c>
    </row>
    <row r="295" spans="1:26" ht="15.75" x14ac:dyDescent="0.25">
      <c r="A295" s="61" t="s">
        <v>599</v>
      </c>
      <c r="B295" s="147" t="s">
        <v>696</v>
      </c>
      <c r="C295" s="62" t="s">
        <v>3437</v>
      </c>
      <c r="D295" s="62" t="str">
        <f t="shared" si="9"/>
        <v>arupkumar.samajdar@ujjivan.com;surojit.das@ujjivan.com;rajdeep.bhaduri@ujjivan.com;</v>
      </c>
      <c r="E295" s="62" t="s">
        <v>697</v>
      </c>
      <c r="F295" s="62" t="s">
        <v>4080</v>
      </c>
      <c r="G295" s="62" t="s">
        <v>699</v>
      </c>
      <c r="H295" s="62" t="s">
        <v>601</v>
      </c>
      <c r="I295" s="62" t="s">
        <v>602</v>
      </c>
      <c r="J295" s="67" t="s">
        <v>4401</v>
      </c>
      <c r="K295" s="62" t="str">
        <f>VLOOKUP(B295,Sheet5!$A$1:$H$471,8,0)</f>
        <v>arupkumar.samajdar@ujjivan.com;Bholanath Dutta &lt;bholanath.dutta@ujjivan.com&gt;;arup.kashyapi@ujjivan.com;rajdeep.bhaduri@ujjivan.com;;;</v>
      </c>
      <c r="L295" s="62" t="str">
        <f>VLOOKUP($B295,Sheet4!$B:$E,4,0)</f>
        <v xml:space="preserve">cal-baharampur-branch@ujjivan.com;helpdeskkolkata@ujjivan.com; </v>
      </c>
      <c r="M295" s="62" t="s">
        <v>1267</v>
      </c>
      <c r="N295" s="68" t="str">
        <f t="shared" si="10"/>
        <v xml:space="preserve">Dear Team, Please find attached list of prospect clients for REPEAT GL-LOANS (clients who have taken earlier an GL Loan) for you branch.
Thanks &amp; Regards,
MIS Team
</v>
      </c>
      <c r="O295" s="63" t="s">
        <v>1028</v>
      </c>
      <c r="X295" s="68" t="s">
        <v>3573</v>
      </c>
      <c r="Y295" s="120" t="s">
        <v>4924</v>
      </c>
      <c r="Z295" s="119" t="s">
        <v>3572</v>
      </c>
    </row>
    <row r="296" spans="1:26" ht="15.75" x14ac:dyDescent="0.25">
      <c r="A296" s="64" t="s">
        <v>599</v>
      </c>
      <c r="B296" s="148" t="s">
        <v>698</v>
      </c>
      <c r="C296" s="62" t="s">
        <v>3438</v>
      </c>
      <c r="D296" s="62" t="str">
        <f t="shared" si="9"/>
        <v>sajid.mondal@ujjivan.com;sudeb.das@ujjivan.com;mithun.chakraborty@ujjivan.com;</v>
      </c>
      <c r="E296" s="62" t="s">
        <v>2722</v>
      </c>
      <c r="F296" s="62" t="s">
        <v>4077</v>
      </c>
      <c r="G296" s="62" t="s">
        <v>4557</v>
      </c>
      <c r="H296" s="65" t="s">
        <v>699</v>
      </c>
      <c r="I296" s="65" t="s">
        <v>602</v>
      </c>
      <c r="J296" s="67" t="s">
        <v>4401</v>
      </c>
      <c r="K296" s="62" t="str">
        <f>VLOOKUP(B296,Sheet5!$A$1:$H$471,8,0)</f>
        <v>sajid.mondal@ujjivan.com;debashish.sarkar@ujjivan.com;subhankar.chakraborty@ujjivan.com;mithun.chakraborty@ujjivan.com;;;</v>
      </c>
      <c r="L296" s="62" t="str">
        <f>VLOOKUP($B296,Sheet4!$B:$E,4,0)</f>
        <v xml:space="preserve">cal-malda-branch@ujjivan.com;helpdeskkolkata@ujjivan.com; </v>
      </c>
      <c r="M296" s="65" t="s">
        <v>1335</v>
      </c>
      <c r="N296" s="68" t="str">
        <f t="shared" si="10"/>
        <v xml:space="preserve">Dear Team, Please find attached list of prospect clients for REPEAT GL-LOANS (clients who have taken earlier an GL Loan) for you branch.
Thanks &amp; Regards,
MIS Team
</v>
      </c>
      <c r="O296" s="66" t="s">
        <v>1028</v>
      </c>
      <c r="X296" s="68" t="s">
        <v>3573</v>
      </c>
      <c r="Y296" s="120" t="s">
        <v>4924</v>
      </c>
      <c r="Z296" s="119" t="s">
        <v>3572</v>
      </c>
    </row>
    <row r="297" spans="1:26" ht="15.75" x14ac:dyDescent="0.25">
      <c r="A297" s="61" t="s">
        <v>599</v>
      </c>
      <c r="B297" s="147" t="s">
        <v>700</v>
      </c>
      <c r="C297" s="62" t="s">
        <v>3439</v>
      </c>
      <c r="D297" s="62" t="str">
        <f t="shared" si="9"/>
        <v>abhishek.kumar855@ujjivan.com;amit.arya@ujjivan.com;amit.kumar@ujjivan.com;</v>
      </c>
      <c r="E297" s="62" t="s">
        <v>3704</v>
      </c>
      <c r="F297" s="62" t="s">
        <v>4128</v>
      </c>
      <c r="G297" s="62" t="s">
        <v>2788</v>
      </c>
      <c r="H297" s="62" t="s">
        <v>725</v>
      </c>
      <c r="I297" s="62" t="s">
        <v>602</v>
      </c>
      <c r="J297" s="67" t="s">
        <v>4401</v>
      </c>
      <c r="K297" s="62" t="str">
        <f>VLOOKUP(B297,Sheet5!$A$1:$H$471,8,0)</f>
        <v>abhinav.chaitanya@ujjivan.com;amit.arya@ujjivan.com;manish.choudhary@ujjivan.com;amit.kumar@ujjivan.com;;;</v>
      </c>
      <c r="L297" s="62" t="str">
        <f>VLOOKUP($B297,Sheet4!$B:$E,4,0)</f>
        <v xml:space="preserve">bhr-mddmcollege-branch@ujjivan.com;helpdeskkolkata@ujjivan.com; </v>
      </c>
      <c r="M297" s="62" t="s">
        <v>1340</v>
      </c>
      <c r="N297" s="68" t="str">
        <f t="shared" si="10"/>
        <v xml:space="preserve">Dear Team, Please find attached list of prospect clients for REPEAT GL-LOANS (clients who have taken earlier an GL Loan) for you branch.
Thanks &amp; Regards,
MIS Team
</v>
      </c>
      <c r="O297" s="63" t="s">
        <v>1028</v>
      </c>
      <c r="X297" s="68" t="s">
        <v>3573</v>
      </c>
      <c r="Y297" s="120" t="s">
        <v>4924</v>
      </c>
      <c r="Z297" s="119" t="s">
        <v>3572</v>
      </c>
    </row>
    <row r="298" spans="1:26" ht="15.75" x14ac:dyDescent="0.25">
      <c r="A298" s="64" t="s">
        <v>599</v>
      </c>
      <c r="B298" s="148" t="s">
        <v>701</v>
      </c>
      <c r="C298" s="62" t="s">
        <v>3440</v>
      </c>
      <c r="D298" s="62" t="e">
        <f t="shared" si="9"/>
        <v>#N/A</v>
      </c>
      <c r="E298" s="62" t="s">
        <v>3705</v>
      </c>
      <c r="F298" s="62" t="e">
        <v>#N/A</v>
      </c>
      <c r="G298" s="62" t="e">
        <v>#N/A</v>
      </c>
      <c r="H298" s="65" t="s">
        <v>725</v>
      </c>
      <c r="I298" s="65" t="s">
        <v>602</v>
      </c>
      <c r="J298" s="67" t="s">
        <v>4401</v>
      </c>
      <c r="K298" s="62" t="str">
        <f>VLOOKUP(B298,Sheet5!$A$1:$H$471,8,0)</f>
        <v>surajkumar.gupta@ujjivan.com;raman.sharma250@ujjivan.com;manish.choudhary@ujjivan.com;;;;</v>
      </c>
      <c r="L298" s="62" t="str">
        <f>VLOOKUP($B298,Sheet4!$B:$E,4,0)</f>
        <v xml:space="preserve">bhr-zeromile-branch@ujjivan.com;helpdeskkolkata@ujjivan.com; </v>
      </c>
      <c r="M298" s="65" t="s">
        <v>1382</v>
      </c>
      <c r="N298" s="68" t="str">
        <f t="shared" si="10"/>
        <v xml:space="preserve">Dear Team, Please find attached list of prospect clients for REPEAT GL-LOANS (clients who have taken earlier an GL Loan) for you branch.
Thanks &amp; Regards,
MIS Team
</v>
      </c>
      <c r="O298" s="66" t="s">
        <v>1028</v>
      </c>
      <c r="X298" s="68" t="s">
        <v>3573</v>
      </c>
      <c r="Y298" s="120" t="s">
        <v>4924</v>
      </c>
      <c r="Z298" s="119" t="s">
        <v>3572</v>
      </c>
    </row>
    <row r="299" spans="1:26" ht="15.75" x14ac:dyDescent="0.25">
      <c r="A299" s="61" t="s">
        <v>599</v>
      </c>
      <c r="B299" s="147" t="s">
        <v>702</v>
      </c>
      <c r="C299" s="62" t="s">
        <v>3441</v>
      </c>
      <c r="D299" s="62" t="str">
        <f t="shared" si="9"/>
        <v>bidesh.mandal@ujjivan.com;debarun.chatterjee@ujjivan.com;santanu.dey@ujjivan.com;</v>
      </c>
      <c r="E299" s="62" t="s">
        <v>2730</v>
      </c>
      <c r="F299" s="62" t="s">
        <v>4460</v>
      </c>
      <c r="G299" s="62" t="s">
        <v>610</v>
      </c>
      <c r="H299" s="62" t="s">
        <v>601</v>
      </c>
      <c r="I299" s="62" t="s">
        <v>602</v>
      </c>
      <c r="J299" s="67" t="s">
        <v>4401</v>
      </c>
      <c r="K299" s="62" t="str">
        <f>VLOOKUP(B299,Sheet5!$A$1:$H$471,8,0)</f>
        <v>bidesh.mandal@ujjivan.com;debarun.chatterjee@ujjivan.com;anirban.biswas@ujjivan.com;santanu.dey@ujjivan.com;;;</v>
      </c>
      <c r="L299" s="62" t="str">
        <f>VLOOKUP($B299,Sheet4!$B:$E,4,0)</f>
        <v xml:space="preserve">cal-contai-branch@ujjivan.com;helpdeskkolkata@ujjivan.com; </v>
      </c>
      <c r="M299" s="62" t="s">
        <v>1291</v>
      </c>
      <c r="N299" s="68" t="str">
        <f t="shared" si="10"/>
        <v xml:space="preserve">Dear Team, Please find attached list of prospect clients for REPEAT GL-LOANS (clients who have taken earlier an GL Loan) for you branch.
Thanks &amp; Regards,
MIS Team
</v>
      </c>
      <c r="O299" s="63" t="s">
        <v>1028</v>
      </c>
      <c r="X299" s="68" t="s">
        <v>3573</v>
      </c>
      <c r="Y299" s="120" t="s">
        <v>4924</v>
      </c>
      <c r="Z299" s="119" t="s">
        <v>3572</v>
      </c>
    </row>
    <row r="300" spans="1:26" ht="15.75" x14ac:dyDescent="0.25">
      <c r="A300" s="64" t="s">
        <v>599</v>
      </c>
      <c r="B300" s="148" t="s">
        <v>704</v>
      </c>
      <c r="C300" s="62" t="s">
        <v>3442</v>
      </c>
      <c r="D300" s="62" t="str">
        <f t="shared" si="9"/>
        <v>anirban.biswas@ujjivan.com;animesh.nayak@ujjivan.com;santanu.dey@ujjivan.com;</v>
      </c>
      <c r="E300" s="62" t="s">
        <v>650</v>
      </c>
      <c r="F300" s="62" t="s">
        <v>4115</v>
      </c>
      <c r="G300" s="62" t="s">
        <v>610</v>
      </c>
      <c r="H300" s="65" t="s">
        <v>601</v>
      </c>
      <c r="I300" s="65" t="s">
        <v>602</v>
      </c>
      <c r="J300" s="67" t="s">
        <v>4401</v>
      </c>
      <c r="K300" s="62" t="str">
        <f>VLOOKUP(B300,Sheet5!$A$1:$H$471,8,0)</f>
        <v>sunil.srista@ujjivan.com;tarush.gahan@ujjivan.com;anirban.biswas@ujjivan.com;santanu.dey@ujjivan.com;;;</v>
      </c>
      <c r="L300" s="62" t="str">
        <f>VLOOKUP($B300,Sheet4!$B:$E,4,0)</f>
        <v xml:space="preserve">cal-tamluk-branch@ujjivan.com;helpdeskkolkata@ujjivan.com; </v>
      </c>
      <c r="M300" s="65" t="s">
        <v>1376</v>
      </c>
      <c r="N300" s="68" t="str">
        <f t="shared" si="10"/>
        <v xml:space="preserve">Dear Team, Please find attached list of prospect clients for REPEAT GL-LOANS (clients who have taken earlier an GL Loan) for you branch.
Thanks &amp; Regards,
MIS Team
</v>
      </c>
      <c r="O300" s="66" t="s">
        <v>1028</v>
      </c>
      <c r="X300" s="68" t="s">
        <v>3573</v>
      </c>
      <c r="Y300" s="120" t="s">
        <v>4924</v>
      </c>
      <c r="Z300" s="119" t="s">
        <v>3572</v>
      </c>
    </row>
    <row r="301" spans="1:26" ht="15.75" x14ac:dyDescent="0.25">
      <c r="A301" s="61" t="s">
        <v>599</v>
      </c>
      <c r="B301" s="147" t="s">
        <v>705</v>
      </c>
      <c r="C301" s="62" t="s">
        <v>3443</v>
      </c>
      <c r="D301" s="62" t="str">
        <f t="shared" si="9"/>
        <v>sudhir.sahu@ujjivan.com;mukesh.kr@ujjivan.com;amit.kumar@ujjivan.com;</v>
      </c>
      <c r="E301" s="62" t="s">
        <v>706</v>
      </c>
      <c r="F301" s="62" t="s">
        <v>4092</v>
      </c>
      <c r="G301" s="62" t="s">
        <v>2788</v>
      </c>
      <c r="H301" s="62"/>
      <c r="I301" s="62" t="s">
        <v>602</v>
      </c>
      <c r="J301" s="67" t="s">
        <v>4401</v>
      </c>
      <c r="K301" s="62" t="str">
        <f>VLOOKUP(B301,Sheet5!$A$1:$H$471,8,0)</f>
        <v>deepak.kumar@ujjivan.com;mukesh.kr@ujjivan.com;kishor.kaushal@ujjivan.com;amit.kumar@ujjivan.com;;;</v>
      </c>
      <c r="L301" s="62" t="str">
        <f>VLOOKUP($B301,Sheet4!$B:$E,4,0)</f>
        <v xml:space="preserve">jha-deoghar-branch@ujjivan.com ;helpdeskkolkata@ujjivan.com; </v>
      </c>
      <c r="M301" s="62" t="s">
        <v>1296</v>
      </c>
      <c r="N301" s="68" t="str">
        <f t="shared" si="10"/>
        <v xml:space="preserve">Dear Team, Please find attached list of prospect clients for REPEAT GL-LOANS (clients who have taken earlier an GL Loan) for you branch.
Thanks &amp; Regards,
MIS Team
</v>
      </c>
      <c r="O301" s="63" t="s">
        <v>1028</v>
      </c>
      <c r="X301" s="68" t="s">
        <v>3573</v>
      </c>
      <c r="Y301" s="120" t="s">
        <v>4924</v>
      </c>
      <c r="Z301" s="119" t="s">
        <v>3572</v>
      </c>
    </row>
    <row r="302" spans="1:26" ht="15.75" x14ac:dyDescent="0.25">
      <c r="A302" s="64" t="s">
        <v>599</v>
      </c>
      <c r="B302" s="148" t="s">
        <v>707</v>
      </c>
      <c r="C302" s="62" t="s">
        <v>3444</v>
      </c>
      <c r="D302" s="62" t="str">
        <f t="shared" si="9"/>
        <v>jyoti.tripathy@ujjivan.com;sangram.dash@ujjivan.com;ashish.das@ujjivan.com;</v>
      </c>
      <c r="E302" s="62" t="s">
        <v>3706</v>
      </c>
      <c r="F302" s="62" t="s">
        <v>4461</v>
      </c>
      <c r="G302" s="62" t="s">
        <v>643</v>
      </c>
      <c r="H302" s="65" t="s">
        <v>628</v>
      </c>
      <c r="I302" s="65" t="s">
        <v>602</v>
      </c>
      <c r="J302" s="67" t="s">
        <v>4401</v>
      </c>
      <c r="K302" s="62" t="str">
        <f>VLOOKUP(B302,Sheet5!$A$1:$H$471,8,0)</f>
        <v>abhilash.joshi@ujjivan.com;narayan.mishra@ujjivan.com;sushanta.pujari@ujjivan.com;ashish.das@ujjivan.com;;;</v>
      </c>
      <c r="L302" s="62" t="str">
        <f>VLOOKUP($B302,Sheet4!$B:$E,4,0)</f>
        <v xml:space="preserve">ori-ainthapalli-branch@ujjivan.com;helpdeskkolkata@ujjivan.com; </v>
      </c>
      <c r="M302" s="65" t="s">
        <v>1261</v>
      </c>
      <c r="N302" s="68" t="str">
        <f t="shared" si="10"/>
        <v xml:space="preserve">Dear Team, Please find attached list of prospect clients for REPEAT GL-LOANS (clients who have taken earlier an GL Loan) for you branch.
Thanks &amp; Regards,
MIS Team
</v>
      </c>
      <c r="O302" s="66" t="s">
        <v>1028</v>
      </c>
      <c r="X302" s="68" t="s">
        <v>3573</v>
      </c>
      <c r="Y302" s="120" t="s">
        <v>4924</v>
      </c>
      <c r="Z302" s="119" t="s">
        <v>3572</v>
      </c>
    </row>
    <row r="303" spans="1:26" ht="15.75" x14ac:dyDescent="0.25">
      <c r="A303" s="61" t="s">
        <v>599</v>
      </c>
      <c r="B303" s="147" t="s">
        <v>708</v>
      </c>
      <c r="C303" s="62" t="s">
        <v>3445</v>
      </c>
      <c r="D303" s="62" t="str">
        <f t="shared" si="9"/>
        <v>kanchan.das@ujjivan.com;nirmalendu.saha@ujjivan.com;mithun.chakraborty@ujjivan.com;</v>
      </c>
      <c r="E303" s="62" t="s">
        <v>3707</v>
      </c>
      <c r="F303" s="62" t="s">
        <v>4073</v>
      </c>
      <c r="G303" s="62" t="s">
        <v>4557</v>
      </c>
      <c r="H303" s="62" t="s">
        <v>699</v>
      </c>
      <c r="I303" s="62" t="s">
        <v>602</v>
      </c>
      <c r="J303" s="67" t="s">
        <v>4401</v>
      </c>
      <c r="K303" s="62" t="str">
        <f>VLOOKUP(B303,Sheet5!$A$1:$H$471,8,0)</f>
        <v>nirmalendu.saha@ujjivan.com;surajit.barman@ujjivan.com;subhankar.chakraborty@ujjivan.com;mithun.chakraborty@ujjivan.com;;;</v>
      </c>
      <c r="L303" s="62" t="str">
        <f>VLOOKUP($B303,Sheet4!$B:$E,4,0)</f>
        <v xml:space="preserve">cal-balurghat-branch@ujjivan.com ;helpdeskkolkata@ujjivan.com; </v>
      </c>
      <c r="M303" s="62" t="s">
        <v>1270</v>
      </c>
      <c r="N303" s="68" t="str">
        <f t="shared" si="10"/>
        <v xml:space="preserve">Dear Team, Please find attached list of prospect clients for REPEAT GL-LOANS (clients who have taken earlier an GL Loan) for you branch.
Thanks &amp; Regards,
MIS Team
</v>
      </c>
      <c r="O303" s="63" t="s">
        <v>1028</v>
      </c>
      <c r="X303" s="68" t="s">
        <v>3573</v>
      </c>
      <c r="Y303" s="120" t="s">
        <v>4924</v>
      </c>
      <c r="Z303" s="119" t="s">
        <v>3572</v>
      </c>
    </row>
    <row r="304" spans="1:26" ht="15.75" x14ac:dyDescent="0.25">
      <c r="A304" s="64" t="s">
        <v>599</v>
      </c>
      <c r="B304" s="148" t="s">
        <v>709</v>
      </c>
      <c r="C304" s="62" t="s">
        <v>3446</v>
      </c>
      <c r="D304" s="62" t="str">
        <f t="shared" si="9"/>
        <v>dipankar.lodh@ujjivan.com;chandan.ray@ujjivan.com;mithun.chakraborty@ujjivan.com;</v>
      </c>
      <c r="E304" s="62" t="s">
        <v>2721</v>
      </c>
      <c r="F304" s="62" t="s">
        <v>4075</v>
      </c>
      <c r="G304" s="62" t="s">
        <v>4557</v>
      </c>
      <c r="H304" s="65" t="s">
        <v>699</v>
      </c>
      <c r="I304" s="65" t="s">
        <v>602</v>
      </c>
      <c r="J304" s="67" t="s">
        <v>4401</v>
      </c>
      <c r="K304" s="62" t="str">
        <f>VLOOKUP(B304,Sheet5!$A$1:$H$471,8,0)</f>
        <v>mithun.chatterjee@ujjivan.com;chandan.ray@ujjivan.com;sujit.saha@ujjivan.com;mithun.chakraborty@ujjivan.com;;;</v>
      </c>
      <c r="L304" s="62" t="str">
        <f>VLOOKUP($B304,Sheet4!$B:$E,4,0)</f>
        <v xml:space="preserve">cal-jalpaiguri-branch@ujjivan.com ;helpdeskkolkata@ujjivan.com; </v>
      </c>
      <c r="M304" s="65" t="s">
        <v>1317</v>
      </c>
      <c r="N304" s="68" t="str">
        <f t="shared" si="10"/>
        <v xml:space="preserve">Dear Team, Please find attached list of prospect clients for REPEAT GL-LOANS (clients who have taken earlier an GL Loan) for you branch.
Thanks &amp; Regards,
MIS Team
</v>
      </c>
      <c r="O304" s="66" t="s">
        <v>1028</v>
      </c>
      <c r="X304" s="68" t="s">
        <v>3573</v>
      </c>
      <c r="Y304" s="120" t="s">
        <v>4924</v>
      </c>
      <c r="Z304" s="119" t="s">
        <v>3572</v>
      </c>
    </row>
    <row r="305" spans="1:26" ht="15.75" x14ac:dyDescent="0.25">
      <c r="A305" s="61" t="s">
        <v>599</v>
      </c>
      <c r="B305" s="147" t="s">
        <v>710</v>
      </c>
      <c r="C305" s="62" t="s">
        <v>3447</v>
      </c>
      <c r="D305" s="62" t="str">
        <f t="shared" si="9"/>
        <v>suvankar.chaudhury@ujjivan.com;prasenjit.laskar@ujjivan.com;mithun.chakraborty@ujjivan.com;</v>
      </c>
      <c r="E305" s="62" t="s">
        <v>711</v>
      </c>
      <c r="F305" s="62" t="s">
        <v>4076</v>
      </c>
      <c r="G305" s="62" t="s">
        <v>4557</v>
      </c>
      <c r="H305" s="62" t="s">
        <v>699</v>
      </c>
      <c r="I305" s="62" t="s">
        <v>602</v>
      </c>
      <c r="J305" s="67" t="s">
        <v>4401</v>
      </c>
      <c r="K305" s="62" t="str">
        <f>VLOOKUP(B305,Sheet5!$A$1:$H$471,8,0)</f>
        <v>suvankar.chaudhury@ujjivan.com;prasenjit.laskar@ujjivan.com;subhankar.chakraborty@ujjivan.com;mithun.chakraborty@ujjivan.com;;;</v>
      </c>
      <c r="L305" s="62" t="str">
        <f>VLOOKUP($B305,Sheet4!$B:$E,4,0)</f>
        <v xml:space="preserve">cal-kaliaganj-branch@ujjivan.com ;helpdeskkolkata@ujjivan.com; </v>
      </c>
      <c r="M305" s="62" t="s">
        <v>1325</v>
      </c>
      <c r="N305" s="68" t="str">
        <f t="shared" si="10"/>
        <v xml:space="preserve">Dear Team, Please find attached list of prospect clients for REPEAT GL-LOANS (clients who have taken earlier an GL Loan) for you branch.
Thanks &amp; Regards,
MIS Team
</v>
      </c>
      <c r="O305" s="63" t="s">
        <v>1028</v>
      </c>
      <c r="X305" s="68" t="s">
        <v>3573</v>
      </c>
      <c r="Y305" s="120" t="s">
        <v>4924</v>
      </c>
      <c r="Z305" s="119" t="s">
        <v>3572</v>
      </c>
    </row>
    <row r="306" spans="1:26" ht="346.5" x14ac:dyDescent="0.25">
      <c r="A306" s="64" t="s">
        <v>599</v>
      </c>
      <c r="B306" s="148" t="s">
        <v>712</v>
      </c>
      <c r="C306" s="62" t="s">
        <v>3448</v>
      </c>
      <c r="D306" s="62" t="str">
        <f t="shared" si="9"/>
        <v>ramdayal.roy@ujjivan.com;sumankundu@ujjivan.com;mithun.chakraborty@ujjivan.com;</v>
      </c>
      <c r="E306" s="62" t="s">
        <v>3708</v>
      </c>
      <c r="F306" s="62" t="s">
        <v>4462</v>
      </c>
      <c r="G306" s="62" t="s">
        <v>4557</v>
      </c>
      <c r="H306" s="65" t="s">
        <v>699</v>
      </c>
      <c r="I306" s="65" t="s">
        <v>602</v>
      </c>
      <c r="J306" s="67" t="s">
        <v>4401</v>
      </c>
      <c r="K306" s="62" t="str">
        <f>VLOOKUP(B306,Sheet5!$A$1:$H$471,8,0)</f>
        <v>ramdayal.roy@ujjivan.com;sumankundu@ujjivan.com;subhankar.chakraborty@ujjivan.com;mithun.chakraborty@ujjivan.com;;;</v>
      </c>
      <c r="L306" s="62" t="str">
        <f>VLOOKUP($B306,Sheet4!$B:$E,4,0)</f>
        <v xml:space="preserve">cal-raiganj-branch@ujjivan.com ;helpdeskkolkata@ujjivan.com; </v>
      </c>
      <c r="M306" s="65" t="s">
        <v>1357</v>
      </c>
      <c r="N306" s="68" t="str">
        <f t="shared" si="10"/>
        <v xml:space="preserve">Dear Team, Please find attached list of prospect clients for REPEAT GL-LOANS (clients who have taken earlier an GL Loan) for you branch.
Thanks &amp; Regards,
MIS Team
</v>
      </c>
      <c r="O306" s="66" t="s">
        <v>1028</v>
      </c>
      <c r="X306" s="68" t="s">
        <v>3573</v>
      </c>
      <c r="Y306" s="120" t="s">
        <v>4924</v>
      </c>
      <c r="Z306" s="153" t="s">
        <v>3572</v>
      </c>
    </row>
    <row r="307" spans="1:26" ht="330.75" x14ac:dyDescent="0.25">
      <c r="A307" s="61" t="s">
        <v>599</v>
      </c>
      <c r="B307" s="147" t="s">
        <v>713</v>
      </c>
      <c r="C307" s="62" t="s">
        <v>3449</v>
      </c>
      <c r="D307" s="62" t="str">
        <f t="shared" si="9"/>
        <v>mithun.chatterjee@ujjivan.com;krishna.adhikari@ujjivan.com;mithun.chakraborty@ujjivan.com;</v>
      </c>
      <c r="E307" s="62" t="s">
        <v>2723</v>
      </c>
      <c r="F307" s="62" t="s">
        <v>4079</v>
      </c>
      <c r="G307" s="62" t="s">
        <v>4557</v>
      </c>
      <c r="H307" s="62" t="s">
        <v>699</v>
      </c>
      <c r="I307" s="62" t="s">
        <v>602</v>
      </c>
      <c r="J307" s="67" t="s">
        <v>4401</v>
      </c>
      <c r="K307" s="62" t="str">
        <f>VLOOKUP(B307,Sheet5!$A$1:$H$471,8,0)</f>
        <v>nantu.paul@ujjivan.com;chetananand.tiwary@ujjivan.com;sujit.saha@ujjivan.com;mithun.chakraborty@ujjivan.com;;;</v>
      </c>
      <c r="L307" s="62" t="str">
        <f>VLOOKUP($B307,Sheet4!$B:$E,4,0)</f>
        <v xml:space="preserve">cal-siliguri-branch@ujjivan.com ;helpdeskkolkata@ujjivan.com; </v>
      </c>
      <c r="M307" s="62" t="s">
        <v>1369</v>
      </c>
      <c r="N307" s="68" t="str">
        <f t="shared" si="10"/>
        <v xml:space="preserve">Dear Team, Please find attached list of prospect clients for REPEAT GL-LOANS (clients who have taken earlier an GL Loan) for you branch.
Thanks &amp; Regards,
MIS Team
</v>
      </c>
      <c r="O307" s="63" t="s">
        <v>1028</v>
      </c>
      <c r="X307" s="68" t="s">
        <v>3573</v>
      </c>
      <c r="Y307" s="120" t="s">
        <v>4924</v>
      </c>
      <c r="Z307" s="153" t="s">
        <v>4560</v>
      </c>
    </row>
    <row r="308" spans="1:26" ht="346.5" x14ac:dyDescent="0.25">
      <c r="A308" s="64" t="s">
        <v>599</v>
      </c>
      <c r="B308" s="148" t="s">
        <v>1011</v>
      </c>
      <c r="C308" s="62" t="s">
        <v>2959</v>
      </c>
      <c r="D308" s="62" t="str">
        <f t="shared" si="9"/>
        <v>sanjib.sarkar@ujjivan.com;mustafa.hussain@ujjivan.com;indrajit.baishya@ujjivan.com;</v>
      </c>
      <c r="E308" s="62" t="s">
        <v>2958</v>
      </c>
      <c r="F308" s="62" t="s">
        <v>4082</v>
      </c>
      <c r="G308" s="62" t="s">
        <v>715</v>
      </c>
      <c r="H308" s="65" t="s">
        <v>699</v>
      </c>
      <c r="I308" s="65" t="s">
        <v>602</v>
      </c>
      <c r="J308" s="67" t="s">
        <v>4401</v>
      </c>
      <c r="K308" s="62" t="str">
        <f>VLOOKUP(B308,Sheet5!$A$1:$H$471,8,0)</f>
        <v>sanjib.sarkar@ujjivan.com;mustafa.hussain@ujjivan.com;kedar.chetry@ujjivan.com;indrajit.baishya@ujjivan.com;;;</v>
      </c>
      <c r="L308" s="62" t="str">
        <f>VLOOKUP($B308,Sheet4!$B:$E,4,0)</f>
        <v xml:space="preserve">ne-dispur-branch@ujjivan.com ;helpdeskkolkata@ujjivan.com; </v>
      </c>
      <c r="M308" s="65" t="s">
        <v>1300</v>
      </c>
      <c r="N308" s="68" t="str">
        <f t="shared" si="10"/>
        <v xml:space="preserve">Dear Team, Please find attached list of prospect clients for REPEAT GL-LOANS (clients who have taken earlier an GL Loan) for you branch.
Thanks &amp; Regards,
MIS Team
</v>
      </c>
      <c r="O308" s="66" t="s">
        <v>1028</v>
      </c>
      <c r="X308" s="68" t="s">
        <v>3573</v>
      </c>
      <c r="Y308" s="120" t="s">
        <v>4924</v>
      </c>
      <c r="Z308" s="153" t="s">
        <v>3572</v>
      </c>
    </row>
    <row r="309" spans="1:26" ht="15.75" x14ac:dyDescent="0.25">
      <c r="A309" s="61" t="s">
        <v>599</v>
      </c>
      <c r="B309" s="147" t="s">
        <v>714</v>
      </c>
      <c r="C309" s="62" t="s">
        <v>3450</v>
      </c>
      <c r="D309" s="62" t="str">
        <f t="shared" si="9"/>
        <v>prashanta.thakur@ujjivan.com;nayanjyoti.kalita@ujjivan.com;indrajit.baishya@ujjivan.com;</v>
      </c>
      <c r="E309" s="62" t="s">
        <v>3201</v>
      </c>
      <c r="F309" s="62" t="s">
        <v>4083</v>
      </c>
      <c r="G309" s="62" t="s">
        <v>715</v>
      </c>
      <c r="H309" s="62" t="s">
        <v>699</v>
      </c>
      <c r="I309" s="62" t="s">
        <v>602</v>
      </c>
      <c r="J309" s="67" t="s">
        <v>4401</v>
      </c>
      <c r="K309" s="62" t="str">
        <f>VLOOKUP(B309,Sheet5!$A$1:$H$471,8,0)</f>
        <v>indrajit.deka@ujjivan.com;bishal.bhattacharjee@ujjivan.com;himangshu.patgiri@ujjivan.com;indrajit.baishya@ujjivan.com;;;</v>
      </c>
      <c r="L309" s="62" t="str">
        <f>VLOOKUP($B309,Sheet4!$B:$E,4,0)</f>
        <v xml:space="preserve">ne-kalapahar-branch@ujjivan.com ;helpdeskkolkata@ujjivan.com; </v>
      </c>
      <c r="M309" s="62" t="s">
        <v>1324</v>
      </c>
      <c r="N309" s="68" t="str">
        <f t="shared" si="10"/>
        <v xml:space="preserve">Dear Team, Please find attached list of prospect clients for REPEAT GL-LOANS (clients who have taken earlier an GL Loan) for you branch.
Thanks &amp; Regards,
MIS Team
</v>
      </c>
      <c r="O309" s="63" t="s">
        <v>1028</v>
      </c>
      <c r="X309" s="68" t="s">
        <v>3573</v>
      </c>
      <c r="Y309" s="120" t="s">
        <v>4924</v>
      </c>
      <c r="Z309" s="119" t="s">
        <v>3572</v>
      </c>
    </row>
    <row r="310" spans="1:26" ht="15.75" x14ac:dyDescent="0.25">
      <c r="A310" s="64" t="s">
        <v>599</v>
      </c>
      <c r="B310" s="148" t="s">
        <v>716</v>
      </c>
      <c r="C310" s="62" t="s">
        <v>3451</v>
      </c>
      <c r="D310" s="62" t="str">
        <f t="shared" si="9"/>
        <v>krishna.basumatary@ujjivan.com;mojjamil.hoque@ujjivan.com;indrajit.baishya@ujjivan.com;</v>
      </c>
      <c r="E310" s="62" t="s">
        <v>3709</v>
      </c>
      <c r="F310" s="62" t="s">
        <v>4463</v>
      </c>
      <c r="G310" s="62" t="s">
        <v>715</v>
      </c>
      <c r="H310" s="65" t="s">
        <v>699</v>
      </c>
      <c r="I310" s="65" t="s">
        <v>602</v>
      </c>
      <c r="J310" s="67" t="s">
        <v>4401</v>
      </c>
      <c r="K310" s="62" t="str">
        <f>VLOOKUP(B310,Sheet5!$A$1:$H$471,8,0)</f>
        <v>koushik.kalita@ujjivan.com;mojjamil.hoque@ujjivan.com;kedar.chetry@ujjivan.com;indrajit.baishya@ujjivan.com;;;</v>
      </c>
      <c r="L310" s="62" t="str">
        <f>VLOOKUP($B310,Sheet4!$B:$E,4,0)</f>
        <v xml:space="preserve">ne-maligaon-branch@ujjivan.com ;helpdeskkolkata@ujjivan.com; </v>
      </c>
      <c r="M310" s="65" t="s">
        <v>1336</v>
      </c>
      <c r="N310" s="68" t="str">
        <f t="shared" si="10"/>
        <v xml:space="preserve">Dear Team, Please find attached list of prospect clients for REPEAT GL-LOANS (clients who have taken earlier an GL Loan) for you branch.
Thanks &amp; Regards,
MIS Team
</v>
      </c>
      <c r="O310" s="66" t="s">
        <v>1028</v>
      </c>
      <c r="X310" s="68" t="s">
        <v>3573</v>
      </c>
      <c r="Y310" s="120" t="s">
        <v>4924</v>
      </c>
      <c r="Z310" s="119" t="s">
        <v>3572</v>
      </c>
    </row>
    <row r="311" spans="1:26" ht="15.75" x14ac:dyDescent="0.25">
      <c r="A311" s="61" t="s">
        <v>599</v>
      </c>
      <c r="B311" s="147" t="s">
        <v>717</v>
      </c>
      <c r="C311" s="62" t="s">
        <v>4558</v>
      </c>
      <c r="D311" s="62" t="e">
        <f t="shared" si="9"/>
        <v>#N/A</v>
      </c>
      <c r="E311" s="62">
        <v>0</v>
      </c>
      <c r="F311" s="62" t="e">
        <v>#N/A</v>
      </c>
      <c r="G311" s="62" t="e">
        <v>#N/A</v>
      </c>
      <c r="H311" s="62" t="s">
        <v>699</v>
      </c>
      <c r="I311" s="62" t="s">
        <v>602</v>
      </c>
      <c r="J311" s="67" t="s">
        <v>4401</v>
      </c>
      <c r="K311" s="62" t="str">
        <f>VLOOKUP(B311,Sheet5!$A$1:$H$471,8,0)</f>
        <v>;;;;;;</v>
      </c>
      <c r="L311" s="62" t="str">
        <f>VLOOKUP($B311,Sheet4!$B:$E,4,0)</f>
        <v xml:space="preserve">ne-mawlai-branch@ujjivan.com ;helpdeskkolkata@ujjivan.com; </v>
      </c>
      <c r="M311" s="62" t="s">
        <v>1339</v>
      </c>
      <c r="N311" s="68"/>
      <c r="O311" s="63" t="s">
        <v>1028</v>
      </c>
      <c r="X311" s="68" t="s">
        <v>3573</v>
      </c>
      <c r="Y311" s="120" t="s">
        <v>4924</v>
      </c>
      <c r="Z311" s="119" t="s">
        <v>3572</v>
      </c>
    </row>
    <row r="312" spans="1:26" ht="15.75" x14ac:dyDescent="0.25">
      <c r="A312" s="64" t="s">
        <v>599</v>
      </c>
      <c r="B312" s="148" t="s">
        <v>718</v>
      </c>
      <c r="C312" s="62" t="s">
        <v>3452</v>
      </c>
      <c r="D312" s="62" t="str">
        <f t="shared" si="9"/>
        <v>jyotirmoy.mahanta@ujjivan.com;sahin.basuniya@ujjivan.com;mithun.chakraborty@ujjivan.com;</v>
      </c>
      <c r="E312" s="62" t="s">
        <v>3205</v>
      </c>
      <c r="F312" s="62" t="s">
        <v>3206</v>
      </c>
      <c r="G312" s="62" t="s">
        <v>4557</v>
      </c>
      <c r="H312" s="65" t="s">
        <v>699</v>
      </c>
      <c r="I312" s="65" t="s">
        <v>602</v>
      </c>
      <c r="J312" s="67" t="s">
        <v>4401</v>
      </c>
      <c r="K312" s="62" t="str">
        <f>VLOOKUP(B312,Sheet5!$A$1:$H$471,8,0)</f>
        <v>jyotirmoy.mahanta@ujjivan.com;sahin.basuniya@ujjivan.com;sujit.saha@ujjivan.com;mithun.chakraborty@ujjivan.com;;;</v>
      </c>
      <c r="L312" s="62" t="str">
        <f>VLOOKUP($B312,Sheet4!$B:$E,4,0)</f>
        <v xml:space="preserve">cal-coochbehar-branch@ujjivan.com ;helpdeskkolkata@ujjivan.com; </v>
      </c>
      <c r="M312" s="65" t="s">
        <v>1292</v>
      </c>
      <c r="N312" s="68" t="str">
        <f t="shared" si="10"/>
        <v xml:space="preserve">Dear Team, Please find attached list of prospect clients for REPEAT GL-LOANS (clients who have taken earlier an GL Loan) for you branch.
Thanks &amp; Regards,
MIS Team
</v>
      </c>
      <c r="O312" s="66" t="s">
        <v>1028</v>
      </c>
      <c r="X312" s="68" t="s">
        <v>3573</v>
      </c>
      <c r="Y312" s="120" t="s">
        <v>4924</v>
      </c>
      <c r="Z312" s="119" t="s">
        <v>3572</v>
      </c>
    </row>
    <row r="313" spans="1:26" ht="15.75" x14ac:dyDescent="0.25">
      <c r="A313" s="61" t="s">
        <v>599</v>
      </c>
      <c r="B313" s="147" t="s">
        <v>720</v>
      </c>
      <c r="C313" s="62" t="s">
        <v>3453</v>
      </c>
      <c r="D313" s="62" t="str">
        <f t="shared" si="9"/>
        <v>biplab.roy@ujjivan.com;ratan.sarkar@ujjivan.com;mithun.chakraborty@ujjivan.com;</v>
      </c>
      <c r="E313" s="62" t="s">
        <v>741</v>
      </c>
      <c r="F313" s="62" t="s">
        <v>4072</v>
      </c>
      <c r="G313" s="62" t="s">
        <v>4557</v>
      </c>
      <c r="H313" s="62" t="s">
        <v>699</v>
      </c>
      <c r="I313" s="62" t="s">
        <v>602</v>
      </c>
      <c r="J313" s="67" t="s">
        <v>4401</v>
      </c>
      <c r="K313" s="62" t="str">
        <f>VLOOKUP(B313,Sheet5!$A$1:$H$471,8,0)</f>
        <v>biplab.roy@ujjivan.com;ratan.sarkar@ujjivan.com;sujit.saha@ujjivan.com;mithun.chakraborty@ujjivan.com;;;</v>
      </c>
      <c r="L313" s="62" t="str">
        <f>VLOOKUP($B313,Sheet4!$B:$E,4,0)</f>
        <v xml:space="preserve">cal-alipurduar-branch@ujjivan.com ;helpdeskkolkata@ujjivan.com; </v>
      </c>
      <c r="M313" s="62" t="s">
        <v>1262</v>
      </c>
      <c r="N313" s="68" t="str">
        <f t="shared" si="10"/>
        <v xml:space="preserve">Dear Team, Please find attached list of prospect clients for REPEAT GL-LOANS (clients who have taken earlier an GL Loan) for you branch.
Thanks &amp; Regards,
MIS Team
</v>
      </c>
      <c r="O313" s="63" t="s">
        <v>1028</v>
      </c>
      <c r="X313" s="68" t="s">
        <v>3573</v>
      </c>
      <c r="Y313" s="120" t="s">
        <v>4924</v>
      </c>
      <c r="Z313" s="119" t="s">
        <v>3572</v>
      </c>
    </row>
    <row r="314" spans="1:26" ht="15.75" x14ac:dyDescent="0.25">
      <c r="A314" s="64" t="s">
        <v>599</v>
      </c>
      <c r="B314" s="148" t="s">
        <v>721</v>
      </c>
      <c r="C314" s="62" t="s">
        <v>3454</v>
      </c>
      <c r="D314" s="62" t="str">
        <f t="shared" si="9"/>
        <v>santa.chettri@ujjivan.com;kyrshanskhem.laloo@ujjivan.com;indrajit.baishya@ujjivan.com;</v>
      </c>
      <c r="E314" s="62" t="s">
        <v>3710</v>
      </c>
      <c r="F314" s="62" t="s">
        <v>4464</v>
      </c>
      <c r="G314" s="62" t="s">
        <v>715</v>
      </c>
      <c r="H314" s="65" t="s">
        <v>699</v>
      </c>
      <c r="I314" s="65" t="s">
        <v>602</v>
      </c>
      <c r="J314" s="67" t="s">
        <v>4401</v>
      </c>
      <c r="K314" s="62" t="str">
        <f>VLOOKUP(B314,Sheet5!$A$1:$H$471,8,0)</f>
        <v>santa.chettri@ujjivan.com;;kedar.chetry@ujjivan.com;indrajit.baishya@ujjivan.com;;;</v>
      </c>
      <c r="L314" s="62" t="str">
        <f>VLOOKUP($B314,Sheet4!$B:$E,4,0)</f>
        <v xml:space="preserve">ne-policebazar@ujjivan.com ;helpdeskkolkata@ujjivan.com; </v>
      </c>
      <c r="M314" s="65" t="s">
        <v>1353</v>
      </c>
      <c r="N314" s="68" t="str">
        <f t="shared" si="10"/>
        <v xml:space="preserve">Dear Team, Please find attached list of prospect clients for REPEAT GL-LOANS (clients who have taken earlier an GL Loan) for you branch.
Thanks &amp; Regards,
MIS Team
</v>
      </c>
      <c r="O314" s="66" t="s">
        <v>1028</v>
      </c>
      <c r="X314" s="68" t="s">
        <v>3573</v>
      </c>
      <c r="Y314" s="120" t="s">
        <v>4924</v>
      </c>
      <c r="Z314" s="119" t="s">
        <v>3572</v>
      </c>
    </row>
    <row r="315" spans="1:26" ht="15.75" x14ac:dyDescent="0.25">
      <c r="A315" s="61" t="s">
        <v>599</v>
      </c>
      <c r="B315" s="147" t="s">
        <v>1010</v>
      </c>
      <c r="C315" s="62" t="s">
        <v>3455</v>
      </c>
      <c r="D315" s="62" t="str">
        <f t="shared" si="9"/>
        <v>khan.sazid@ujjivan.com;lambodara.bhoi@ujjivan.com;ashish.das@ujjivan.com;</v>
      </c>
      <c r="E315" s="62" t="s">
        <v>3711</v>
      </c>
      <c r="F315" s="62" t="s">
        <v>4465</v>
      </c>
      <c r="G315" s="62" t="s">
        <v>643</v>
      </c>
      <c r="H315" s="62" t="s">
        <v>628</v>
      </c>
      <c r="I315" s="62" t="s">
        <v>602</v>
      </c>
      <c r="J315" s="67" t="s">
        <v>4401</v>
      </c>
      <c r="K315" s="62" t="str">
        <f>VLOOKUP(B315,Sheet5!$A$1:$H$471,8,0)</f>
        <v>khan.sazid@ujjivan.com;lambodara.bhoi@ujjivan.com;sushanta.pujari@ujjivan.com;ashish.das@ujjivan.com;;;</v>
      </c>
      <c r="L315" s="62" t="str">
        <f>VLOOKUP($B315,Sheet4!$B:$E,4,0)</f>
        <v xml:space="preserve">ori-bargarh-branch@ujjivan.com ;helpdeskkolkata@ujjivan.com; </v>
      </c>
      <c r="M315" s="62" t="s">
        <v>1276</v>
      </c>
      <c r="N315" s="68" t="str">
        <f t="shared" si="10"/>
        <v xml:space="preserve">Dear Team, Please find attached list of prospect clients for REPEAT GL-LOANS (clients who have taken earlier an GL Loan) for you branch.
Thanks &amp; Regards,
MIS Team
</v>
      </c>
      <c r="O315" s="63" t="s">
        <v>1028</v>
      </c>
      <c r="X315" s="68" t="s">
        <v>3573</v>
      </c>
      <c r="Y315" s="120" t="s">
        <v>4924</v>
      </c>
      <c r="Z315" s="119" t="s">
        <v>3572</v>
      </c>
    </row>
    <row r="316" spans="1:26" ht="15.75" x14ac:dyDescent="0.25">
      <c r="A316" s="64" t="s">
        <v>599</v>
      </c>
      <c r="B316" s="148" t="s">
        <v>722</v>
      </c>
      <c r="C316" s="62" t="s">
        <v>3456</v>
      </c>
      <c r="D316" s="62" t="str">
        <f t="shared" si="9"/>
        <v>abhilash.joshi@ujjivan.com;manas.roul@ujjivan.com;ashish.das@ujjivan.com;</v>
      </c>
      <c r="E316" s="62" t="s">
        <v>2731</v>
      </c>
      <c r="F316" s="62" t="s">
        <v>4106</v>
      </c>
      <c r="G316" s="62" t="s">
        <v>643</v>
      </c>
      <c r="H316" s="65" t="s">
        <v>628</v>
      </c>
      <c r="I316" s="65" t="s">
        <v>602</v>
      </c>
      <c r="J316" s="67" t="s">
        <v>4401</v>
      </c>
      <c r="K316" s="62" t="str">
        <f>VLOOKUP(B316,Sheet5!$A$1:$H$471,8,0)</f>
        <v>umakanta.mohanty@ujjivan.com;manas.roul@ujjivan.com;sushanta.pujari@ujjivan.com;ashish.das@ujjivan.com;;;</v>
      </c>
      <c r="L316" s="62" t="str">
        <f>VLOOKUP($B316,Sheet4!$B:$E,4,0)</f>
        <v xml:space="preserve">ori-jharsuguda-branch@ujjivan.com ;helpdeskkolkata@ujjivan.com; </v>
      </c>
      <c r="M316" s="65" t="s">
        <v>1320</v>
      </c>
      <c r="N316" s="68" t="str">
        <f t="shared" si="10"/>
        <v xml:space="preserve">Dear Team, Please find attached list of prospect clients for REPEAT GL-LOANS (clients who have taken earlier an GL Loan) for you branch.
Thanks &amp; Regards,
MIS Team
</v>
      </c>
      <c r="O316" s="66" t="s">
        <v>1028</v>
      </c>
      <c r="X316" s="68" t="s">
        <v>3573</v>
      </c>
      <c r="Y316" s="120" t="s">
        <v>4924</v>
      </c>
      <c r="Z316" s="119" t="s">
        <v>3572</v>
      </c>
    </row>
    <row r="317" spans="1:26" ht="15.75" x14ac:dyDescent="0.25">
      <c r="A317" s="61" t="s">
        <v>599</v>
      </c>
      <c r="B317" s="147" t="s">
        <v>723</v>
      </c>
      <c r="C317" s="62" t="s">
        <v>3457</v>
      </c>
      <c r="D317" s="62" t="e">
        <f t="shared" si="9"/>
        <v>#N/A</v>
      </c>
      <c r="E317" s="62" t="s">
        <v>659</v>
      </c>
      <c r="F317" s="62" t="e">
        <v>#N/A</v>
      </c>
      <c r="G317" s="62" t="e">
        <v>#N/A</v>
      </c>
      <c r="H317" s="62" t="s">
        <v>628</v>
      </c>
      <c r="I317" s="62" t="s">
        <v>602</v>
      </c>
      <c r="J317" s="67" t="s">
        <v>4401</v>
      </c>
      <c r="K317" s="62" t="str">
        <f>VLOOKUP(B317,Sheet5!$A$1:$H$471,8,0)</f>
        <v>saroj.mohapatra@ujjivan.com;ranjit.swain@ujjivan.com;sanjit.moharana@ujjivan.com;;;;</v>
      </c>
      <c r="L317" s="62" t="str">
        <f>VLOOKUP($B317,Sheet4!$B:$E,4,0)</f>
        <v xml:space="preserve">ori-phulanakhara-branch@ujjivan.com ;helpdeskkolkata@ujjivan.com; </v>
      </c>
      <c r="M317" s="62" t="s">
        <v>1352</v>
      </c>
      <c r="N317" s="68" t="str">
        <f t="shared" si="10"/>
        <v xml:space="preserve">Dear Team, Please find attached list of prospect clients for REPEAT GL-LOANS (clients who have taken earlier an GL Loan) for you branch.
Thanks &amp; Regards,
MIS Team
</v>
      </c>
      <c r="O317" s="63" t="s">
        <v>1028</v>
      </c>
      <c r="X317" s="68" t="s">
        <v>3573</v>
      </c>
      <c r="Y317" s="120" t="s">
        <v>4924</v>
      </c>
      <c r="Z317" s="119" t="s">
        <v>3572</v>
      </c>
    </row>
    <row r="318" spans="1:26" ht="15.75" x14ac:dyDescent="0.25">
      <c r="A318" s="64" t="s">
        <v>599</v>
      </c>
      <c r="B318" s="148" t="s">
        <v>724</v>
      </c>
      <c r="C318" s="62" t="s">
        <v>3458</v>
      </c>
      <c r="D318" s="62" t="str">
        <f t="shared" si="9"/>
        <v>dablu.kumar@ujjivan.com;sakaldip.sharma@ujjivan.com;amit.kumar@ujjivan.com;</v>
      </c>
      <c r="E318" s="62" t="s">
        <v>3712</v>
      </c>
      <c r="F318" s="62" t="s">
        <v>4132</v>
      </c>
      <c r="G318" s="62" t="s">
        <v>2788</v>
      </c>
      <c r="H318" s="65" t="s">
        <v>725</v>
      </c>
      <c r="I318" s="65" t="s">
        <v>602</v>
      </c>
      <c r="J318" s="67" t="s">
        <v>4401</v>
      </c>
      <c r="K318" s="62" t="str">
        <f>VLOOKUP(B318,Sheet5!$A$1:$H$471,8,0)</f>
        <v>dablu.kumar@ujjivan.com;sakaldip.sharma@ujjivan.com;ravi.shankar@ujjivan.com;amit.kumar@ujjivan.com;;;</v>
      </c>
      <c r="L318" s="62" t="str">
        <f>VLOOKUP($B318,Sheet4!$B:$E,4,0)</f>
        <v xml:space="preserve">bhr-sultanganj-branch@ujjivan.com;helpdeskkolkata@ujjivan.com; </v>
      </c>
      <c r="M318" s="65" t="s">
        <v>1373</v>
      </c>
      <c r="N318" s="68" t="str">
        <f t="shared" si="10"/>
        <v xml:space="preserve">Dear Team, Please find attached list of prospect clients for REPEAT GL-LOANS (clients who have taken earlier an GL Loan) for you branch.
Thanks &amp; Regards,
MIS Team
</v>
      </c>
      <c r="O318" s="66" t="s">
        <v>1028</v>
      </c>
      <c r="X318" s="68" t="s">
        <v>3573</v>
      </c>
      <c r="Y318" s="120" t="s">
        <v>4924</v>
      </c>
      <c r="Z318" s="119" t="s">
        <v>3572</v>
      </c>
    </row>
    <row r="319" spans="1:26" ht="15.75" x14ac:dyDescent="0.25">
      <c r="A319" s="61" t="s">
        <v>599</v>
      </c>
      <c r="B319" s="147" t="s">
        <v>727</v>
      </c>
      <c r="C319" s="62" t="s">
        <v>3459</v>
      </c>
      <c r="D319" s="62" t="str">
        <f t="shared" si="9"/>
        <v>mukesh.kumar@ujjivan.com;harishchandra.kumar@ujjivan.com;amit.kumar@ujjivan.com;</v>
      </c>
      <c r="E319" s="62" t="s">
        <v>824</v>
      </c>
      <c r="F319" s="62" t="s">
        <v>4126</v>
      </c>
      <c r="G319" s="62" t="s">
        <v>2788</v>
      </c>
      <c r="H319" s="62" t="s">
        <v>725</v>
      </c>
      <c r="I319" s="62" t="s">
        <v>602</v>
      </c>
      <c r="J319" s="67" t="s">
        <v>4401</v>
      </c>
      <c r="K319" s="62" t="str">
        <f>VLOOKUP(B319,Sheet5!$A$1:$H$471,8,0)</f>
        <v>mukesh.kumar@ujjivan.com;sakib.khalique@ujjivan.com;ravi.shankar@ujjivan.com;amit.kumar@ujjivan.com;;;</v>
      </c>
      <c r="L319" s="62" t="str">
        <f>VLOOKUP($B319,Sheet4!$B:$E,4,0)</f>
        <v xml:space="preserve">bhr-kahelgaon-branch@ujjivan.com ;helpdeskkolkata@ujjivan.com; </v>
      </c>
      <c r="M319" s="62" t="s">
        <v>1323</v>
      </c>
      <c r="N319" s="68" t="str">
        <f t="shared" si="10"/>
        <v xml:space="preserve">Dear Team, Please find attached list of prospect clients for REPEAT GL-LOANS (clients who have taken earlier an GL Loan) for you branch.
Thanks &amp; Regards,
MIS Team
</v>
      </c>
      <c r="O319" s="63" t="s">
        <v>1028</v>
      </c>
      <c r="X319" s="68" t="s">
        <v>3573</v>
      </c>
      <c r="Y319" s="120" t="s">
        <v>4924</v>
      </c>
      <c r="Z319" s="119" t="s">
        <v>3572</v>
      </c>
    </row>
    <row r="320" spans="1:26" ht="15.75" x14ac:dyDescent="0.25">
      <c r="A320" s="64" t="s">
        <v>599</v>
      </c>
      <c r="B320" s="148" t="s">
        <v>728</v>
      </c>
      <c r="C320" s="62" t="s">
        <v>3460</v>
      </c>
      <c r="D320" s="62" t="str">
        <f t="shared" si="9"/>
        <v>jitendra.kumar@ujjivan.com;kumar.sanjay@ujjivan.com;amit.kumar@ujjivan.com;</v>
      </c>
      <c r="E320" s="62" t="s">
        <v>729</v>
      </c>
      <c r="F320" s="62" t="s">
        <v>4117</v>
      </c>
      <c r="G320" s="62" t="s">
        <v>2788</v>
      </c>
      <c r="H320" s="65" t="s">
        <v>725</v>
      </c>
      <c r="I320" s="65" t="s">
        <v>602</v>
      </c>
      <c r="J320" s="67" t="s">
        <v>4401</v>
      </c>
      <c r="K320" s="62" t="str">
        <f>VLOOKUP(B320,Sheet5!$A$1:$H$471,8,0)</f>
        <v>jitendra.kumar@ujjivan.com;rupesh.kumar052@ujjivan.com;ravi.shankar@ujjivan.com;amit.kumar@ujjivan.com;;;</v>
      </c>
      <c r="L320" s="62" t="str">
        <f>VLOOKUP($B320,Sheet4!$B:$E,4,0)</f>
        <v xml:space="preserve">bhr-bhagalpurcentral-branch@ujjivan.com ;helpdeskkolkata@ujjivan.com; </v>
      </c>
      <c r="M320" s="65" t="s">
        <v>1281</v>
      </c>
      <c r="N320" s="68" t="str">
        <f t="shared" si="10"/>
        <v xml:space="preserve">Dear Team, Please find attached list of prospect clients for REPEAT GL-LOANS (clients who have taken earlier an GL Loan) for you branch.
Thanks &amp; Regards,
MIS Team
</v>
      </c>
      <c r="O320" s="66" t="s">
        <v>1028</v>
      </c>
      <c r="X320" s="68" t="s">
        <v>3573</v>
      </c>
      <c r="Y320" s="120" t="s">
        <v>4924</v>
      </c>
      <c r="Z320" s="119" t="s">
        <v>3572</v>
      </c>
    </row>
    <row r="321" spans="1:26" ht="15.75" x14ac:dyDescent="0.25">
      <c r="A321" s="61" t="s">
        <v>599</v>
      </c>
      <c r="B321" s="147" t="s">
        <v>730</v>
      </c>
      <c r="C321" s="62" t="s">
        <v>3461</v>
      </c>
      <c r="D321" s="62" t="str">
        <f t="shared" si="9"/>
        <v>mohan.routh@ujjivan.com;lovely.kumari@ujjivan.com;amit.kumar@ujjivan.com;</v>
      </c>
      <c r="E321" s="62" t="s">
        <v>1020</v>
      </c>
      <c r="F321" s="62" t="s">
        <v>4466</v>
      </c>
      <c r="G321" s="62" t="s">
        <v>2788</v>
      </c>
      <c r="H321" s="62" t="s">
        <v>725</v>
      </c>
      <c r="I321" s="62" t="s">
        <v>602</v>
      </c>
      <c r="J321" s="67" t="s">
        <v>4401</v>
      </c>
      <c r="K321" s="62" t="str">
        <f>VLOOKUP(B321,Sheet5!$A$1:$H$471,8,0)</f>
        <v>mohan.routh@ujjivan.com;lovely.kumari@ujjivan.com;ravi.shankar@ujjivan.com;amit.kumar@ujjivan.com;;;</v>
      </c>
      <c r="L321" s="62" t="str">
        <f>VLOOKUP($B321,Sheet4!$B:$E,4,0)</f>
        <v xml:space="preserve"> bhr-rnshahchowk-branch@ujjivan.com ;helpdeskkolkata@ujjivan.com; </v>
      </c>
      <c r="M321" s="62" t="s">
        <v>1356</v>
      </c>
      <c r="N321" s="68" t="str">
        <f t="shared" si="10"/>
        <v xml:space="preserve">Dear Team, Please find attached list of prospect clients for REPEAT GL-LOANS (clients who have taken earlier an GL Loan) for you branch.
Thanks &amp; Regards,
MIS Team
</v>
      </c>
      <c r="O321" s="63" t="s">
        <v>1028</v>
      </c>
      <c r="X321" s="68" t="s">
        <v>3573</v>
      </c>
      <c r="Y321" s="120" t="s">
        <v>4924</v>
      </c>
      <c r="Z321" s="119" t="s">
        <v>3572</v>
      </c>
    </row>
    <row r="322" spans="1:26" ht="15.75" x14ac:dyDescent="0.25">
      <c r="A322" s="64" t="s">
        <v>599</v>
      </c>
      <c r="B322" s="148" t="s">
        <v>731</v>
      </c>
      <c r="C322" s="62" t="s">
        <v>3462</v>
      </c>
      <c r="D322" s="62" t="str">
        <f t="shared" si="9"/>
        <v>sourav.chakraborty@ujjivan.com;das.pranjal@ujjivan.com;indrajit.baishya@ujjivan.com;</v>
      </c>
      <c r="E322" s="62" t="s">
        <v>3713</v>
      </c>
      <c r="F322" s="62" t="s">
        <v>4467</v>
      </c>
      <c r="G322" s="62" t="s">
        <v>715</v>
      </c>
      <c r="H322" s="65" t="s">
        <v>699</v>
      </c>
      <c r="I322" s="65" t="s">
        <v>602</v>
      </c>
      <c r="J322" s="67" t="s">
        <v>4401</v>
      </c>
      <c r="K322" s="62" t="str">
        <f>VLOOKUP(B322,Sheet5!$A$1:$H$471,8,0)</f>
        <v>sourav.chakraborty@ujjivan.com;;kedar.chetry@ujjivan.com;indrajit.baishya@ujjivan.com;;;</v>
      </c>
      <c r="L322" s="62" t="str">
        <f>VLOOKUP($B322,Sheet4!$B:$E,4,0)</f>
        <v xml:space="preserve"> ne-khanapara-branch@ujjivan.com ;helpdeskkolkata@ujjivan.com; </v>
      </c>
      <c r="M322" s="65" t="s">
        <v>1330</v>
      </c>
      <c r="N322" s="68" t="str">
        <f t="shared" si="10"/>
        <v xml:space="preserve">Dear Team, Please find attached list of prospect clients for REPEAT GL-LOANS (clients who have taken earlier an GL Loan) for you branch.
Thanks &amp; Regards,
MIS Team
</v>
      </c>
      <c r="O322" s="66" t="s">
        <v>1028</v>
      </c>
      <c r="X322" s="68" t="s">
        <v>3573</v>
      </c>
      <c r="Y322" s="120" t="s">
        <v>4924</v>
      </c>
      <c r="Z322" s="119" t="s">
        <v>3572</v>
      </c>
    </row>
    <row r="323" spans="1:26" ht="15.75" x14ac:dyDescent="0.25">
      <c r="A323" s="61" t="s">
        <v>599</v>
      </c>
      <c r="B323" s="147" t="s">
        <v>733</v>
      </c>
      <c r="C323" s="62" t="s">
        <v>3463</v>
      </c>
      <c r="D323" s="62" t="str">
        <f t="shared" si="9"/>
        <v>lekhan.konwar@ujjivan.com;sunil.mazumdar@ujjivan.com;indrajit.baishya@ujjivan.com;</v>
      </c>
      <c r="E323" s="62" t="s">
        <v>3714</v>
      </c>
      <c r="F323" s="62" t="s">
        <v>4468</v>
      </c>
      <c r="G323" s="62" t="s">
        <v>715</v>
      </c>
      <c r="H323" s="62" t="s">
        <v>699</v>
      </c>
      <c r="I323" s="62" t="s">
        <v>602</v>
      </c>
      <c r="J323" s="67" t="s">
        <v>4401</v>
      </c>
      <c r="K323" s="62" t="str">
        <f>VLOOKUP(B323,Sheet5!$A$1:$H$471,8,0)</f>
        <v>tarique.aziz@ujjivan.com;sunil.mazumdar@ujjivan.com;kedar.chetry@ujjivan.com;indrajit.baishya@ujjivan.com;;;</v>
      </c>
      <c r="L323" s="62" t="str">
        <f>VLOOKUP($B323,Sheet4!$B:$E,4,0)</f>
        <v xml:space="preserve"> ne-bamunimaidan-branch@ujjivan.com ;helpdeskkolkata@ujjivan.com; </v>
      </c>
      <c r="M323" s="62" t="s">
        <v>1271</v>
      </c>
      <c r="N323" s="68" t="str">
        <f t="shared" si="10"/>
        <v xml:space="preserve">Dear Team, Please find attached list of prospect clients for REPEAT GL-LOANS (clients who have taken earlier an GL Loan) for you branch.
Thanks &amp; Regards,
MIS Team
</v>
      </c>
      <c r="O323" s="63" t="s">
        <v>1028</v>
      </c>
      <c r="X323" s="68" t="s">
        <v>3573</v>
      </c>
      <c r="Y323" s="120" t="s">
        <v>4924</v>
      </c>
      <c r="Z323" s="119" t="s">
        <v>3572</v>
      </c>
    </row>
    <row r="324" spans="1:26" ht="15.75" x14ac:dyDescent="0.25">
      <c r="A324" s="64" t="s">
        <v>599</v>
      </c>
      <c r="B324" s="148" t="s">
        <v>735</v>
      </c>
      <c r="C324" s="62" t="s">
        <v>3464</v>
      </c>
      <c r="D324" s="62" t="str">
        <f t="shared" si="9"/>
        <v>sudip.manna@ujjivan.com;sudarshan.duyari@ujjivan.com;santanu.dey@ujjivan.com;</v>
      </c>
      <c r="E324" s="62" t="s">
        <v>3715</v>
      </c>
      <c r="F324" s="62" t="s">
        <v>4114</v>
      </c>
      <c r="G324" s="62" t="s">
        <v>610</v>
      </c>
      <c r="H324" s="65" t="s">
        <v>601</v>
      </c>
      <c r="I324" s="65" t="s">
        <v>602</v>
      </c>
      <c r="J324" s="67" t="s">
        <v>4401</v>
      </c>
      <c r="K324" s="62" t="str">
        <f>VLOOKUP(B324,Sheet5!$A$1:$H$471,8,0)</f>
        <v>sudarshan.duyari@ujjivan.com;atish.dey@ujjivan.com;anirban.biswas@ujjivan.com;santanu.dey@ujjivan.com;;;</v>
      </c>
      <c r="L324" s="62" t="str">
        <f>VLOOKUP($B324,Sheet4!$B:$E,4,0)</f>
        <v xml:space="preserve"> cal-sutahata-branch@ujjivan.com ;helpdeskkolkata@ujjivan.com; </v>
      </c>
      <c r="M324" s="65" t="s">
        <v>1375</v>
      </c>
      <c r="N324" s="68" t="str">
        <f t="shared" si="10"/>
        <v xml:space="preserve">Dear Team, Please find attached list of prospect clients for REPEAT GL-LOANS (clients who have taken earlier an GL Loan) for you branch.
Thanks &amp; Regards,
MIS Team
</v>
      </c>
      <c r="O324" s="66" t="s">
        <v>1028</v>
      </c>
      <c r="X324" s="68" t="s">
        <v>3573</v>
      </c>
      <c r="Y324" s="120" t="s">
        <v>4924</v>
      </c>
      <c r="Z324" s="119" t="s">
        <v>3572</v>
      </c>
    </row>
    <row r="325" spans="1:26" ht="15.75" x14ac:dyDescent="0.25">
      <c r="A325" s="61" t="s">
        <v>599</v>
      </c>
      <c r="B325" s="147" t="s">
        <v>736</v>
      </c>
      <c r="C325" s="62" t="s">
        <v>3465</v>
      </c>
      <c r="D325" s="62" t="str">
        <f t="shared" si="9"/>
        <v>chandan.mishra@ujjivan.com;shivkant.kumar@ujjivan.com;amit.kumar@ujjivan.com;</v>
      </c>
      <c r="E325" s="62" t="s">
        <v>3716</v>
      </c>
      <c r="F325" s="62" t="s">
        <v>4123</v>
      </c>
      <c r="G325" s="62" t="s">
        <v>2788</v>
      </c>
      <c r="H325" s="62" t="s">
        <v>628</v>
      </c>
      <c r="I325" s="62" t="s">
        <v>602</v>
      </c>
      <c r="J325" s="67" t="s">
        <v>4401</v>
      </c>
      <c r="K325" s="62" t="str">
        <f>VLOOKUP(B325,Sheet5!$A$1:$H$471,8,0)</f>
        <v>chandan.mishra@ujjivan.com;;kishor.kaushal@ujjivan.com;amit.kumar@ujjivan.com;;;</v>
      </c>
      <c r="L325" s="62" t="str">
        <f>VLOOKUP($B325,Sheet4!$B:$E,4,0)</f>
        <v xml:space="preserve">bhr-gaya-branch@ujjivan.com;helpdeskkolkata@ujjivan.com; </v>
      </c>
      <c r="M325" s="62" t="s">
        <v>1309</v>
      </c>
      <c r="N325" s="68" t="str">
        <f t="shared" ref="N325:N388" si="11">X325&amp;" "&amp; Y325&amp;", "&amp;Z325</f>
        <v xml:space="preserve">Dear Team, Please find attached list of prospect clients for REPEAT GL-LOANS (clients who have taken earlier an GL Loan) for you branch.
Thanks &amp; Regards,
MIS Team
</v>
      </c>
      <c r="O325" s="63" t="s">
        <v>1028</v>
      </c>
      <c r="X325" s="68" t="s">
        <v>3573</v>
      </c>
      <c r="Y325" s="120" t="s">
        <v>4924</v>
      </c>
      <c r="Z325" s="119" t="s">
        <v>3572</v>
      </c>
    </row>
    <row r="326" spans="1:26" ht="15.75" x14ac:dyDescent="0.25">
      <c r="A326" s="64" t="s">
        <v>599</v>
      </c>
      <c r="B326" s="148" t="s">
        <v>737</v>
      </c>
      <c r="C326" s="62" t="s">
        <v>3466</v>
      </c>
      <c r="D326" s="62" t="e">
        <f t="shared" ref="D326:D389" si="12">CONCATENATE(E326,";",F326,";",G326,";")</f>
        <v>#N/A</v>
      </c>
      <c r="E326" s="62" t="s">
        <v>3717</v>
      </c>
      <c r="F326" s="62" t="e">
        <v>#N/A</v>
      </c>
      <c r="G326" s="62" t="e">
        <v>#N/A</v>
      </c>
      <c r="H326" s="65" t="s">
        <v>628</v>
      </c>
      <c r="I326" s="65" t="s">
        <v>602</v>
      </c>
      <c r="J326" s="67" t="s">
        <v>4401</v>
      </c>
      <c r="K326" s="62" t="str">
        <f>VLOOKUP(B326,Sheet5!$A$1:$H$471,8,0)</f>
        <v>rajeevranjan.kumar@ujjivan.com;murli.prasad@ujjivan.com;shashi.choubey@ujjivan.com;;;;</v>
      </c>
      <c r="L326" s="62" t="str">
        <f>VLOOKUP($B326,Sheet4!$B:$E,4,0)</f>
        <v xml:space="preserve">bhr-jehanabad-branch@ujjivan.com;helpdeskkolkata@ujjivan.com; </v>
      </c>
      <c r="M326" s="65" t="s">
        <v>1318</v>
      </c>
      <c r="N326" s="68" t="str">
        <f t="shared" si="11"/>
        <v xml:space="preserve">Dear Team, Please find attached list of prospect clients for REPEAT GL-LOANS (clients who have taken earlier an GL Loan) for you branch.
Thanks &amp; Regards,
MIS Team
</v>
      </c>
      <c r="O326" s="66" t="s">
        <v>1028</v>
      </c>
      <c r="X326" s="68" t="s">
        <v>3573</v>
      </c>
      <c r="Y326" s="120" t="s">
        <v>4924</v>
      </c>
      <c r="Z326" s="119" t="s">
        <v>3572</v>
      </c>
    </row>
    <row r="327" spans="1:26" ht="15.75" x14ac:dyDescent="0.25">
      <c r="A327" s="61" t="s">
        <v>599</v>
      </c>
      <c r="B327" s="147" t="s">
        <v>738</v>
      </c>
      <c r="C327" s="62" t="s">
        <v>3467</v>
      </c>
      <c r="D327" s="62" t="str">
        <f t="shared" si="12"/>
        <v>nayan.borah@ujjivan.com;-;indrajit.baishya@ujjivan.com;</v>
      </c>
      <c r="E327" s="62" t="s">
        <v>3718</v>
      </c>
      <c r="F327" s="62" t="s">
        <v>3608</v>
      </c>
      <c r="G327" s="62" t="s">
        <v>715</v>
      </c>
      <c r="H327" s="62" t="s">
        <v>699</v>
      </c>
      <c r="I327" s="62" t="s">
        <v>602</v>
      </c>
      <c r="J327" s="67" t="s">
        <v>4401</v>
      </c>
      <c r="K327" s="62" t="str">
        <f>VLOOKUP(B327,Sheet5!$A$1:$H$471,8,0)</f>
        <v>nayan.borah@ujjivan.com;papu.kalita@ujjivan.com;himangshu.patgiri@ujjivan.com;indrajit.baishya@ujjivan.com;;;</v>
      </c>
      <c r="L327" s="62" t="str">
        <f>VLOOKUP($B327,Sheet4!$B:$E,4,0)</f>
        <v xml:space="preserve"> ne-azara-branch@ujjivan.com ;helpdeskkolkata@ujjivan.com; </v>
      </c>
      <c r="M327" s="62" t="s">
        <v>1265</v>
      </c>
      <c r="N327" s="68" t="str">
        <f t="shared" si="11"/>
        <v xml:space="preserve">Dear Team, Please find attached list of prospect clients for REPEAT GL-LOANS (clients who have taken earlier an GL Loan) for you branch.
Thanks &amp; Regards,
MIS Team
</v>
      </c>
      <c r="O327" s="63" t="s">
        <v>1028</v>
      </c>
      <c r="X327" s="68" t="s">
        <v>3573</v>
      </c>
      <c r="Y327" s="120" t="s">
        <v>4924</v>
      </c>
      <c r="Z327" s="119" t="s">
        <v>3572</v>
      </c>
    </row>
    <row r="328" spans="1:26" ht="15.75" x14ac:dyDescent="0.25">
      <c r="A328" s="64" t="s">
        <v>599</v>
      </c>
      <c r="B328" s="148" t="s">
        <v>739</v>
      </c>
      <c r="C328" s="62" t="s">
        <v>3468</v>
      </c>
      <c r="D328" s="62" t="str">
        <f t="shared" si="12"/>
        <v>haren.talukdar@ujjivan.com;gopal.pradhan@ujjivan.com;indrajit.baishya@ujjivan.com;</v>
      </c>
      <c r="E328" s="62" t="s">
        <v>2724</v>
      </c>
      <c r="F328" s="62" t="s">
        <v>4087</v>
      </c>
      <c r="G328" s="62" t="s">
        <v>715</v>
      </c>
      <c r="H328" s="65" t="s">
        <v>699</v>
      </c>
      <c r="I328" s="65" t="s">
        <v>602</v>
      </c>
      <c r="J328" s="67" t="s">
        <v>4401</v>
      </c>
      <c r="K328" s="62" t="str">
        <f>VLOOKUP(B328,Sheet5!$A$1:$H$471,8,0)</f>
        <v>bibhuti.borah@ujjivan.com;gopal.pradhan@ujjivan.com;himangshu.patgiri@ujjivan.com;indrajit.baishya@ujjivan.com;;;</v>
      </c>
      <c r="L328" s="62" t="str">
        <f>VLOOKUP($B328,Sheet4!$B:$E,4,0)</f>
        <v xml:space="preserve">ne-sualkuchi-branch@ujjivan.com;helpdeskkolkata@ujjivan.com; </v>
      </c>
      <c r="M328" s="65" t="s">
        <v>1371</v>
      </c>
      <c r="N328" s="68" t="str">
        <f t="shared" si="11"/>
        <v xml:space="preserve">Dear Team, Please find attached list of prospect clients for REPEAT GL-LOANS (clients who have taken earlier an GL Loan) for you branch.
Thanks &amp; Regards,
MIS Team
</v>
      </c>
      <c r="O328" s="66" t="s">
        <v>1028</v>
      </c>
      <c r="X328" s="68" t="s">
        <v>3573</v>
      </c>
      <c r="Y328" s="120" t="s">
        <v>4924</v>
      </c>
      <c r="Z328" s="119" t="s">
        <v>3572</v>
      </c>
    </row>
    <row r="329" spans="1:26" ht="15.75" x14ac:dyDescent="0.25">
      <c r="A329" s="61" t="s">
        <v>599</v>
      </c>
      <c r="B329" s="147" t="s">
        <v>740</v>
      </c>
      <c r="C329" s="62" t="s">
        <v>3469</v>
      </c>
      <c r="D329" s="62" t="str">
        <f t="shared" si="12"/>
        <v>indrajit.de@ujjivan.com;shankar.jha@ujjivan.com;mithun.chakraborty@ujjivan.com;</v>
      </c>
      <c r="E329" s="62" t="s">
        <v>3719</v>
      </c>
      <c r="F329" s="62" t="s">
        <v>4074</v>
      </c>
      <c r="G329" s="62" t="s">
        <v>4557</v>
      </c>
      <c r="H329" s="62" t="s">
        <v>699</v>
      </c>
      <c r="I329" s="62" t="s">
        <v>602</v>
      </c>
      <c r="J329" s="67" t="s">
        <v>4401</v>
      </c>
      <c r="K329" s="62" t="str">
        <f>VLOOKUP(B329,Sheet5!$A$1:$H$471,8,0)</f>
        <v>indrajit.de@ujjivan.com;shankar.jha@ujjivan.com;sujit.saha@ujjivan.com;mithun.chakraborty@ujjivan.com;;;</v>
      </c>
      <c r="L329" s="62" t="str">
        <f>VLOOKUP($B329,Sheet4!$B:$E,4,0)</f>
        <v xml:space="preserve"> cal-dhupguri-branch@ujjivan.com ;helpdeskkolkata@ujjivan.com; </v>
      </c>
      <c r="M329" s="62" t="s">
        <v>1299</v>
      </c>
      <c r="N329" s="68" t="str">
        <f t="shared" si="11"/>
        <v xml:space="preserve">Dear Team, Please find attached list of prospect clients for REPEAT GL-LOANS (clients who have taken earlier an GL Loan) for you branch.
Thanks &amp; Regards,
MIS Team
</v>
      </c>
      <c r="O329" s="63" t="s">
        <v>1028</v>
      </c>
      <c r="X329" s="68" t="s">
        <v>3573</v>
      </c>
      <c r="Y329" s="120" t="s">
        <v>4924</v>
      </c>
      <c r="Z329" s="119" t="s">
        <v>3572</v>
      </c>
    </row>
    <row r="330" spans="1:26" ht="15.75" x14ac:dyDescent="0.25">
      <c r="A330" s="64" t="s">
        <v>599</v>
      </c>
      <c r="B330" s="148" t="s">
        <v>742</v>
      </c>
      <c r="C330" s="62" t="s">
        <v>3470</v>
      </c>
      <c r="D330" s="62" t="str">
        <f t="shared" si="12"/>
        <v>saroj.singh@ujjivan.com;alok.kumar899@ujjivan.com;amit.kumar@ujjivan.com;</v>
      </c>
      <c r="E330" s="62" t="s">
        <v>2738</v>
      </c>
      <c r="F330" s="62" t="s">
        <v>4469</v>
      </c>
      <c r="G330" s="62" t="s">
        <v>2788</v>
      </c>
      <c r="H330" s="65" t="s">
        <v>725</v>
      </c>
      <c r="I330" s="65" t="s">
        <v>602</v>
      </c>
      <c r="J330" s="67" t="s">
        <v>4401</v>
      </c>
      <c r="K330" s="62" t="str">
        <f>VLOOKUP(B330,Sheet5!$A$1:$H$471,8,0)</f>
        <v>saroj.singh@ujjivan.com;alok.kumar899@ujjivan.com;shashi.choubey@ujjivan.com;amit.kumar@ujjivan.com;;;</v>
      </c>
      <c r="L330" s="62" t="str">
        <f>VLOOKUP($B330,Sheet4!$B:$E,4,0)</f>
        <v xml:space="preserve">bhr-maner-branch@ujjivan.com;helpdeskkolkata@ujjivan.com; </v>
      </c>
      <c r="M330" s="65" t="s">
        <v>1337</v>
      </c>
      <c r="N330" s="68" t="str">
        <f t="shared" si="11"/>
        <v xml:space="preserve">Dear Team, Please find attached list of prospect clients for REPEAT GL-LOANS (clients who have taken earlier an GL Loan) for you branch.
Thanks &amp; Regards,
MIS Team
</v>
      </c>
      <c r="O330" s="66" t="s">
        <v>1028</v>
      </c>
      <c r="X330" s="68" t="s">
        <v>3573</v>
      </c>
      <c r="Y330" s="120" t="s">
        <v>4924</v>
      </c>
      <c r="Z330" s="119" t="s">
        <v>3572</v>
      </c>
    </row>
    <row r="331" spans="1:26" ht="15.75" x14ac:dyDescent="0.25">
      <c r="A331" s="61" t="s">
        <v>599</v>
      </c>
      <c r="B331" s="147" t="s">
        <v>744</v>
      </c>
      <c r="C331" s="62" t="s">
        <v>3471</v>
      </c>
      <c r="D331" s="62" t="str">
        <f t="shared" si="12"/>
        <v>pankaj.dubey@ujjivan.com;sudhir.kumar266@ujjivan.com;amit.kumar@ujjivan.com;</v>
      </c>
      <c r="E331" s="62" t="s">
        <v>2742</v>
      </c>
      <c r="F331" s="62" t="s">
        <v>4119</v>
      </c>
      <c r="G331" s="62" t="s">
        <v>2788</v>
      </c>
      <c r="H331" s="62" t="s">
        <v>725</v>
      </c>
      <c r="I331" s="62" t="s">
        <v>602</v>
      </c>
      <c r="J331" s="67" t="s">
        <v>4401</v>
      </c>
      <c r="K331" s="62" t="str">
        <f>VLOOKUP(B331,Sheet5!$A$1:$H$471,8,0)</f>
        <v>pankaj.dubey@ujjivan.com;prince.pushkar@ujjivan.com;manish.choudhary@ujjivan.com;amit.kumar@ujjivan.com;;;</v>
      </c>
      <c r="L331" s="62" t="str">
        <f>VLOOKUP($B331,Sheet4!$B:$E,4,0)</f>
        <v xml:space="preserve">thippesh.j@ujjivan.com;helpdeskkolkata@ujjivan.com; </v>
      </c>
      <c r="M331" s="62" t="s">
        <v>1295</v>
      </c>
      <c r="N331" s="68" t="str">
        <f t="shared" si="11"/>
        <v xml:space="preserve">Dear Team, Please find attached list of prospect clients for REPEAT GL-LOANS (clients who have taken earlier an GL Loan) for you branch.
Thanks &amp; Regards,
MIS Team
</v>
      </c>
      <c r="O331" s="63" t="s">
        <v>1028</v>
      </c>
      <c r="X331" s="68" t="s">
        <v>3573</v>
      </c>
      <c r="Y331" s="120" t="s">
        <v>4924</v>
      </c>
      <c r="Z331" s="119" t="s">
        <v>3572</v>
      </c>
    </row>
    <row r="332" spans="1:26" ht="15.75" x14ac:dyDescent="0.25">
      <c r="A332" s="64" t="s">
        <v>599</v>
      </c>
      <c r="B332" s="148" t="s">
        <v>745</v>
      </c>
      <c r="C332" s="62" t="s">
        <v>3472</v>
      </c>
      <c r="D332" s="62" t="str">
        <f t="shared" si="12"/>
        <v>kundan.kumar@ujjivan.com;amar.sharma@ujjivan.com;amit.kumar@ujjivan.com;</v>
      </c>
      <c r="E332" s="62" t="s">
        <v>2741</v>
      </c>
      <c r="F332" s="62" t="s">
        <v>4131</v>
      </c>
      <c r="G332" s="62" t="s">
        <v>2788</v>
      </c>
      <c r="H332" s="65"/>
      <c r="I332" s="65" t="s">
        <v>602</v>
      </c>
      <c r="J332" s="67" t="s">
        <v>4401</v>
      </c>
      <c r="K332" s="62" t="str">
        <f>VLOOKUP(B332,Sheet5!$A$1:$H$471,8,0)</f>
        <v>kundan.kumar@ujjivan.com;amar.sharma@ujjivan.com;ravi.shankar@ujjivan.com;amit.kumar@ujjivan.com;;;</v>
      </c>
      <c r="L332" s="62" t="str">
        <f>VLOOKUP($B332,Sheet4!$B:$E,4,0)</f>
        <v xml:space="preserve">helpdesk@ujjivan.com;helpdeskkolkata@ujjivan.com; </v>
      </c>
      <c r="M332" s="65" t="s">
        <v>1362</v>
      </c>
      <c r="N332" s="68" t="str">
        <f t="shared" si="11"/>
        <v xml:space="preserve">Dear Team, Please find attached list of prospect clients for REPEAT GL-LOANS (clients who have taken earlier an GL Loan) for you branch.
Thanks &amp; Regards,
MIS Team
</v>
      </c>
      <c r="O332" s="66" t="s">
        <v>1028</v>
      </c>
      <c r="X332" s="68" t="s">
        <v>3573</v>
      </c>
      <c r="Y332" s="120" t="s">
        <v>4924</v>
      </c>
      <c r="Z332" s="119" t="s">
        <v>3572</v>
      </c>
    </row>
    <row r="333" spans="1:26" ht="15.75" x14ac:dyDescent="0.25">
      <c r="A333" s="61" t="s">
        <v>599</v>
      </c>
      <c r="B333" s="147" t="s">
        <v>746</v>
      </c>
      <c r="C333" s="62" t="e">
        <v>#N/A</v>
      </c>
      <c r="D333" s="62" t="e">
        <f t="shared" si="12"/>
        <v>#N/A</v>
      </c>
      <c r="E333" s="62" t="e">
        <v>#N/A</v>
      </c>
      <c r="F333" s="62" t="e">
        <v>#N/A</v>
      </c>
      <c r="G333" s="62" t="e">
        <v>#N/A</v>
      </c>
      <c r="H333" s="62"/>
      <c r="I333" s="62" t="s">
        <v>602</v>
      </c>
      <c r="J333" s="67" t="s">
        <v>4401</v>
      </c>
      <c r="K333" s="62" t="e">
        <f>VLOOKUP(B333,Sheet5!$A$1:$H$471,8,0)</f>
        <v>#N/A</v>
      </c>
      <c r="L333" s="62" t="str">
        <f>VLOOKUP($B333,Sheet4!$B:$E,4,0)</f>
        <v xml:space="preserve">helpdesk@ujjivan.com;helpdeskkolkata@ujjivan.com; </v>
      </c>
      <c r="M333" s="62" t="s">
        <v>1374</v>
      </c>
      <c r="N333" s="68"/>
      <c r="O333" s="63" t="s">
        <v>1028</v>
      </c>
      <c r="X333" s="68" t="s">
        <v>3573</v>
      </c>
      <c r="Y333" s="120" t="s">
        <v>4924</v>
      </c>
      <c r="Z333" s="119" t="s">
        <v>3572</v>
      </c>
    </row>
    <row r="334" spans="1:26" ht="15.75" x14ac:dyDescent="0.25">
      <c r="A334" s="64" t="s">
        <v>599</v>
      </c>
      <c r="B334" s="148" t="s">
        <v>747</v>
      </c>
      <c r="C334" s="62" t="s">
        <v>3473</v>
      </c>
      <c r="D334" s="62" t="str">
        <f t="shared" si="12"/>
        <v>vikrant.kumar871@ujjivan.com;shashi.ranjan@ujjivan.com;amit.kumar@ujjivan.com;</v>
      </c>
      <c r="E334" s="62" t="s">
        <v>3720</v>
      </c>
      <c r="F334" s="62" t="s">
        <v>4470</v>
      </c>
      <c r="G334" s="62" t="s">
        <v>2788</v>
      </c>
      <c r="H334" s="65"/>
      <c r="I334" s="65" t="s">
        <v>602</v>
      </c>
      <c r="J334" s="67" t="s">
        <v>4401</v>
      </c>
      <c r="K334" s="62" t="str">
        <f>VLOOKUP(B334,Sheet5!$A$1:$H$471,8,0)</f>
        <v>vikrant.kumar871@ujjivan.com;shashi.ranjan@ujjivan.com;ravi.shankar@ujjivan.com;amit.kumar@ujjivan.com;;;</v>
      </c>
      <c r="L334" s="62" t="str">
        <f>VLOOKUP($B334,Sheet4!$B:$E,4,0)</f>
        <v xml:space="preserve">helpdesk@ujjivan.com;helpdeskkolkata@ujjivan.com; </v>
      </c>
      <c r="M334" s="65" t="s">
        <v>1275</v>
      </c>
      <c r="N334" s="68" t="str">
        <f t="shared" si="11"/>
        <v xml:space="preserve">Dear Team, Please find attached list of prospect clients for REPEAT GL-LOANS (clients who have taken earlier an GL Loan) for you branch.
Thanks &amp; Regards,
MIS Team
</v>
      </c>
      <c r="O334" s="66" t="s">
        <v>1028</v>
      </c>
      <c r="X334" s="68" t="s">
        <v>3573</v>
      </c>
      <c r="Y334" s="120" t="s">
        <v>4924</v>
      </c>
      <c r="Z334" s="119" t="s">
        <v>3572</v>
      </c>
    </row>
    <row r="335" spans="1:26" ht="15.75" x14ac:dyDescent="0.25">
      <c r="A335" s="61" t="s">
        <v>599</v>
      </c>
      <c r="B335" s="147" t="s">
        <v>748</v>
      </c>
      <c r="C335" s="62" t="s">
        <v>3474</v>
      </c>
      <c r="D335" s="62" t="str">
        <f t="shared" si="12"/>
        <v>vipulkumar.singh@ujjivan.com;nitish.kumar@ujjivan.com;amit.kumar@ujjivan.com;</v>
      </c>
      <c r="E335" s="62" t="s">
        <v>2735</v>
      </c>
      <c r="F335" s="62" t="s">
        <v>4471</v>
      </c>
      <c r="G335" s="62" t="s">
        <v>2788</v>
      </c>
      <c r="H335" s="62"/>
      <c r="I335" s="62" t="s">
        <v>602</v>
      </c>
      <c r="J335" s="67" t="s">
        <v>4401</v>
      </c>
      <c r="K335" s="62" t="str">
        <f>VLOOKUP(B335,Sheet5!$A$1:$H$471,8,0)</f>
        <v>vipulkumar.singh@ujjivan.com;nitish.kumar@ujjivan.com;ravi.shankar@ujjivan.com;amit.kumar@ujjivan.com;;;</v>
      </c>
      <c r="L335" s="62" t="str">
        <f>VLOOKUP($B335,Sheet4!$B:$E,4,0)</f>
        <v xml:space="preserve">helpdesk@ujjivan.com;helpdeskkolkata@ujjivan.com; </v>
      </c>
      <c r="M335" s="62" t="s">
        <v>1280</v>
      </c>
      <c r="N335" s="68" t="str">
        <f t="shared" si="11"/>
        <v xml:space="preserve">Dear Team, Please find attached list of prospect clients for REPEAT GL-LOANS (clients who have taken earlier an GL Loan) for you branch.
Thanks &amp; Regards,
MIS Team
</v>
      </c>
      <c r="O335" s="63" t="s">
        <v>1028</v>
      </c>
      <c r="X335" s="68" t="s">
        <v>3573</v>
      </c>
      <c r="Y335" s="120" t="s">
        <v>4924</v>
      </c>
      <c r="Z335" s="119" t="s">
        <v>3572</v>
      </c>
    </row>
    <row r="336" spans="1:26" ht="15.75" x14ac:dyDescent="0.25">
      <c r="A336" s="64" t="s">
        <v>599</v>
      </c>
      <c r="B336" s="148" t="s">
        <v>749</v>
      </c>
      <c r="C336" s="62" t="s">
        <v>4558</v>
      </c>
      <c r="D336" s="62" t="e">
        <f t="shared" si="12"/>
        <v>#N/A</v>
      </c>
      <c r="E336" s="62">
        <v>0</v>
      </c>
      <c r="F336" s="62" t="e">
        <v>#N/A</v>
      </c>
      <c r="G336" s="62" t="e">
        <v>#N/A</v>
      </c>
      <c r="H336" s="65"/>
      <c r="I336" s="65" t="s">
        <v>602</v>
      </c>
      <c r="J336" s="67" t="s">
        <v>4401</v>
      </c>
      <c r="K336" s="62" t="str">
        <f>VLOOKUP(B336,Sheet5!$A$1:$H$471,8,0)</f>
        <v>;;;;;;</v>
      </c>
      <c r="L336" s="62" t="str">
        <f>VLOOKUP($B336,Sheet4!$B:$E,4,0)</f>
        <v xml:space="preserve">ne-agartalasouth- branch &lt;ne-agartalasouth-branch@ujjivan.com&gt;;helpdeskkolkata@ujjivan.com; </v>
      </c>
      <c r="M336" s="65" t="s">
        <v>1260</v>
      </c>
      <c r="N336" s="68"/>
      <c r="O336" s="66" t="s">
        <v>1028</v>
      </c>
      <c r="X336" s="68" t="s">
        <v>3573</v>
      </c>
      <c r="Y336" s="120" t="s">
        <v>4924</v>
      </c>
      <c r="Z336" s="119" t="s">
        <v>3572</v>
      </c>
    </row>
    <row r="337" spans="1:26" ht="15.75" x14ac:dyDescent="0.25">
      <c r="A337" s="61" t="s">
        <v>599</v>
      </c>
      <c r="B337" s="147" t="s">
        <v>751</v>
      </c>
      <c r="C337" s="62" t="s">
        <v>3475</v>
      </c>
      <c r="D337" s="62" t="str">
        <f t="shared" si="12"/>
        <v>abdul.rahim@ujjivan.com;partha.debnath@ujjivan.com;santanu.dey@ujjivan.com;</v>
      </c>
      <c r="E337" s="62" t="s">
        <v>3721</v>
      </c>
      <c r="F337" s="62" t="s">
        <v>4133</v>
      </c>
      <c r="G337" s="62" t="s">
        <v>610</v>
      </c>
      <c r="H337" s="62"/>
      <c r="I337" s="62" t="s">
        <v>602</v>
      </c>
      <c r="J337" s="67" t="s">
        <v>4401</v>
      </c>
      <c r="K337" s="62" t="str">
        <f>VLOOKUP(B337,Sheet5!$A$1:$H$471,8,0)</f>
        <v>partha.debnath@ujjivan.com;prasenjit.deb@ujjivan.com;rajib.biswas@ujjivan.com;santanu.dey@ujjivan.com;;;</v>
      </c>
      <c r="L337" s="62" t="str">
        <f>VLOOKUP($B337,Sheet4!$B:$E,4,0)</f>
        <v xml:space="preserve">ne-agartalacentral- branch &lt;ne-agartalacentral-branch@ujjivan.com&gt;;helpdeskkolkata@ujjivan.com; </v>
      </c>
      <c r="M337" s="62" t="s">
        <v>1258</v>
      </c>
      <c r="N337" s="68" t="str">
        <f t="shared" si="11"/>
        <v xml:space="preserve">Dear Team, Please find attached list of prospect clients for REPEAT GL-LOANS (clients who have taken earlier an GL Loan) for you branch.
Thanks &amp; Regards,
MIS Team
</v>
      </c>
      <c r="O337" s="63" t="s">
        <v>1028</v>
      </c>
      <c r="X337" s="68" t="s">
        <v>3573</v>
      </c>
      <c r="Y337" s="120" t="s">
        <v>4924</v>
      </c>
      <c r="Z337" s="119" t="s">
        <v>3572</v>
      </c>
    </row>
    <row r="338" spans="1:26" ht="15.75" x14ac:dyDescent="0.25">
      <c r="A338" s="64" t="s">
        <v>599</v>
      </c>
      <c r="B338" s="148" t="s">
        <v>752</v>
      </c>
      <c r="C338" s="62" t="s">
        <v>3476</v>
      </c>
      <c r="D338" s="62" t="e">
        <f t="shared" si="12"/>
        <v>#N/A</v>
      </c>
      <c r="E338" s="62" t="s">
        <v>1442</v>
      </c>
      <c r="F338" s="62" t="e">
        <v>#N/A</v>
      </c>
      <c r="G338" s="62" t="e">
        <v>#N/A</v>
      </c>
      <c r="H338" s="65"/>
      <c r="I338" s="65" t="s">
        <v>602</v>
      </c>
      <c r="J338" s="67" t="s">
        <v>4401</v>
      </c>
      <c r="K338" s="62" t="str">
        <f>VLOOKUP(B338,Sheet5!$A$1:$H$471,8,0)</f>
        <v>sanjib.dey@ujjivan.com;suman.dey@ujjivan.com;rajib.biswas@ujjivan.com;;;;</v>
      </c>
      <c r="L338" s="62" t="str">
        <f>VLOOKUP($B338,Sheet4!$B:$E,4,0)</f>
        <v xml:space="preserve">agartalanorth &lt;ne-agartalanorth-branch@ujjivan.com&gt;;helpdeskkolkata@ujjivan.com; </v>
      </c>
      <c r="M338" s="65" t="s">
        <v>1259</v>
      </c>
      <c r="N338" s="68" t="str">
        <f t="shared" si="11"/>
        <v xml:space="preserve">Dear Team, Please find attached list of prospect clients for REPEAT GL-LOANS (clients who have taken earlier an GL Loan) for you branch.
Thanks &amp; Regards,
MIS Team
</v>
      </c>
      <c r="O338" s="66" t="s">
        <v>1028</v>
      </c>
      <c r="X338" s="68" t="s">
        <v>3573</v>
      </c>
      <c r="Y338" s="120" t="s">
        <v>4924</v>
      </c>
      <c r="Z338" s="119" t="s">
        <v>3572</v>
      </c>
    </row>
    <row r="339" spans="1:26" ht="15.75" x14ac:dyDescent="0.25">
      <c r="A339" s="61" t="s">
        <v>599</v>
      </c>
      <c r="B339" s="147" t="s">
        <v>754</v>
      </c>
      <c r="C339" s="62" t="s">
        <v>3477</v>
      </c>
      <c r="D339" s="62" t="e">
        <f t="shared" si="12"/>
        <v>#N/A</v>
      </c>
      <c r="E339" s="62" t="s">
        <v>753</v>
      </c>
      <c r="F339" s="62" t="e">
        <v>#N/A</v>
      </c>
      <c r="G339" s="62" t="e">
        <v>#N/A</v>
      </c>
      <c r="H339" s="62"/>
      <c r="I339" s="62" t="s">
        <v>602</v>
      </c>
      <c r="J339" s="67" t="s">
        <v>4401</v>
      </c>
      <c r="K339" s="62" t="str">
        <f>VLOOKUP(B339,Sheet5!$A$1:$H$471,8,0)</f>
        <v>goutam.debnath@ujjivan.com;manikarna.debbarma@ujjivan.com;rajib.biswas@ujjivan.com;;;;</v>
      </c>
      <c r="L339" s="62" t="str">
        <f>VLOOKUP($B339,Sheet4!$B:$E,4,0)</f>
        <v xml:space="preserve">ne-bishalgarh- branch &lt;ne-bishalgarh-branch@ujjivan.com&gt;;helpdeskkolkata@ujjivan.com; </v>
      </c>
      <c r="M339" s="62" t="s">
        <v>1283</v>
      </c>
      <c r="N339" s="68" t="str">
        <f t="shared" si="11"/>
        <v xml:space="preserve">Dear Team, Please find attached list of prospect clients for REPEAT GL-LOANS (clients who have taken earlier an GL Loan) for you branch.
Thanks &amp; Regards,
MIS Team
</v>
      </c>
      <c r="O339" s="63" t="s">
        <v>1028</v>
      </c>
      <c r="X339" s="68" t="s">
        <v>3573</v>
      </c>
      <c r="Y339" s="120" t="s">
        <v>4924</v>
      </c>
      <c r="Z339" s="119" t="s">
        <v>3572</v>
      </c>
    </row>
    <row r="340" spans="1:26" ht="15.75" x14ac:dyDescent="0.25">
      <c r="A340" s="64" t="s">
        <v>599</v>
      </c>
      <c r="B340" s="148" t="s">
        <v>755</v>
      </c>
      <c r="C340" s="62" t="s">
        <v>3478</v>
      </c>
      <c r="D340" s="62" t="e">
        <f t="shared" si="12"/>
        <v>#N/A</v>
      </c>
      <c r="E340" s="62" t="s">
        <v>2698</v>
      </c>
      <c r="F340" s="62" t="e">
        <v>#N/A</v>
      </c>
      <c r="G340" s="62" t="e">
        <v>#N/A</v>
      </c>
      <c r="H340" s="65"/>
      <c r="I340" s="65" t="s">
        <v>602</v>
      </c>
      <c r="J340" s="67" t="s">
        <v>4401</v>
      </c>
      <c r="K340" s="62" t="str">
        <f>VLOOKUP(B340,Sheet5!$A$1:$H$471,8,0)</f>
        <v>prasanta.das@ujjivan.com;tapas.paul750@ujjivan.com;rajib.biswas@ujjivan.com;;;;</v>
      </c>
      <c r="L340" s="62" t="str">
        <f>VLOOKUP($B340,Sheet4!$B:$E,4,0)</f>
        <v xml:space="preserve">ne-udaipur- branch &lt;ne-udaipur-branch@ujjivan.com&gt;;helpdeskkolkata@ujjivan.com; </v>
      </c>
      <c r="M340" s="65" t="s">
        <v>1366</v>
      </c>
      <c r="N340" s="68" t="str">
        <f t="shared" si="11"/>
        <v xml:space="preserve">Dear Team, Please find attached list of prospect clients for REPEAT GL-LOANS (clients who have taken earlier an GL Loan) for you branch.
Thanks &amp; Regards,
MIS Team
</v>
      </c>
      <c r="O340" s="66" t="s">
        <v>1028</v>
      </c>
      <c r="X340" s="68" t="s">
        <v>3573</v>
      </c>
      <c r="Y340" s="120" t="s">
        <v>4924</v>
      </c>
      <c r="Z340" s="119" t="s">
        <v>3572</v>
      </c>
    </row>
    <row r="341" spans="1:26" ht="15.75" x14ac:dyDescent="0.25">
      <c r="A341" s="61" t="s">
        <v>599</v>
      </c>
      <c r="B341" s="147" t="s">
        <v>756</v>
      </c>
      <c r="C341" s="62" t="s">
        <v>3479</v>
      </c>
      <c r="D341" s="62" t="str">
        <f t="shared" si="12"/>
        <v>sanjib.dey@ujjivan.com;biswajit.acharjee@ujjivan.com;santanu.dey@ujjivan.com;</v>
      </c>
      <c r="E341" s="62" t="s">
        <v>2697</v>
      </c>
      <c r="F341" s="62" t="s">
        <v>4137</v>
      </c>
      <c r="G341" s="62" t="s">
        <v>610</v>
      </c>
      <c r="H341" s="62"/>
      <c r="I341" s="62" t="s">
        <v>602</v>
      </c>
      <c r="J341" s="67" t="s">
        <v>4401</v>
      </c>
      <c r="K341" s="62" t="str">
        <f>VLOOKUP(B341,Sheet5!$A$1:$H$471,8,0)</f>
        <v>jabed.hossain@ujjivan.com;biswajit.acharjee@ujjivan.com;rajib.biswas@ujjivan.com;santanu.dey@ujjivan.com;;;</v>
      </c>
      <c r="L341" s="62" t="str">
        <f>VLOOKUP($B341,Sheet4!$B:$E,4,0)</f>
        <v xml:space="preserve">ne-melagarh- branch &lt;melagarh@ujjivan.com&gt;;helpdeskkolkata@ujjivan.com; </v>
      </c>
      <c r="M341" s="62" t="s">
        <v>1341</v>
      </c>
      <c r="N341" s="68" t="str">
        <f t="shared" si="11"/>
        <v xml:space="preserve">Dear Team, Please find attached list of prospect clients for REPEAT GL-LOANS (clients who have taken earlier an GL Loan) for you branch.
Thanks &amp; Regards,
MIS Team
</v>
      </c>
      <c r="O341" s="63" t="s">
        <v>1028</v>
      </c>
      <c r="X341" s="68" t="s">
        <v>3573</v>
      </c>
      <c r="Y341" s="120" t="s">
        <v>4924</v>
      </c>
      <c r="Z341" s="119" t="s">
        <v>3572</v>
      </c>
    </row>
    <row r="342" spans="1:26" ht="15.75" x14ac:dyDescent="0.25">
      <c r="A342" s="64" t="s">
        <v>599</v>
      </c>
      <c r="B342" s="148" t="s">
        <v>757</v>
      </c>
      <c r="C342" s="62" t="s">
        <v>3480</v>
      </c>
      <c r="D342" s="62" t="str">
        <f t="shared" si="12"/>
        <v>debasis.das@ujjivan.com;dinesh.swain@ujjivan.com;ashish.das@ujjivan.com;</v>
      </c>
      <c r="E342" s="62" t="s">
        <v>758</v>
      </c>
      <c r="F342" s="62" t="s">
        <v>4472</v>
      </c>
      <c r="G342" s="62" t="s">
        <v>643</v>
      </c>
      <c r="H342" s="65"/>
      <c r="I342" s="65" t="s">
        <v>602</v>
      </c>
      <c r="J342" s="67" t="s">
        <v>4401</v>
      </c>
      <c r="K342" s="62" t="str">
        <f>VLOOKUP(B342,Sheet5!$A$1:$H$471,8,0)</f>
        <v>debasis.das@ujjivan.com;dinesh.swain@ujjivan.com;sanjit.moharana@ujjivan.com;ashish.das@ujjivan.com;;;</v>
      </c>
      <c r="L342" s="62" t="str">
        <f>VLOOKUP($B342,Sheet4!$B:$E,4,0)</f>
        <v xml:space="preserve">Choudwar &lt;ori-choudwar-branch@ujjivan.com&gt;;helpdeskkolkata@ujjivan.com; </v>
      </c>
      <c r="M342" s="65" t="s">
        <v>1290</v>
      </c>
      <c r="N342" s="68" t="str">
        <f t="shared" si="11"/>
        <v xml:space="preserve">Dear Team, Please find attached list of prospect clients for REPEAT GL-LOANS (clients who have taken earlier an GL Loan) for you branch.
Thanks &amp; Regards,
MIS Team
</v>
      </c>
      <c r="O342" s="66" t="s">
        <v>1028</v>
      </c>
      <c r="X342" s="68" t="s">
        <v>3573</v>
      </c>
      <c r="Y342" s="120" t="s">
        <v>4924</v>
      </c>
      <c r="Z342" s="119" t="s">
        <v>3572</v>
      </c>
    </row>
    <row r="343" spans="1:26" ht="15.75" x14ac:dyDescent="0.25">
      <c r="A343" s="61" t="s">
        <v>599</v>
      </c>
      <c r="B343" s="147" t="s">
        <v>759</v>
      </c>
      <c r="C343" s="62" t="s">
        <v>3481</v>
      </c>
      <c r="D343" s="62" t="str">
        <f t="shared" si="12"/>
        <v>sanjeet.kumar@ujjivan.com;atul.kumar@ujjivan.com;amit.kumar@ujjivan.com;</v>
      </c>
      <c r="E343" s="62" t="s">
        <v>3722</v>
      </c>
      <c r="F343" s="62" t="s">
        <v>4402</v>
      </c>
      <c r="G343" s="62" t="s">
        <v>2788</v>
      </c>
      <c r="H343" s="62"/>
      <c r="I343" s="62" t="s">
        <v>602</v>
      </c>
      <c r="J343" s="67" t="s">
        <v>4401</v>
      </c>
      <c r="K343" s="62" t="str">
        <f>VLOOKUP(B343,Sheet5!$A$1:$H$471,8,0)</f>
        <v>nandan.kumar@ujjivan.com;atul.kumar@ujjivan.com;manish.choudhary@ujjivan.com;amit.kumar@ujjivan.com;;;</v>
      </c>
      <c r="L343" s="62" t="str">
        <f>VLOOKUP($B343,Sheet4!$B:$E,4,0)</f>
        <v xml:space="preserve">bhr-motihari- branch &lt;bhr-motihari-branch@ujjivan.com&gt;;helpdeskkolkata@ujjivan.com; </v>
      </c>
      <c r="M343" s="62" t="s">
        <v>1343</v>
      </c>
      <c r="N343" s="68" t="str">
        <f t="shared" si="11"/>
        <v xml:space="preserve">Dear Team, Please find attached list of prospect clients for REPEAT GL-LOANS (clients who have taken earlier an GL Loan) for you branch.
Thanks &amp; Regards,
MIS Team
</v>
      </c>
      <c r="O343" s="63" t="s">
        <v>1028</v>
      </c>
      <c r="X343" s="68" t="s">
        <v>3573</v>
      </c>
      <c r="Y343" s="120" t="s">
        <v>4924</v>
      </c>
      <c r="Z343" s="119" t="s">
        <v>3572</v>
      </c>
    </row>
    <row r="344" spans="1:26" ht="15.75" x14ac:dyDescent="0.25">
      <c r="A344" s="64" t="s">
        <v>599</v>
      </c>
      <c r="B344" s="148" t="s">
        <v>760</v>
      </c>
      <c r="C344" s="62" t="s">
        <v>3482</v>
      </c>
      <c r="D344" s="62" t="str">
        <f t="shared" si="12"/>
        <v>amit.kumar2@ujjivan.com;abhishek.srivastava@ujjivan.com;amit.kumar@ujjivan.com;</v>
      </c>
      <c r="E344" s="62" t="s">
        <v>3723</v>
      </c>
      <c r="F344" s="62" t="s">
        <v>4403</v>
      </c>
      <c r="G344" s="62" t="s">
        <v>2788</v>
      </c>
      <c r="H344" s="65"/>
      <c r="I344" s="65" t="s">
        <v>602</v>
      </c>
      <c r="J344" s="67" t="s">
        <v>4401</v>
      </c>
      <c r="K344" s="62" t="str">
        <f>VLOOKUP(B344,Sheet5!$A$1:$H$471,8,0)</f>
        <v>amit.kumar2@ujjivan.com;deepak.prince@ujjivan.com;manish.choudhary@ujjivan.com;amit.kumar@ujjivan.com;;;</v>
      </c>
      <c r="L344" s="62" t="str">
        <f>VLOOKUP($B344,Sheet4!$B:$E,4,0)</f>
        <v xml:space="preserve">bhr-samastipur- branch &lt;bhr-samastipur-branch@ujjivan.com&gt;;helpdeskkolkata@ujjivan.com; </v>
      </c>
      <c r="M344" s="65" t="s">
        <v>1365</v>
      </c>
      <c r="N344" s="68" t="str">
        <f t="shared" si="11"/>
        <v xml:space="preserve">Dear Team, Please find attached list of prospect clients for REPEAT GL-LOANS (clients who have taken earlier an GL Loan) for you branch.
Thanks &amp; Regards,
MIS Team
</v>
      </c>
      <c r="O344" s="66" t="s">
        <v>1028</v>
      </c>
      <c r="X344" s="68" t="s">
        <v>3573</v>
      </c>
      <c r="Y344" s="120" t="s">
        <v>4924</v>
      </c>
      <c r="Z344" s="119" t="s">
        <v>3572</v>
      </c>
    </row>
    <row r="345" spans="1:26" ht="15.75" x14ac:dyDescent="0.25">
      <c r="A345" s="61" t="s">
        <v>599</v>
      </c>
      <c r="B345" s="147" t="s">
        <v>761</v>
      </c>
      <c r="C345" s="62" t="s">
        <v>3483</v>
      </c>
      <c r="D345" s="62" t="str">
        <f t="shared" si="12"/>
        <v>rajnish.kumar138@ujjivan.com;ganesh.thakur@ujjivan.com;amit.kumar@ujjivan.com;</v>
      </c>
      <c r="E345" s="62" t="s">
        <v>3724</v>
      </c>
      <c r="F345" s="62" t="s">
        <v>4404</v>
      </c>
      <c r="G345" s="62" t="s">
        <v>2788</v>
      </c>
      <c r="H345" s="62"/>
      <c r="I345" s="62" t="s">
        <v>602</v>
      </c>
      <c r="J345" s="67" t="s">
        <v>4401</v>
      </c>
      <c r="K345" s="62" t="str">
        <f>VLOOKUP(B345,Sheet5!$A$1:$H$471,8,0)</f>
        <v>mahesh.singh@ujjivan.com;sudhir.kumar266@ujjivan.com;manish.choudhary@ujjivan.com;amit.kumar@ujjivan.com;;;</v>
      </c>
      <c r="L345" s="62" t="str">
        <f>VLOOKUP($B345,Sheet4!$B:$E,4,0)</f>
        <v xml:space="preserve">bhr-dalsingsarai- branch &lt;bhr-dalsingsarai-branch@ujjivan.com&gt;;helpdeskkolkata@ujjivan.com; </v>
      </c>
      <c r="M345" s="62" t="s">
        <v>1063</v>
      </c>
      <c r="N345" s="68" t="str">
        <f t="shared" si="11"/>
        <v xml:space="preserve">Dear Team, Please find attached list of prospect clients for REPEAT GL-LOANS (clients who have taken earlier an GL Loan) for you branch.
Thanks &amp; Regards,
MIS Team
</v>
      </c>
      <c r="O345" s="63" t="s">
        <v>1028</v>
      </c>
      <c r="X345" s="68" t="s">
        <v>3573</v>
      </c>
      <c r="Y345" s="120" t="s">
        <v>4924</v>
      </c>
      <c r="Z345" s="119" t="s">
        <v>3572</v>
      </c>
    </row>
    <row r="346" spans="1:26" ht="15.75" x14ac:dyDescent="0.25">
      <c r="A346" s="64" t="s">
        <v>599</v>
      </c>
      <c r="B346" s="148" t="s">
        <v>762</v>
      </c>
      <c r="C346" s="62" t="s">
        <v>3484</v>
      </c>
      <c r="D346" s="62" t="str">
        <f t="shared" si="12"/>
        <v>pradip.das@ujjivan.com;krishna.boro@ujjivan.com;indrajit.baishya@ujjivan.com;</v>
      </c>
      <c r="E346" s="62" t="s">
        <v>3725</v>
      </c>
      <c r="F346" s="62" t="s">
        <v>4473</v>
      </c>
      <c r="G346" s="62" t="s">
        <v>715</v>
      </c>
      <c r="H346" s="65"/>
      <c r="I346" s="65" t="s">
        <v>602</v>
      </c>
      <c r="J346" s="67" t="s">
        <v>4401</v>
      </c>
      <c r="K346" s="62" t="str">
        <f>VLOOKUP(B346,Sheet5!$A$1:$H$471,8,0)</f>
        <v>pritam.brahma@ujjivan.com;krishna.boro@ujjivan.com;suman.chakraborty@ujjivan.com;indrajit.baishya@ujjivan.com;;;</v>
      </c>
      <c r="L346" s="62" t="str">
        <f>VLOOKUP($B346,Sheet4!$B:$E,4,0)</f>
        <v xml:space="preserve">ne-tezpur- branch &lt;ne-tezpur-branch@ujjivan.com&gt;;helpdeskkolkata@ujjivan.com; </v>
      </c>
      <c r="M346" s="65" t="s">
        <v>1377</v>
      </c>
      <c r="N346" s="68" t="str">
        <f t="shared" si="11"/>
        <v xml:space="preserve">Dear Team, Please find attached list of prospect clients for REPEAT GL-LOANS (clients who have taken earlier an GL Loan) for you branch.
Thanks &amp; Regards,
MIS Team
</v>
      </c>
      <c r="O346" s="66" t="s">
        <v>1028</v>
      </c>
      <c r="X346" s="68" t="s">
        <v>3573</v>
      </c>
      <c r="Y346" s="120" t="s">
        <v>4924</v>
      </c>
      <c r="Z346" s="119" t="s">
        <v>3572</v>
      </c>
    </row>
    <row r="347" spans="1:26" ht="15.75" x14ac:dyDescent="0.25">
      <c r="A347" s="61" t="s">
        <v>599</v>
      </c>
      <c r="B347" s="147" t="s">
        <v>763</v>
      </c>
      <c r="C347" s="62" t="s">
        <v>3485</v>
      </c>
      <c r="D347" s="62" t="str">
        <f t="shared" si="12"/>
        <v>pranjal.borah@ujjivan.com;hirak.gogoi@ujjivan.com;indrajit.baishya@ujjivan.com;</v>
      </c>
      <c r="E347" s="62" t="s">
        <v>3198</v>
      </c>
      <c r="F347" s="62" t="s">
        <v>4474</v>
      </c>
      <c r="G347" s="62" t="s">
        <v>715</v>
      </c>
      <c r="H347" s="62"/>
      <c r="I347" s="62" t="s">
        <v>602</v>
      </c>
      <c r="J347" s="67" t="s">
        <v>4401</v>
      </c>
      <c r="K347" s="62" t="str">
        <f>VLOOKUP(B347,Sheet5!$A$1:$H$471,8,0)</f>
        <v>;hirak.gogoi@ujjivan.com;suman.chakraborty@ujjivan.com;indrajit.baishya@ujjivan.com;;;</v>
      </c>
      <c r="L347" s="62" t="str">
        <f>VLOOKUP($B347,Sheet4!$B:$E,4,0)</f>
        <v xml:space="preserve">ne-nagaon &lt;ne-nagaon-branch@ujjivan.com&gt;;helpdeskkolkata@ujjivan.com; </v>
      </c>
      <c r="M347" s="62" t="s">
        <v>1344</v>
      </c>
      <c r="N347" s="68" t="str">
        <f t="shared" si="11"/>
        <v xml:space="preserve">Dear Team, Please find attached list of prospect clients for REPEAT GL-LOANS (clients who have taken earlier an GL Loan) for you branch.
Thanks &amp; Regards,
MIS Team
</v>
      </c>
      <c r="O347" s="63" t="s">
        <v>1028</v>
      </c>
      <c r="X347" s="68" t="s">
        <v>3573</v>
      </c>
      <c r="Y347" s="120" t="s">
        <v>4924</v>
      </c>
      <c r="Z347" s="119" t="s">
        <v>3572</v>
      </c>
    </row>
    <row r="348" spans="1:26" ht="15.75" x14ac:dyDescent="0.25">
      <c r="A348" s="64" t="s">
        <v>599</v>
      </c>
      <c r="B348" s="148" t="s">
        <v>764</v>
      </c>
      <c r="C348" s="62" t="s">
        <v>3486</v>
      </c>
      <c r="D348" s="62" t="str">
        <f t="shared" si="12"/>
        <v>champak.talukdar@ujjivan.com;indrajit.deka@ujjivan.com;indrajit.baishya@ujjivan.com;</v>
      </c>
      <c r="E348" s="62" t="s">
        <v>734</v>
      </c>
      <c r="F348" s="62" t="s">
        <v>4405</v>
      </c>
      <c r="G348" s="62" t="s">
        <v>715</v>
      </c>
      <c r="H348" s="65"/>
      <c r="I348" s="65" t="s">
        <v>602</v>
      </c>
      <c r="J348" s="67" t="s">
        <v>4401</v>
      </c>
      <c r="K348" s="62" t="str">
        <f>VLOOKUP(B348,Sheet5!$A$1:$H$471,8,0)</f>
        <v>champak.talukdar@ujjivan.com;kishor.mahanta@ujjivan.com;himangshu.patgiri@ujjivan.com;indrajit.baishya@ujjivan.com;;;</v>
      </c>
      <c r="L348" s="62" t="str">
        <f>VLOOKUP($B348,Sheet4!$B:$E,4,0)</f>
        <v xml:space="preserve">ne-nalbari- branch &lt;ne-nalbari-branch@ujjivan.com&gt;;helpdeskkolkata@ujjivan.com; </v>
      </c>
      <c r="M348" s="65" t="s">
        <v>1345</v>
      </c>
      <c r="N348" s="68" t="str">
        <f t="shared" si="11"/>
        <v xml:space="preserve">Dear Team, Please find attached list of prospect clients for REPEAT GL-LOANS (clients who have taken earlier an GL Loan) for you branch.
Thanks &amp; Regards,
MIS Team
</v>
      </c>
      <c r="O348" s="66" t="s">
        <v>1028</v>
      </c>
      <c r="X348" s="68" t="s">
        <v>3573</v>
      </c>
      <c r="Y348" s="120" t="s">
        <v>4924</v>
      </c>
      <c r="Z348" s="119" t="s">
        <v>3572</v>
      </c>
    </row>
    <row r="349" spans="1:26" ht="15.75" x14ac:dyDescent="0.25">
      <c r="A349" s="61" t="s">
        <v>599</v>
      </c>
      <c r="B349" s="147" t="s">
        <v>766</v>
      </c>
      <c r="C349" s="62" t="s">
        <v>3487</v>
      </c>
      <c r="D349" s="62" t="str">
        <f t="shared" si="12"/>
        <v>naba.mazumdar@ujjivan.com;jatin.deka@ujjivan.com;indrajit.baishya@ujjivan.com;</v>
      </c>
      <c r="E349" s="62" t="s">
        <v>2725</v>
      </c>
      <c r="F349" s="62" t="s">
        <v>4406</v>
      </c>
      <c r="G349" s="62" t="s">
        <v>715</v>
      </c>
      <c r="H349" s="62"/>
      <c r="I349" s="62" t="s">
        <v>602</v>
      </c>
      <c r="J349" s="67" t="s">
        <v>4401</v>
      </c>
      <c r="K349" s="62" t="str">
        <f>VLOOKUP(B349,Sheet5!$A$1:$H$471,8,0)</f>
        <v>naba.mazumdar@ujjivan.com;jatin.deka@ujjivan.com;himangshu.patgiri@ujjivan.com;indrajit.baishya@ujjivan.com;;;</v>
      </c>
      <c r="L349" s="62" t="str">
        <f>VLOOKUP($B349,Sheet4!$B:$E,4,0)</f>
        <v xml:space="preserve">ne-baihatichairali &lt;ne-baihatichairali-branch@ujjivan.com&gt;;helpdeskkolkata@ujjivan.com; </v>
      </c>
      <c r="M349" s="62" t="s">
        <v>1268</v>
      </c>
      <c r="N349" s="68" t="str">
        <f t="shared" si="11"/>
        <v xml:space="preserve">Dear Team, Please find attached list of prospect clients for REPEAT GL-LOANS (clients who have taken earlier an GL Loan) for you branch.
Thanks &amp; Regards,
MIS Team
</v>
      </c>
      <c r="O349" s="63" t="s">
        <v>1028</v>
      </c>
      <c r="X349" s="68" t="s">
        <v>3573</v>
      </c>
      <c r="Y349" s="120" t="s">
        <v>4924</v>
      </c>
      <c r="Z349" s="119" t="s">
        <v>3572</v>
      </c>
    </row>
    <row r="350" spans="1:26" ht="15.75" x14ac:dyDescent="0.25">
      <c r="A350" s="64" t="s">
        <v>599</v>
      </c>
      <c r="B350" s="148" t="s">
        <v>1012</v>
      </c>
      <c r="C350" s="62" t="s">
        <v>3488</v>
      </c>
      <c r="D350" s="62" t="str">
        <f t="shared" si="12"/>
        <v>sumiron.boruah@ujjivan.com;debasish.kakoty@ujjivan.com;indrajit.baishya@ujjivan.com;</v>
      </c>
      <c r="E350" s="62" t="s">
        <v>1013</v>
      </c>
      <c r="F350" s="62" t="s">
        <v>4408</v>
      </c>
      <c r="G350" s="62" t="s">
        <v>715</v>
      </c>
      <c r="H350" s="65"/>
      <c r="I350" s="65"/>
      <c r="J350" s="67" t="s">
        <v>4401</v>
      </c>
      <c r="K350" s="62" t="str">
        <f>VLOOKUP(B350,Sheet5!$A$1:$H$471,8,0)</f>
        <v>hiren.das@ujjivan.com;rituparna.hazarika@ujjivan.com;suman.chakraborty@ujjivan.com;indrajit.baishya@ujjivan.com;;;</v>
      </c>
      <c r="L350" s="62" t="str">
        <f>VLOOKUP($B350,Sheet4!$B:$E,4,0)</f>
        <v xml:space="preserve">Cashier-Golaghat &lt;ne-golaghat-branch@ujjivan.com&gt;;helpdeskkolkata@ujjivan.com; </v>
      </c>
      <c r="M350" s="65" t="s">
        <v>1311</v>
      </c>
      <c r="N350" s="68" t="str">
        <f t="shared" si="11"/>
        <v xml:space="preserve">Dear Team, Please find attached list of prospect clients for REPEAT GL-LOANS (clients who have taken earlier an GL Loan) for you branch.
Thanks &amp; Regards,
MIS Team
</v>
      </c>
      <c r="O350" s="66" t="s">
        <v>1028</v>
      </c>
      <c r="X350" s="68" t="s">
        <v>3573</v>
      </c>
      <c r="Y350" s="120" t="s">
        <v>4924</v>
      </c>
      <c r="Z350" s="119" t="s">
        <v>3572</v>
      </c>
    </row>
    <row r="351" spans="1:26" ht="15.75" x14ac:dyDescent="0.25">
      <c r="A351" s="61" t="s">
        <v>599</v>
      </c>
      <c r="B351" s="147" t="s">
        <v>1015</v>
      </c>
      <c r="C351" s="62" t="s">
        <v>3489</v>
      </c>
      <c r="D351" s="62" t="str">
        <f t="shared" si="12"/>
        <v>hiren.das@ujjivan.com;alakesh.pathak@ujjivan.com;indrajit.baishya@ujjivan.com;</v>
      </c>
      <c r="E351" s="62" t="s">
        <v>3726</v>
      </c>
      <c r="F351" s="62" t="s">
        <v>4407</v>
      </c>
      <c r="G351" s="62" t="s">
        <v>715</v>
      </c>
      <c r="H351" s="62"/>
      <c r="I351" s="62"/>
      <c r="J351" s="67" t="s">
        <v>4401</v>
      </c>
      <c r="K351" s="62" t="str">
        <f>VLOOKUP(B351,Sheet5!$A$1:$H$471,8,0)</f>
        <v>niraj.hazarika@ujjivan.com;sumitro.nath@ujjivan.com;suman.chakraborty@ujjivan.com;indrajit.baishya@ujjivan.com;;;</v>
      </c>
      <c r="L351" s="62" t="str">
        <f>VLOOKUP($B351,Sheet4!$B:$E,4,0)</f>
        <v xml:space="preserve">ne-jorhat1- branch &lt;ne-jorhat1-branch@ujjivan.com&gt;;helpdeskkolkata@ujjivan.com; </v>
      </c>
      <c r="M351" s="62" t="s">
        <v>1321</v>
      </c>
      <c r="N351" s="68" t="str">
        <f t="shared" si="11"/>
        <v xml:space="preserve">Dear Team, Please find attached list of prospect clients for REPEAT GL-LOANS (clients who have taken earlier an GL Loan) for you branch.
Thanks &amp; Regards,
MIS Team
</v>
      </c>
      <c r="O351" s="63" t="s">
        <v>1028</v>
      </c>
      <c r="X351" s="68" t="s">
        <v>3573</v>
      </c>
      <c r="Y351" s="120" t="s">
        <v>4924</v>
      </c>
      <c r="Z351" s="119" t="s">
        <v>3572</v>
      </c>
    </row>
    <row r="352" spans="1:26" ht="15.75" x14ac:dyDescent="0.25">
      <c r="A352" s="64" t="s">
        <v>599</v>
      </c>
      <c r="B352" s="148" t="s">
        <v>1016</v>
      </c>
      <c r="C352" s="62" t="s">
        <v>3490</v>
      </c>
      <c r="D352" s="62" t="str">
        <f t="shared" si="12"/>
        <v>manoj.sarmah@ujjivan.com;-;indrajit.baishya@ujjivan.com;</v>
      </c>
      <c r="E352" s="62" t="s">
        <v>3727</v>
      </c>
      <c r="F352" s="62" t="s">
        <v>3608</v>
      </c>
      <c r="G352" s="62" t="s">
        <v>715</v>
      </c>
      <c r="H352" s="65"/>
      <c r="I352" s="65"/>
      <c r="J352" s="67" t="s">
        <v>4401</v>
      </c>
      <c r="K352" s="62" t="str">
        <f>VLOOKUP(B352,Sheet5!$A$1:$H$471,8,0)</f>
        <v>bharat.handique@ujjivan.com;pritom.parashar@ujjivan.com;suman.chakraborty@ujjivan.com;indrajit.baishya@ujjivan.com;;;</v>
      </c>
      <c r="L352" s="62" t="str">
        <f>VLOOKUP($B352,Sheet4!$B:$E,4,0)</f>
        <v xml:space="preserve">Cashier-Jorhat-2 &lt;ne-jorhat2-branch@ujjivan.com&gt;;helpdeskkolkata@ujjivan.com; </v>
      </c>
      <c r="M352" s="65" t="s">
        <v>1322</v>
      </c>
      <c r="N352" s="68" t="str">
        <f t="shared" si="11"/>
        <v xml:space="preserve">Dear Team, Please find attached list of prospect clients for REPEAT GL-LOANS (clients who have taken earlier an GL Loan) for you branch.
Thanks &amp; Regards,
MIS Team
</v>
      </c>
      <c r="O352" s="66" t="s">
        <v>1028</v>
      </c>
      <c r="X352" s="68" t="s">
        <v>3573</v>
      </c>
      <c r="Y352" s="120" t="s">
        <v>4924</v>
      </c>
      <c r="Z352" s="119" t="s">
        <v>3572</v>
      </c>
    </row>
    <row r="353" spans="1:26" ht="15.75" x14ac:dyDescent="0.25">
      <c r="A353" s="61" t="s">
        <v>599</v>
      </c>
      <c r="B353" s="147" t="s">
        <v>1017</v>
      </c>
      <c r="C353" s="62" t="s">
        <v>3491</v>
      </c>
      <c r="D353" s="62" t="str">
        <f t="shared" si="12"/>
        <v>hitesh.borah@ujjivan.com;parikhit.hazarika@ujjivan.com;indrajit.baishya@ujjivan.com;</v>
      </c>
      <c r="E353" s="62" t="s">
        <v>3037</v>
      </c>
      <c r="F353" s="62" t="s">
        <v>4475</v>
      </c>
      <c r="G353" s="62" t="s">
        <v>715</v>
      </c>
      <c r="H353" s="62"/>
      <c r="I353" s="62"/>
      <c r="J353" s="67" t="s">
        <v>4401</v>
      </c>
      <c r="K353" s="62" t="str">
        <f>VLOOKUP(B353,Sheet5!$A$1:$H$471,8,0)</f>
        <v>manash.bora@ujjivan.com;parikhit.hazarika@ujjivan.com;suman.chakraborty@ujjivan.com;indrajit.baishya@ujjivan.com;;;</v>
      </c>
      <c r="L353" s="62" t="str">
        <f>VLOOKUP($B353,Sheet4!$B:$E,4,0)</f>
        <v xml:space="preserve">Cashier-Nagaon-2 &lt;ne-nagaon2-branch@ujjivan.com&gt;;helpdeskkolkata@ujjivan.com; </v>
      </c>
      <c r="M353" s="62" t="s">
        <v>1346</v>
      </c>
      <c r="N353" s="68" t="str">
        <f t="shared" si="11"/>
        <v xml:space="preserve">Dear Team, Please find attached list of prospect clients for REPEAT GL-LOANS (clients who have taken earlier an GL Loan) for you branch.
Thanks &amp; Regards,
MIS Team
</v>
      </c>
      <c r="O353" s="63" t="s">
        <v>1028</v>
      </c>
      <c r="X353" s="68" t="s">
        <v>3573</v>
      </c>
      <c r="Y353" s="120" t="s">
        <v>4924</v>
      </c>
      <c r="Z353" s="119" t="s">
        <v>3572</v>
      </c>
    </row>
    <row r="354" spans="1:26" ht="15.75" x14ac:dyDescent="0.25">
      <c r="A354" s="64" t="s">
        <v>599</v>
      </c>
      <c r="B354" s="148" t="s">
        <v>1021</v>
      </c>
      <c r="C354" s="62" t="s">
        <v>3492</v>
      </c>
      <c r="D354" s="62" t="str">
        <f t="shared" si="12"/>
        <v>dibyajyoti.borah@ujjivan.com;bedabrat.gogoi@ujjivan.com;indrajit.baishya@ujjivan.com;</v>
      </c>
      <c r="E354" s="62" t="s">
        <v>3728</v>
      </c>
      <c r="F354" s="62" t="s">
        <v>4476</v>
      </c>
      <c r="G354" s="62" t="s">
        <v>715</v>
      </c>
      <c r="H354" s="65"/>
      <c r="I354" s="65"/>
      <c r="J354" s="67" t="s">
        <v>4401</v>
      </c>
      <c r="K354" s="62" t="str">
        <f>VLOOKUP(B354,Sheet5!$A$1:$H$471,8,0)</f>
        <v>;bedabrat.gogoi@ujjivan.com;suman.chakraborty@ujjivan.com;indrajit.baishya@ujjivan.com;;;</v>
      </c>
      <c r="L354" s="62" t="str">
        <f>VLOOKUP($B354,Sheet4!$B:$E,4,0)</f>
        <v xml:space="preserve">Cashier-Titabor &lt;ne-titabor-branch@ujjivan.com&gt;;helpdeskkolkata@ujjivan.com; </v>
      </c>
      <c r="M354" s="65" t="s">
        <v>1380</v>
      </c>
      <c r="N354" s="68" t="str">
        <f t="shared" si="11"/>
        <v xml:space="preserve">Dear Team, Please find attached list of prospect clients for REPEAT GL-LOANS (clients who have taken earlier an GL Loan) for you branch.
Thanks &amp; Regards,
MIS Team
</v>
      </c>
      <c r="O354" s="66" t="s">
        <v>1028</v>
      </c>
      <c r="X354" s="68" t="s">
        <v>3573</v>
      </c>
      <c r="Y354" s="120" t="s">
        <v>4924</v>
      </c>
      <c r="Z354" s="119" t="s">
        <v>3572</v>
      </c>
    </row>
    <row r="355" spans="1:26" ht="15.75" x14ac:dyDescent="0.25">
      <c r="A355" s="61" t="s">
        <v>599</v>
      </c>
      <c r="B355" s="147" t="s">
        <v>1019</v>
      </c>
      <c r="C355" s="62" t="s">
        <v>3493</v>
      </c>
      <c r="D355" s="62" t="str">
        <f t="shared" si="12"/>
        <v>kabir.sarkar@ujjivan.com;-;indrajit.baishya@ujjivan.com;</v>
      </c>
      <c r="E355" s="62" t="s">
        <v>3200</v>
      </c>
      <c r="F355" s="62" t="s">
        <v>3608</v>
      </c>
      <c r="G355" s="62" t="s">
        <v>715</v>
      </c>
      <c r="H355" s="62"/>
      <c r="I355" s="62"/>
      <c r="J355" s="67" t="s">
        <v>4401</v>
      </c>
      <c r="K355" s="62" t="str">
        <f>VLOOKUP(B355,Sheet5!$A$1:$H$471,8,0)</f>
        <v>gunamani.baishya@ujjivan.com;biplab.talukdar@ujjivan.com;himangshu.patgiri@ujjivan.com;indrajit.baishya@ujjivan.com;;;</v>
      </c>
      <c r="L355" s="62" t="str">
        <f>VLOOKUP($B355,Sheet4!$B:$E,4,0)</f>
        <v xml:space="preserve">ne-pathsala- branch &lt;ne-pathsala-branch@ujjivan.com&gt;;helpdeskkolkata@ujjivan.com; </v>
      </c>
      <c r="M355" s="62" t="s">
        <v>1350</v>
      </c>
      <c r="N355" s="68" t="str">
        <f t="shared" si="11"/>
        <v xml:space="preserve">Dear Team, Please find attached list of prospect clients for REPEAT GL-LOANS (clients who have taken earlier an GL Loan) for you branch.
Thanks &amp; Regards,
MIS Team
</v>
      </c>
      <c r="O355" s="63" t="s">
        <v>1028</v>
      </c>
      <c r="X355" s="68" t="s">
        <v>3573</v>
      </c>
      <c r="Y355" s="120" t="s">
        <v>4924</v>
      </c>
      <c r="Z355" s="119" t="s">
        <v>3572</v>
      </c>
    </row>
    <row r="356" spans="1:26" ht="15.75" x14ac:dyDescent="0.25">
      <c r="A356" s="64" t="s">
        <v>767</v>
      </c>
      <c r="B356" s="148" t="s">
        <v>770</v>
      </c>
      <c r="C356" s="62" t="s">
        <v>3494</v>
      </c>
      <c r="D356" s="62" t="str">
        <f t="shared" si="12"/>
        <v>dinesh.fulambarkar@ujjivan.com;kunal.devkar@ujjivan.com;varun.yadav@ujjivan.com;</v>
      </c>
      <c r="E356" s="62" t="s">
        <v>771</v>
      </c>
      <c r="F356" s="62" t="s">
        <v>4139</v>
      </c>
      <c r="G356" s="62" t="s">
        <v>978</v>
      </c>
      <c r="H356" s="65" t="s">
        <v>768</v>
      </c>
      <c r="I356" s="65" t="s">
        <v>769</v>
      </c>
      <c r="J356" s="67" t="s">
        <v>4401</v>
      </c>
      <c r="K356" s="62" t="str">
        <f>VLOOKUP(B356,Sheet5!$A$1:$H$471,8,0)</f>
        <v>shubhangi.jadhav@ujjivan.com;kunal.devkar@ujjivan.com;tushar.upase@ujjivan.com;varun.yadav@ujjivan.com;west-swargate-branch@ujjivan.com;ccr-swargate@ujjivan.com;dinesh.fulambarkar@ujjivan.com;atul.mule@ujjivan.com;tushar.upase@ujjivan.com;ramesh.kamble@ujjivan.com;hemant.awade@ujjivan.com;santosh.khaire@ujjivan.com;sudhakar.ighare@ujjivan.com;abhijeet.bhadange@ujjivan.com;aba.kesbhat@ujjivan.com;bhagwat.shelke@ujjivan.com;kunal.devkar@ujjivan.com;;</v>
      </c>
      <c r="L356" s="62" t="str">
        <f>VLOOKUP($B356,Sheet4!$B:$E,4,0)</f>
        <v xml:space="preserve">west-punesouth-branch@ujjivan.com;ccr-swargate@ujjivan.com;pravin.singh@ujjivan.com;dinesh.fulambarkar@ujjivan.com;atul.mule@ujjivan.com;yogesh.kamble@ujjivan.com;helpdeskwest@ujjivan.com; </v>
      </c>
      <c r="M356" s="65" t="s">
        <v>1383</v>
      </c>
      <c r="N356" s="68" t="str">
        <f t="shared" si="11"/>
        <v xml:space="preserve">Dear Team, Please find attached list of prospect clients for REPEAT GL-LOANS (clients who have taken earlier an GL Loan) for you branch.
Thanks &amp; Regards,
MIS Team
</v>
      </c>
      <c r="O356" s="66" t="s">
        <v>1028</v>
      </c>
      <c r="X356" s="68" t="s">
        <v>3573</v>
      </c>
      <c r="Y356" s="120" t="s">
        <v>4924</v>
      </c>
      <c r="Z356" s="119" t="s">
        <v>3572</v>
      </c>
    </row>
    <row r="357" spans="1:26" ht="15.75" x14ac:dyDescent="0.25">
      <c r="A357" s="61" t="s">
        <v>767</v>
      </c>
      <c r="B357" s="147" t="s">
        <v>772</v>
      </c>
      <c r="C357" s="62" t="s">
        <v>3495</v>
      </c>
      <c r="D357" s="62" t="str">
        <f t="shared" si="12"/>
        <v>samadhan.sawant@ujjivan.com;anita.musudage@ujjivan.com;varun.yadav@ujjivan.com;</v>
      </c>
      <c r="E357" s="62" t="s">
        <v>3729</v>
      </c>
      <c r="F357" s="62" t="s">
        <v>4140</v>
      </c>
      <c r="G357" s="62" t="s">
        <v>978</v>
      </c>
      <c r="H357" s="62" t="s">
        <v>768</v>
      </c>
      <c r="I357" s="62" t="s">
        <v>769</v>
      </c>
      <c r="J357" s="67" t="s">
        <v>4401</v>
      </c>
      <c r="K357" s="62" t="str">
        <f>VLOOKUP(B357,Sheet5!$A$1:$H$471,8,0)</f>
        <v>samadhan.sawant@ujjivan.com;anita.musudage@ujjivan.com;shrikant.walunj@ujjivan.com;varun.yadav@ujjivan.com;west-hadapsar-branch@ujjivan.com;ccr-hadpsar@ujjivan.com;vishal.ingale@ujjivan.com;mangesh.waikar@ujjivan.com;hemant.awade@ujjivan.com;santosh.khaire@ujjivan.com;parameshwari.suryavanshi@ujjivan.com;anita.musudage@ujjivan.com;himanshu.mittal@ujjivan.com;anas.ahmad@ujjivan.com;abhijeet.bhadange@ujjivan.com;sudhakar.ighare@ujjivan.com;;</v>
      </c>
      <c r="L357" s="62" t="str">
        <f>VLOOKUP($B357,Sheet4!$B:$E,4,0)</f>
        <v xml:space="preserve">ccr-hadapsar@ujjivan.com;anas.ahmad@ujjivan.com;parameshwari.suryavanshi@ujjivan.com;anita.musudage@ujjivan.com ;helpdeskwest@ujjivan.com; </v>
      </c>
      <c r="M357" s="62" t="s">
        <v>1384</v>
      </c>
      <c r="N357" s="68" t="str">
        <f t="shared" si="11"/>
        <v xml:space="preserve">Dear Team, Please find attached list of prospect clients for REPEAT GL-LOANS (clients who have taken earlier an GL Loan) for you branch.
Thanks &amp; Regards,
MIS Team
</v>
      </c>
      <c r="O357" s="63" t="s">
        <v>1028</v>
      </c>
      <c r="X357" s="68" t="s">
        <v>3573</v>
      </c>
      <c r="Y357" s="120" t="s">
        <v>4924</v>
      </c>
      <c r="Z357" s="119" t="s">
        <v>3572</v>
      </c>
    </row>
    <row r="358" spans="1:26" ht="15.75" x14ac:dyDescent="0.25">
      <c r="A358" s="64" t="s">
        <v>767</v>
      </c>
      <c r="B358" s="148" t="s">
        <v>773</v>
      </c>
      <c r="C358" s="62" t="s">
        <v>4558</v>
      </c>
      <c r="D358" s="62" t="e">
        <f t="shared" si="12"/>
        <v>#N/A</v>
      </c>
      <c r="E358" s="62">
        <v>0</v>
      </c>
      <c r="F358" s="62" t="e">
        <v>#N/A</v>
      </c>
      <c r="G358" s="62" t="e">
        <v>#N/A</v>
      </c>
      <c r="H358" s="65" t="s">
        <v>768</v>
      </c>
      <c r="I358" s="65" t="s">
        <v>769</v>
      </c>
      <c r="J358" s="67" t="s">
        <v>4401</v>
      </c>
      <c r="K358" s="62" t="str">
        <f>VLOOKUP(B358,Sheet5!$A$1:$H$471,8,0)</f>
        <v>;;;;dhanashri.kashalkar@ujjivan.com;;</v>
      </c>
      <c r="L358" s="62" t="str">
        <f>VLOOKUP($B358,Sheet4!$B:$E,4,0)</f>
        <v xml:space="preserve">west-aundh-branch@ujjivan.com;ccr-aundh@ujjivan.com;amar.adiwarekar@ujjivan.com;helpdeskwest@ujjivan.com; </v>
      </c>
      <c r="M358" s="65" t="s">
        <v>1385</v>
      </c>
      <c r="N358" s="68"/>
      <c r="O358" s="66" t="s">
        <v>1028</v>
      </c>
      <c r="X358" s="68" t="s">
        <v>3573</v>
      </c>
      <c r="Y358" s="120" t="s">
        <v>4924</v>
      </c>
      <c r="Z358" s="119" t="s">
        <v>3572</v>
      </c>
    </row>
    <row r="359" spans="1:26" ht="15.75" x14ac:dyDescent="0.25">
      <c r="A359" s="61" t="s">
        <v>767</v>
      </c>
      <c r="B359" s="147" t="s">
        <v>774</v>
      </c>
      <c r="C359" s="62" t="s">
        <v>3496</v>
      </c>
      <c r="D359" s="62" t="str">
        <f t="shared" si="12"/>
        <v>sopan.avhad@ujjivan.com;vaishali.gaikwad@ujjivan.com;varun.yadav@ujjivan.com;</v>
      </c>
      <c r="E359" s="62" t="s">
        <v>3730</v>
      </c>
      <c r="F359" s="62" t="s">
        <v>4478</v>
      </c>
      <c r="G359" s="62" t="s">
        <v>978</v>
      </c>
      <c r="H359" s="62" t="s">
        <v>768</v>
      </c>
      <c r="I359" s="62" t="s">
        <v>769</v>
      </c>
      <c r="J359" s="67" t="s">
        <v>4401</v>
      </c>
      <c r="K359" s="62" t="str">
        <f>VLOOKUP(B359,Sheet5!$A$1:$H$471,8,0)</f>
        <v>tabassum.shaikh@ujjivan.com;kavita.salve@ujjivan.com;shrikant.walunj@ujjivan.com;varun.yadav@ujjivan.com;west-pimpri-branch@ujjivan.com;ccr-pimpri@ujjivan.com;sandeep.gadre@ujjivan.com;himanshu.mittal@ujjivan.com;hemant.awade@ujjivan.com;ramesh.kamble@ujjivan.com;abhijeet.bhadange@ujjivan.com;nikhil.patil@ujjivan.com;ashish.tiwari@ujjivan.com;tabassum.shaikh@ujjivan.com;makarand.mangle@ujjivan.com;rushikesh.yogi@ujjivan.com;himanshu.mittal@ujjivan.com; hemant.awade@ujjivan.com;ramesh.kamble@ujjivan.com;ravi.arkal@ujjivan.com;atul.mule@ujjivan.com;satish.dahikar@ujjivan.com;rajesh.patil@ujjivan.com;;;</v>
      </c>
      <c r="L359" s="62" t="str">
        <f>VLOOKUP($B359,Sheet4!$B:$E,4,0)</f>
        <v xml:space="preserve">west-pimpri-branch@ujjivan.com;;ccr-pimpri@ujjivan.com;kunal.deokar@ujjivan.com;sandeep.gadre@ujjivan.com;yogesh.kamble@ujjivan.com;helpdeskwest@ujjivan.com; </v>
      </c>
      <c r="M359" s="62" t="s">
        <v>1386</v>
      </c>
      <c r="N359" s="68" t="str">
        <f t="shared" si="11"/>
        <v xml:space="preserve">Dear Team, Please find attached list of prospect clients for REPEAT GL-LOANS (clients who have taken earlier an GL Loan) for you branch.
Thanks &amp; Regards,
MIS Team
</v>
      </c>
      <c r="O359" s="63" t="s">
        <v>1028</v>
      </c>
      <c r="X359" s="68" t="s">
        <v>3573</v>
      </c>
      <c r="Y359" s="120" t="s">
        <v>4924</v>
      </c>
      <c r="Z359" s="119" t="s">
        <v>3572</v>
      </c>
    </row>
    <row r="360" spans="1:26" ht="15.75" x14ac:dyDescent="0.25">
      <c r="A360" s="64" t="s">
        <v>767</v>
      </c>
      <c r="B360" s="148" t="s">
        <v>775</v>
      </c>
      <c r="C360" s="62" t="s">
        <v>3497</v>
      </c>
      <c r="D360" s="62" t="str">
        <f t="shared" si="12"/>
        <v>prasad.bhawsar@ujjivan.com;saurabh.mulik@ujjivan.com;varun.yadav@ujjivan.com;</v>
      </c>
      <c r="E360" s="62" t="s">
        <v>3731</v>
      </c>
      <c r="F360" s="62" t="s">
        <v>4479</v>
      </c>
      <c r="G360" s="62" t="s">
        <v>978</v>
      </c>
      <c r="H360" s="65" t="s">
        <v>768</v>
      </c>
      <c r="I360" s="65" t="s">
        <v>769</v>
      </c>
      <c r="J360" s="67" t="s">
        <v>4401</v>
      </c>
      <c r="K360" s="62" t="str">
        <f>VLOOKUP(B360,Sheet5!$A$1:$H$471,8,0)</f>
        <v>Kaustubh.Tiwari@ujjivan.com;saurabh.mulik@ujjivan.com;tushar.upase@ujjivan.com;varun.yadav@ujjivan.com;west-punewest-branch@ujjivan.com;ccr.punewest@ujjivan.com;parshuram.kamble@ujjivan.com;prasad.bhavsar@ujjivan.com;mangesh.waikar@ujjivan.com;prasad.chavan@ujjivan.com;hemant.awade@ujjivan.com;rahul.devne@ujjivan.com;ravi.arkal@ujjivan.com;tushar.upase@ujjivan.com;abhijeet.bhadange@ujjivan.com;;</v>
      </c>
      <c r="L360" s="62" t="str">
        <f>VLOOKUP($B360,Sheet4!$B:$E,4,0)</f>
        <v xml:space="preserve">west-punewest-branch@ujjivan.com;ccr.punewest@ujjivan.com;yogesh.vankar@ujjivan.com;yogesh.kamble@ujjivan.com;helpdeskwest@ujjivan.com; </v>
      </c>
      <c r="M360" s="65" t="s">
        <v>1387</v>
      </c>
      <c r="N360" s="68" t="str">
        <f t="shared" si="11"/>
        <v xml:space="preserve">Dear Team, Please find attached list of prospect clients for REPEAT GL-LOANS (clients who have taken earlier an GL Loan) for you branch.
Thanks &amp; Regards,
MIS Team
</v>
      </c>
      <c r="O360" s="66" t="s">
        <v>1028</v>
      </c>
      <c r="X360" s="68" t="s">
        <v>3573</v>
      </c>
      <c r="Y360" s="120" t="s">
        <v>4924</v>
      </c>
      <c r="Z360" s="119" t="s">
        <v>3572</v>
      </c>
    </row>
    <row r="361" spans="1:26" ht="15.75" x14ac:dyDescent="0.25">
      <c r="A361" s="61" t="s">
        <v>767</v>
      </c>
      <c r="B361" s="147" t="s">
        <v>778</v>
      </c>
      <c r="C361" s="62" t="s">
        <v>3498</v>
      </c>
      <c r="D361" s="62" t="str">
        <f t="shared" si="12"/>
        <v>somnath.bhusare@ujjivan.com;somnath.chaudhari@ujjivan.com;varun.yadav@ujjivan.com;</v>
      </c>
      <c r="E361" s="62" t="s">
        <v>2772</v>
      </c>
      <c r="F361" s="62" t="s">
        <v>4480</v>
      </c>
      <c r="G361" s="62" t="s">
        <v>978</v>
      </c>
      <c r="H361" s="62" t="s">
        <v>768</v>
      </c>
      <c r="I361" s="62" t="s">
        <v>769</v>
      </c>
      <c r="J361" s="67" t="s">
        <v>4401</v>
      </c>
      <c r="K361" s="62" t="str">
        <f>VLOOKUP(B361,Sheet5!$A$1:$H$471,8,0)</f>
        <v>somnath.bhusare@ujjivan.com;somnath.chaudhari@ujjivan.com;kausalya.sirgire@ujjivan.com;varun.yadav@ujjivan.com;west-nashikroad-branch@ujjivan.com;ccr-nashikroad@ujjivan.com;ananta.chaudhari@ujjivan.com;ravindra.avhad@ujjivan.com;gayatri.patil@ujjivan.com;deepak.jagtap@ujjivan.com;kausalya.sirgire@ujjivan.com;nitin.hemade@ujjivan.com;Ashok.gosawi@ujjivan.com;amar.patil@ujjivan.com;kabir.jadhav@ujjivan.com;somnath.dube@ujjivan.com;sunil.mali@ujjivan.com;;</v>
      </c>
      <c r="L361" s="62" t="str">
        <f>VLOOKUP($B361,Sheet4!$B:$E,4,0)</f>
        <v xml:space="preserve">west-nashikroad-branch@ujjivan.com;ccr-nashikroad@ujjivan.com;gayatri.patil@ujjivan.com;deepak.jagtap@ujjivan.com;shreeram.walawe@ujjivan.com;helpdeskwest@ujjivan.com; </v>
      </c>
      <c r="M361" s="62" t="s">
        <v>1388</v>
      </c>
      <c r="N361" s="68" t="str">
        <f t="shared" si="11"/>
        <v xml:space="preserve">Dear Team, Please find attached list of prospect clients for REPEAT GL-LOANS (clients who have taken earlier an GL Loan) for you branch.
Thanks &amp; Regards,
MIS Team
</v>
      </c>
      <c r="O361" s="63" t="s">
        <v>1028</v>
      </c>
      <c r="X361" s="68" t="s">
        <v>3573</v>
      </c>
      <c r="Y361" s="120" t="s">
        <v>4924</v>
      </c>
      <c r="Z361" s="119" t="s">
        <v>3572</v>
      </c>
    </row>
    <row r="362" spans="1:26" ht="15.75" x14ac:dyDescent="0.25">
      <c r="A362" s="64" t="s">
        <v>767</v>
      </c>
      <c r="B362" s="148" t="s">
        <v>780</v>
      </c>
      <c r="C362" s="62" t="s">
        <v>3499</v>
      </c>
      <c r="D362" s="62" t="str">
        <f t="shared" si="12"/>
        <v>sameer.gadigaonkar@ujjivan.com;induben.jadav@ujjivan.com;varun.yadav@ujjivan.com;</v>
      </c>
      <c r="E362" s="62" t="s">
        <v>1440</v>
      </c>
      <c r="F362" s="62" t="s">
        <v>4481</v>
      </c>
      <c r="G362" s="62" t="s">
        <v>978</v>
      </c>
      <c r="H362" s="65" t="s">
        <v>768</v>
      </c>
      <c r="I362" s="65" t="s">
        <v>769</v>
      </c>
      <c r="J362" s="67" t="s">
        <v>4401</v>
      </c>
      <c r="K362" s="62" t="str">
        <f>VLOOKUP(B362,Sheet5!$A$1:$H$471,8,0)</f>
        <v>sameer.gadigaonkar@ujjivan.com;induben.jadav@ujjivan.com;kausalya.sirgire@ujjivan.com;varun.yadav@ujjivan.com;west-cidco-branch@ujjivan.com;ccr-cidco@ujjivan.com;vaishali.charbhe@ujjivan.com;balu.andhale@ujjivan.com;santosh.mundhe@ujjivan.com;sameer.gadigaonkar@ujjivan.com;induben.jadav@ujjivan.com;kausalya.sirgire@ujjivan.com;nitin.hemade@ujjivan.com;Chandrakant.suryawanshi@ujjivan.com;amar.patil@ujjivan.com;;</v>
      </c>
      <c r="L362" s="62" t="str">
        <f>VLOOKUP($B362,Sheet4!$B:$E,4,0)</f>
        <v xml:space="preserve">west-cidco-branch@ujjivan.com;ccr-cidco@ujjivan.com;sameer.gadigaonkar@ujjivan.com;induben.jadav@ujjivan.com;shreeram.walawe@ujjivan.com;helpdeskwest@ujjivan.com; </v>
      </c>
      <c r="M362" s="65" t="s">
        <v>1389</v>
      </c>
      <c r="N362" s="68" t="str">
        <f t="shared" si="11"/>
        <v xml:space="preserve">Dear Team, Please find attached list of prospect clients for REPEAT GL-LOANS (clients who have taken earlier an GL Loan) for you branch.
Thanks &amp; Regards,
MIS Team
</v>
      </c>
      <c r="O362" s="66" t="s">
        <v>1028</v>
      </c>
      <c r="X362" s="68" t="s">
        <v>3573</v>
      </c>
      <c r="Y362" s="120" t="s">
        <v>4924</v>
      </c>
      <c r="Z362" s="119" t="s">
        <v>3572</v>
      </c>
    </row>
    <row r="363" spans="1:26" ht="15.75" x14ac:dyDescent="0.25">
      <c r="A363" s="61" t="s">
        <v>767</v>
      </c>
      <c r="B363" s="147" t="s">
        <v>781</v>
      </c>
      <c r="C363" s="62" t="s">
        <v>3500</v>
      </c>
      <c r="D363" s="62" t="str">
        <f t="shared" si="12"/>
        <v>vinod.sonawane@ujjivan.com;sachin.mandavkar@ujjivan.com;nirav.vahalia@ujjivan.com;</v>
      </c>
      <c r="E363" s="62" t="s">
        <v>806</v>
      </c>
      <c r="F363" s="62" t="s">
        <v>4145</v>
      </c>
      <c r="G363" s="62" t="s">
        <v>2756</v>
      </c>
      <c r="H363" s="62"/>
      <c r="I363" s="62" t="s">
        <v>769</v>
      </c>
      <c r="J363" s="67" t="s">
        <v>4401</v>
      </c>
      <c r="K363" s="62" t="str">
        <f>VLOOKUP(B363,Sheet5!$A$1:$H$471,8,0)</f>
        <v>dnyandev.awasarmal@ujjivan.com;sachin.mandavkar@ujjivan.com;gaurav.pawar@ujjivan.com;nirav.vahalia@ujjivan.com;west-navimumbai-branch@ujjivan.com;ccr-navimumbai@ujjivan.com;utkarsh.tawade@ujjivan.com;sumaiya.qureshi@ujjivan.com;manoj.bamne@ujjivan.com;gupta.mahesh@ujjivan.com;prashant.jadhav@ujjivan.com;jitendra.sodhi@ujjivan.com;sagar.chavan@ujjivan.com;tanveer.khan@ujjivan.com;kaveri.pawar@ujjivan.com;sunil.parab@ujjivan.com;;;</v>
      </c>
      <c r="L363" s="62" t="str">
        <f>VLOOKUP($B363,Sheet4!$B:$E,4,0)</f>
        <v xml:space="preserve">west-navimumbai-branch@ujjivan.com;ccr-navimumbai@ujjivan.com;bhushan.belwale@ujjivan.com;sumaiya.qureshi@ujjivan.com;vijay.bhalerao@ujjivan.com;helpdeskwest@ujjivan.com; </v>
      </c>
      <c r="M363" s="62" t="s">
        <v>1390</v>
      </c>
      <c r="N363" s="68" t="str">
        <f t="shared" si="11"/>
        <v xml:space="preserve">Dear Team, Please find attached list of prospect clients for REPEAT GL-LOANS (clients who have taken earlier an GL Loan) for you branch.
Thanks &amp; Regards,
MIS Team
</v>
      </c>
      <c r="O363" s="63" t="s">
        <v>1028</v>
      </c>
      <c r="X363" s="68" t="s">
        <v>3573</v>
      </c>
      <c r="Y363" s="120" t="s">
        <v>4924</v>
      </c>
      <c r="Z363" s="119" t="s">
        <v>3572</v>
      </c>
    </row>
    <row r="364" spans="1:26" ht="15.75" x14ac:dyDescent="0.25">
      <c r="A364" s="64" t="s">
        <v>767</v>
      </c>
      <c r="B364" s="148" t="s">
        <v>784</v>
      </c>
      <c r="C364" s="62" t="s">
        <v>3501</v>
      </c>
      <c r="D364" s="62" t="str">
        <f t="shared" si="12"/>
        <v>akhtar.ali@ujjivan.com;amol.joshi@ujjivan.com;nirav.vahalia@ujjivan.com;</v>
      </c>
      <c r="E364" s="62" t="s">
        <v>3732</v>
      </c>
      <c r="F364" s="62" t="s">
        <v>4147</v>
      </c>
      <c r="G364" s="62" t="s">
        <v>2756</v>
      </c>
      <c r="H364" s="65"/>
      <c r="I364" s="65" t="s">
        <v>769</v>
      </c>
      <c r="J364" s="67" t="s">
        <v>4401</v>
      </c>
      <c r="K364" s="62" t="str">
        <f>VLOOKUP(B364,Sheet5!$A$1:$H$471,8,0)</f>
        <v>vijay.bhalerao@ujjivan.com;amol.joshi@ujjivan.com;gaurav.oberoi@ujjivan.com;nirav.vahalia@ujjivan.com;west-chembur-branch@ujjivan.com;ccr-chembur@ujjivan.com;amar.lagad@ujjivan.com;prashant.jadhav@ujjivan.com;jitendra.sodhi@ujjivan.com;mahesh.rane@ujjivan.com;mahesh.gupta@ujjivan.com;Sanjay.kalwar@ujjivan.com;amol.pawar@ujjivan.com;kailash.chaudhari@ujjivan.com ;rameshwar.chaudhari@ujjivan.com;amravati.kori@ujjivan.com;amravati.kori@ujjivan.com;nikul.bhandari@ujjivan.com;prashant.jadhav@ujjivan.com;yogesh.sanap@ujjivan.com;rupesh.khatri@ujjivan.com;amol.joshi@ujjivan.com;sachin.rewale@ujjivan.com;nilofer.khan@ujjivan.com;sunil.parab@ujjivan.com;;</v>
      </c>
      <c r="L364" s="62" t="str">
        <f>VLOOKUP($B364,Sheet4!$B:$E,4,0)</f>
        <v xml:space="preserve">west-chembur-branch@ujjivan.com;ccr-chembur@ujjivan.com;navin.acharya@ujjivan.com;sachin.rewale@ujjivan.com;kaveri.pawar@ujjivan.com;helpdeskwest@ujjivan.com; </v>
      </c>
      <c r="M364" s="65" t="s">
        <v>1391</v>
      </c>
      <c r="N364" s="68" t="str">
        <f t="shared" si="11"/>
        <v xml:space="preserve">Dear Team, Please find attached list of prospect clients for REPEAT GL-LOANS (clients who have taken earlier an GL Loan) for you branch.
Thanks &amp; Regards,
MIS Team
</v>
      </c>
      <c r="O364" s="66" t="s">
        <v>1028</v>
      </c>
      <c r="X364" s="68" t="s">
        <v>3573</v>
      </c>
      <c r="Y364" s="120" t="s">
        <v>4924</v>
      </c>
      <c r="Z364" s="119" t="s">
        <v>3572</v>
      </c>
    </row>
    <row r="365" spans="1:26" ht="15.75" x14ac:dyDescent="0.25">
      <c r="A365" s="61" t="s">
        <v>767</v>
      </c>
      <c r="B365" s="147" t="s">
        <v>785</v>
      </c>
      <c r="C365" s="62" t="s">
        <v>3502</v>
      </c>
      <c r="D365" s="62" t="str">
        <f t="shared" si="12"/>
        <v>deepak.markad@ujjivan.com;vishal.darvatkar@ujjivan.com;varun.yadav@ujjivan.com;</v>
      </c>
      <c r="E365" s="62" t="s">
        <v>786</v>
      </c>
      <c r="F365" s="62" t="s">
        <v>4482</v>
      </c>
      <c r="G365" s="62" t="s">
        <v>978</v>
      </c>
      <c r="H365" s="62" t="s">
        <v>768</v>
      </c>
      <c r="I365" s="62" t="s">
        <v>769</v>
      </c>
      <c r="J365" s="67" t="s">
        <v>4401</v>
      </c>
      <c r="K365" s="62" t="str">
        <f>VLOOKUP(B365,Sheet5!$A$1:$H$471,8,0)</f>
        <v>prasad.bhavsar@ujjivan.com;Prasad.Chavan@ujjivan.com;tushar.upase@ujjivan.com;varun.yadav@ujjivan.com;katraj@ujjivan.com;ccr-katraj@ujjivan.com;deepak.markad@ujjivan.com;tushar.upase@ujjivan.com;ramesh.kamble@ujjivan.com;hemant.awade@ujjivan.com;santosh.khaire@ujjivan.com;nikhil.patil@ujjivan.com;Vishal.Darvatkar@ujjivan.com;shahir.khandagale@ujjivan.com;abhijeet.bhadange@ujjivan.com;vikash.singh@ujjivan.com;mangesh.waikar@ujjivan.com;;</v>
      </c>
      <c r="L365" s="62" t="str">
        <f>VLOOKUP($B365,Sheet4!$B:$E,4,0)</f>
        <v xml:space="preserve">katraj@ujjivan.com;ccr-katraj@ujjivan.com;deepak.markad@ujjivan.com;anita.musudage@ujjivan.com;yogesh.kamble@ujjivan.com;helpdeskwest@ujjivan.com; </v>
      </c>
      <c r="M365" s="62" t="s">
        <v>1392</v>
      </c>
      <c r="N365" s="68" t="str">
        <f t="shared" si="11"/>
        <v xml:space="preserve">Dear Team, Please find attached list of prospect clients for REPEAT GL-LOANS (clients who have taken earlier an GL Loan) for you branch.
Thanks &amp; Regards,
MIS Team
</v>
      </c>
      <c r="O365" s="63" t="s">
        <v>1028</v>
      </c>
      <c r="X365" s="68" t="s">
        <v>3573</v>
      </c>
      <c r="Y365" s="120" t="s">
        <v>4924</v>
      </c>
      <c r="Z365" s="119" t="s">
        <v>3572</v>
      </c>
    </row>
    <row r="366" spans="1:26" ht="15.75" x14ac:dyDescent="0.25">
      <c r="A366" s="64" t="s">
        <v>767</v>
      </c>
      <c r="B366" s="148" t="s">
        <v>787</v>
      </c>
      <c r="C366" s="62" t="s">
        <v>3503</v>
      </c>
      <c r="D366" s="62" t="str">
        <f t="shared" si="12"/>
        <v>dipmala.jadhav@ujjivan.com;sandeep.nagare@ujjivan.com;nirav.vahalia@ujjivan.com;</v>
      </c>
      <c r="E366" s="62" t="s">
        <v>788</v>
      </c>
      <c r="F366" s="62" t="s">
        <v>4150</v>
      </c>
      <c r="G366" s="62" t="s">
        <v>2756</v>
      </c>
      <c r="H366" s="65"/>
      <c r="I366" s="65" t="s">
        <v>769</v>
      </c>
      <c r="J366" s="67" t="s">
        <v>4401</v>
      </c>
      <c r="K366" s="62" t="str">
        <f>VLOOKUP(B366,Sheet5!$A$1:$H$471,8,0)</f>
        <v>dipmala.jadhav@ujjivan.com;sandeep.nagare@ujjivan.com;gaurav.oberoi@ujjivan.com;nirav.vahalia@ujjivan.com;kalyan@ujjivan.com;ccr-kalyan@ujjivan.com;dipmala.jadhav@ujjivan.com;tanaji.bansode@ujjivan.com;gupta.mahesh@ujjivan.com;prashant.jadhav@ujjivan.com;gaurav.oberoi@ujjivan.com;jitendra.sodhi@ujjivan.com;Sanjay.kalwar@ujjivan.com;rahul.kushwaha@ujjivan.com;pravin.pargharmor@ujjivan.com;gunjan.singh@ujjivan.com;amit.sawant@ujjivan.com;amarnath.kumhar@ujjivan.com;sunil.parab@ujjivan.com;;;</v>
      </c>
      <c r="L366" s="62" t="str">
        <f>VLOOKUP($B366,Sheet4!$B:$E,4,0)</f>
        <v xml:space="preserve">kalyan@ujjivan.com;ccr-kalyan@ujjivan.com;dipmala.jadhav@ujjivan.com;tanaji.bansode@ujjivan.com;vijay.bhalerao@ujjivan.com;helpdeskwest@ujjivan.com; </v>
      </c>
      <c r="M366" s="65" t="s">
        <v>1393</v>
      </c>
      <c r="N366" s="68" t="str">
        <f t="shared" si="11"/>
        <v xml:space="preserve">Dear Team, Please find attached list of prospect clients for REPEAT GL-LOANS (clients who have taken earlier an GL Loan) for you branch.
Thanks &amp; Regards,
MIS Team
</v>
      </c>
      <c r="O366" s="66" t="s">
        <v>1028</v>
      </c>
      <c r="X366" s="68" t="s">
        <v>3573</v>
      </c>
      <c r="Y366" s="120" t="s">
        <v>4924</v>
      </c>
      <c r="Z366" s="119" t="s">
        <v>3572</v>
      </c>
    </row>
    <row r="367" spans="1:26" ht="15.75" x14ac:dyDescent="0.25">
      <c r="A367" s="61" t="s">
        <v>767</v>
      </c>
      <c r="B367" s="147" t="s">
        <v>789</v>
      </c>
      <c r="C367" s="62" t="s">
        <v>4558</v>
      </c>
      <c r="D367" s="62" t="e">
        <f t="shared" si="12"/>
        <v>#N/A</v>
      </c>
      <c r="E367" s="62">
        <v>0</v>
      </c>
      <c r="F367" s="62" t="e">
        <v>#N/A</v>
      </c>
      <c r="G367" s="62" t="e">
        <v>#N/A</v>
      </c>
      <c r="H367" s="62"/>
      <c r="I367" s="62" t="s">
        <v>769</v>
      </c>
      <c r="J367" s="67" t="s">
        <v>4401</v>
      </c>
      <c r="K367" s="62" t="str">
        <f>VLOOKUP(B367,Sheet5!$A$1:$H$471,8,0)</f>
        <v>;;;;;;</v>
      </c>
      <c r="L367" s="62" t="str">
        <f>VLOOKUP($B367,Sheet4!$B:$E,4,0)</f>
        <v xml:space="preserve">west-ghatkopar-branch@ujjivan.com;ccr-ghatkopar@ujjivan.com;tanaji.tambe@ujjivan.com;amol.joshi@ujjivan.com;priya.gaikwad@ujjivan.com;helpdeskwest@ujjivan.com; </v>
      </c>
      <c r="M367" s="62" t="s">
        <v>1394</v>
      </c>
      <c r="N367" s="68"/>
      <c r="O367" s="63" t="s">
        <v>1028</v>
      </c>
      <c r="X367" s="68" t="s">
        <v>3573</v>
      </c>
      <c r="Y367" s="120" t="s">
        <v>4924</v>
      </c>
      <c r="Z367" s="119" t="s">
        <v>3572</v>
      </c>
    </row>
    <row r="368" spans="1:26" ht="15.75" x14ac:dyDescent="0.25">
      <c r="A368" s="64" t="s">
        <v>767</v>
      </c>
      <c r="B368" s="148" t="s">
        <v>790</v>
      </c>
      <c r="C368" s="62" t="s">
        <v>4558</v>
      </c>
      <c r="D368" s="62" t="str">
        <f t="shared" si="12"/>
        <v>0;mohit.jadhav337@ujjivan.com;nirav.vahalia@ujjivan.com;</v>
      </c>
      <c r="E368" s="62">
        <v>0</v>
      </c>
      <c r="F368" s="62" t="s">
        <v>4483</v>
      </c>
      <c r="G368" s="62" t="s">
        <v>2756</v>
      </c>
      <c r="H368" s="65"/>
      <c r="I368" s="65" t="s">
        <v>769</v>
      </c>
      <c r="J368" s="67" t="s">
        <v>4401</v>
      </c>
      <c r="K368" s="62" t="str">
        <f>VLOOKUP(B368,Sheet5!$A$1:$H$471,8,0)</f>
        <v>vinod.sonawane@ujjivan.com;mohit.jadhav337@ujjivan.com;gaurav.pawar@ujjivan.com;nirav.vahalia@ujjivan.com;west-ambernath-branch@ujjivan.com;ccr-ambernath@ujjivan.com;soniya.bhagat@ujjivan.com;dhammapal.magare@ujjivan.com;yogesh.pawar@ujjivan.com;gupta.mahesh@ujjivan.com;rakesh.athavale@ujjivan.com;jitendra.sodhi@ujjivan.com;gupta.mahesh@ujjivan.com;Sanjay.kalwar@ujjivan.com;kavita.mahadik@ujjivan.com;kailash.chaudhari@ujjivan.com ;sandeep.yadav@ujjivan.com;sunil.parab@ujjivan.com;vinod.sonawane@ujjivan.com;;;</v>
      </c>
      <c r="L368" s="62" t="str">
        <f>VLOOKUP($B368,Sheet4!$B:$E,4,0)</f>
        <v xml:space="preserve">west-ambernath-branch@ujjivan.com;ccr-ambernath@ujjivan.com;soniya.bhagat@ujjivan.com;sangeeta.pathak@ujjivan.com;rakesh.athavale@ujjivan.com;helpdeskwest@ujjivan.com; </v>
      </c>
      <c r="M368" s="65" t="s">
        <v>1395</v>
      </c>
      <c r="N368" s="68"/>
      <c r="O368" s="66" t="s">
        <v>1028</v>
      </c>
      <c r="X368" s="68" t="s">
        <v>3573</v>
      </c>
      <c r="Y368" s="120" t="s">
        <v>4924</v>
      </c>
      <c r="Z368" s="119" t="s">
        <v>3572</v>
      </c>
    </row>
    <row r="369" spans="1:26" ht="15.75" x14ac:dyDescent="0.25">
      <c r="A369" s="61" t="s">
        <v>767</v>
      </c>
      <c r="B369" s="147" t="s">
        <v>791</v>
      </c>
      <c r="C369" s="62" t="s">
        <v>3504</v>
      </c>
      <c r="D369" s="62" t="str">
        <f t="shared" si="12"/>
        <v>yogesh.nagargoje@ujjivan.com;soniya.bhagat@ujjivan.com;nirav.vahalia@ujjivan.com;</v>
      </c>
      <c r="E369" s="62" t="s">
        <v>3733</v>
      </c>
      <c r="F369" s="62" t="s">
        <v>4151</v>
      </c>
      <c r="G369" s="62" t="s">
        <v>2756</v>
      </c>
      <c r="H369" s="62"/>
      <c r="I369" s="62" t="s">
        <v>769</v>
      </c>
      <c r="J369" s="67" t="s">
        <v>4401</v>
      </c>
      <c r="K369" s="62" t="str">
        <f>VLOOKUP(B369,Sheet5!$A$1:$H$471,8,0)</f>
        <v>shraddha.rapelli@ujjivan.com;soniya.bhagat@ujjivan.com;gaurav.pawar@ujjivan.com;nirav.vahalia@ujjivan.com;west-kalwa-branch@ujjivan.com;ccr-kalwa@ujjivan.com;kalpana.chavan@ujjivan.com;gupta.mahesh@ujjivan.com;yogesh.shinde@ujjivan.com;prashant.jadhav@ujjivan.com;vijay.bhalerao@ujjivan.com;gaurav.oberoi@ujjivan.com;jitendra.sodhi@ujjivan.com;Sanjay.kalwar@ujjivan.com;rahul.kushwaha@ujjivan.com;pravin.pargharmor@ujjivan.com;rahul.kushwaha@ujjivan.com;archana.shaha@ujjivan.com;sunil.parab@ujjivan.com;yogesh.nagargoje@ujjivan.com;;;</v>
      </c>
      <c r="L369" s="62" t="str">
        <f>VLOOKUP($B369,Sheet4!$B:$E,4,0)</f>
        <v xml:space="preserve">west-kalwa-branch@ujjivan.com;ccr-kalwa@ujjivan.com;laxman.jetithor@ujjivan.com;singh.vijay@ujjivan.com;rakesh.athavale@ujjivan.com;helpdeskwest@ujjivan.com; </v>
      </c>
      <c r="M369" s="62" t="s">
        <v>1396</v>
      </c>
      <c r="N369" s="68" t="str">
        <f t="shared" si="11"/>
        <v xml:space="preserve">Dear Team, Please find attached list of prospect clients for REPEAT GL-LOANS (clients who have taken earlier an GL Loan) for you branch.
Thanks &amp; Regards,
MIS Team
</v>
      </c>
      <c r="O369" s="63" t="s">
        <v>1028</v>
      </c>
      <c r="X369" s="68" t="s">
        <v>3573</v>
      </c>
      <c r="Y369" s="120" t="s">
        <v>4924</v>
      </c>
      <c r="Z369" s="119" t="s">
        <v>3572</v>
      </c>
    </row>
    <row r="370" spans="1:26" ht="15.75" x14ac:dyDescent="0.25">
      <c r="A370" s="64" t="s">
        <v>767</v>
      </c>
      <c r="B370" s="148" t="s">
        <v>793</v>
      </c>
      <c r="C370" s="62" t="s">
        <v>4426</v>
      </c>
      <c r="D370" s="62" t="str">
        <f t="shared" si="12"/>
        <v>tushar.mali@ujjivan.com;asifa.shaikh@ujjivan.com;varun.yadav@ujjivan.com;</v>
      </c>
      <c r="E370" s="62" t="s">
        <v>3763</v>
      </c>
      <c r="F370" s="62" t="s">
        <v>4485</v>
      </c>
      <c r="G370" s="62" t="s">
        <v>978</v>
      </c>
      <c r="H370" s="65" t="s">
        <v>768</v>
      </c>
      <c r="I370" s="65" t="s">
        <v>769</v>
      </c>
      <c r="J370" s="67" t="s">
        <v>4401</v>
      </c>
      <c r="K370" s="62" t="str">
        <f>VLOOKUP(B370,Sheet5!$A$1:$H$471,8,0)</f>
        <v>tushar.mali@ujjivan.com;asifa.shaikh@ujjivan.com;kausalya.sirgire@ujjivan.com;varun.yadav@ujjivan.com;west-nashikcity-branch@ujjivan.com;ccr-nashikcity@ujjivan.com;kundan.patil@ujjivan.com;hemlata.pande@ujjivan.com;kausalya.sirgire@ujjivan.com;nitin.hemade@ujjivan.com;amar.patil@ujjivan.com;shital.satpute@ujjivan.com;nayan.thorat@ujjivan.com;Amol.ahirrao@ujjivan.com;;</v>
      </c>
      <c r="L370" s="62" t="str">
        <f>VLOOKUP($B370,Sheet4!$B:$E,4,0)</f>
        <v xml:space="preserve">west-nashikcity-branch@ujjivan.com;ccr-nashikcity@ujjivan.com;vaibhav.more@ujjivan.com;hemlata.pande@ujjivan.com;shreeram.walawe@ujjivan.com;helpdeskwest@ujjivan.com; </v>
      </c>
      <c r="M370" s="65" t="s">
        <v>1397</v>
      </c>
      <c r="N370" s="68" t="str">
        <f t="shared" si="11"/>
        <v xml:space="preserve">Dear Team, Please find attached list of prospect clients for REPEAT GL-LOANS (clients who have taken earlier an GL Loan) for you branch.
Thanks &amp; Regards,
MIS Team
</v>
      </c>
      <c r="O370" s="66" t="s">
        <v>1028</v>
      </c>
      <c r="X370" s="68" t="s">
        <v>3573</v>
      </c>
      <c r="Y370" s="120" t="s">
        <v>4924</v>
      </c>
      <c r="Z370" s="119" t="s">
        <v>3572</v>
      </c>
    </row>
    <row r="371" spans="1:26" ht="15.75" x14ac:dyDescent="0.25">
      <c r="A371" s="61" t="s">
        <v>767</v>
      </c>
      <c r="B371" s="147" t="s">
        <v>794</v>
      </c>
      <c r="C371" s="62" t="s">
        <v>4558</v>
      </c>
      <c r="D371" s="62" t="e">
        <f t="shared" si="12"/>
        <v>#N/A</v>
      </c>
      <c r="E371" s="62">
        <v>0</v>
      </c>
      <c r="F371" s="62" t="e">
        <v>#N/A</v>
      </c>
      <c r="G371" s="62" t="e">
        <v>#N/A</v>
      </c>
      <c r="H371" s="62" t="s">
        <v>768</v>
      </c>
      <c r="I371" s="62" t="s">
        <v>769</v>
      </c>
      <c r="J371" s="67" t="s">
        <v>4401</v>
      </c>
      <c r="K371" s="62" t="str">
        <f>VLOOKUP(B371,Sheet5!$A$1:$H$471,8,0)</f>
        <v>;;;;west-panchavati-branch@ujjivan.com;ccr-panchavati@ujjivan.com;harshada.patil@ujjivan.com;somnath.chaudhari@ujjivan.com;rekha.sanap@ujjivan.com;shekhar.pardeshi@ujjivan.com;kausalya.sirgire@ujjivan.com;nitin.hemade@ujjivan.com;Chandrakant.suryawanshi@ujjivan.com ;sunil.mali@ujjivan.com;amar.patil@ujjivan.com;vaibhav.wagh@ujjivan.com;;;</v>
      </c>
      <c r="L371" s="62" t="str">
        <f>VLOOKUP($B371,Sheet4!$B:$E,4,0)</f>
        <v xml:space="preserve">west-panchavati-branch@ujjivan.com;ccr-panchavati@ujjivan.com;harshada.patil@ujjivan.com;kundan.patil@ujjivan.com;shreeram.walawe@ujjivan.com;helpdeskwest@ujjivan.com; </v>
      </c>
      <c r="M371" s="62" t="s">
        <v>1398</v>
      </c>
      <c r="N371" s="68"/>
      <c r="O371" s="63" t="s">
        <v>1028</v>
      </c>
      <c r="X371" s="68" t="s">
        <v>3573</v>
      </c>
      <c r="Y371" s="120" t="s">
        <v>4924</v>
      </c>
      <c r="Z371" s="119" t="s">
        <v>3572</v>
      </c>
    </row>
    <row r="372" spans="1:26" ht="15.75" x14ac:dyDescent="0.25">
      <c r="A372" s="64" t="s">
        <v>767</v>
      </c>
      <c r="B372" s="148" t="s">
        <v>796</v>
      </c>
      <c r="C372" s="62" t="s">
        <v>3505</v>
      </c>
      <c r="D372" s="62" t="str">
        <f t="shared" si="12"/>
        <v>dhanraj.more@ujjivan.com;pandurang.shinde@ujjivan.com;nirav.vahalia@ujjivan.com;</v>
      </c>
      <c r="E372" s="62" t="s">
        <v>3734</v>
      </c>
      <c r="F372" s="62" t="s">
        <v>4155</v>
      </c>
      <c r="G372" s="62" t="s">
        <v>2756</v>
      </c>
      <c r="H372" s="65"/>
      <c r="I372" s="65" t="s">
        <v>769</v>
      </c>
      <c r="J372" s="67" t="s">
        <v>4401</v>
      </c>
      <c r="K372" s="62" t="str">
        <f>VLOOKUP(B372,Sheet5!$A$1:$H$471,8,0)</f>
        <v>ritesh.sawant@ujjivan.com;pandurang.shinde@ujjivan.com;deepika.deori@ujjivan.com;nirav.vahalia@ujjivan.com;west-chakala-branch@ujjivan.com;west-chandivali-branch@ujjivan.com;ccr-chandivali@ujjivan.com;arun.jagtap@ujjivan.com;pandurang.shinde@ujjivan.com;vaishali.kamble@ujjivan.com;aniket.tamuche@ujjivan.com;hiren.karolia@ujjivan.com;umakant.yadav@ujjivan.com;prashant.jadhav@ujjivan.com;priya.gaikwad@ujjivan.com;tanveer.khan@ujjivan.com;jitendra.sodhi@ujjivan.com;gupta.mahesh@ujjivan.com;Sanjay.kalwar@ujjivan.com;aditya.tripathi@ujjivan.com;sunil.parab@ujjivan.com;ravindra.kharat@ujjivan.com;;;</v>
      </c>
      <c r="L372" s="62" t="str">
        <f>VLOOKUP($B372,Sheet4!$B:$E,4,0)</f>
        <v xml:space="preserve">ccr-chakala@ujjivan.com;arun.jagtap@ujjivan.com;priya.gaikwad@ujjivan.com;helpdeskwest@ujjivan.com; </v>
      </c>
      <c r="M372" s="65" t="s">
        <v>1399</v>
      </c>
      <c r="N372" s="68" t="str">
        <f t="shared" si="11"/>
        <v xml:space="preserve">Dear Team, Please find attached list of prospect clients for REPEAT GL-LOANS (clients who have taken earlier an GL Loan) for you branch.
Thanks &amp; Regards,
MIS Team
</v>
      </c>
      <c r="O372" s="66" t="s">
        <v>1028</v>
      </c>
      <c r="X372" s="68" t="s">
        <v>3573</v>
      </c>
      <c r="Y372" s="120" t="s">
        <v>4924</v>
      </c>
      <c r="Z372" s="119" t="s">
        <v>3572</v>
      </c>
    </row>
    <row r="373" spans="1:26" ht="15.75" x14ac:dyDescent="0.25">
      <c r="A373" s="61" t="s">
        <v>767</v>
      </c>
      <c r="B373" s="147" t="s">
        <v>797</v>
      </c>
      <c r="C373" s="62" t="s">
        <v>3506</v>
      </c>
      <c r="D373" s="62" t="str">
        <f t="shared" si="12"/>
        <v>nilesh.girase@ujjivan.com;-;satish.ankola@ujjivan.com;</v>
      </c>
      <c r="E373" s="62" t="s">
        <v>2769</v>
      </c>
      <c r="F373" s="62" t="s">
        <v>3608</v>
      </c>
      <c r="G373" s="62" t="s">
        <v>829</v>
      </c>
      <c r="H373" s="62"/>
      <c r="I373" s="62" t="s">
        <v>769</v>
      </c>
      <c r="J373" s="67" t="s">
        <v>4401</v>
      </c>
      <c r="K373" s="62" t="str">
        <f>VLOOKUP(B373,Sheet5!$A$1:$H$471,8,0)</f>
        <v>nilesh.girase@ujjivan.com;girish.gamit@ujjivan.com;rajesh.khedkar@ujjivan.com;satish.ankola@ujjivan.com;west-udhana-branch@ujjivan.com;ccr-udhana@ujjivan.com;milan.tarsariya@ujjivan.com;bhautik.kanani@ujjivan.com;girish.gamit@ujjivan.com;sushil.patil@ujjivan.com;naresh.dolar@ujjivan.com;rajesh.khedkar@ujjivan.com;sumit.shrivastav@ujjivan.com;gaurang.sonigra@ujjivan.com;sumit.shrivastav@ujjivan.com;hitarth.trivedi@ujjivan.com;himanshu.chauhan@ujjivan.com;ekta.kanthariya@ujjivan.com;bhishma.mahajan@ujjivan.com;dharmesh.mahyavanshi@ujjivan.com;sagar.bavishi@ujjivan.com;jaydeep.ghaskata@ujjivan.com;rohan.shirsath@ujjivan.com;jaydeep.vaghasiya@ujjivan.com;ahmed.lathiya@ujjivan.com;manish.rana@ujjivan.com;;</v>
      </c>
      <c r="L373" s="62" t="str">
        <f>VLOOKUP($B373,Sheet4!$B:$E,4,0)</f>
        <v xml:space="preserve">west-udhana-branch@ujjivan.com;ccr-udhana@ujjivan.com;bhautik.kanani@ujjivan.com;girish.gamit@ujjivan.com;jenish.lapsiwala@ujjivan.com;helpdeskwest@ujjivan.com; </v>
      </c>
      <c r="M373" s="62" t="s">
        <v>1400</v>
      </c>
      <c r="N373" s="68" t="str">
        <f t="shared" si="11"/>
        <v xml:space="preserve">Dear Team, Please find attached list of prospect clients for REPEAT GL-LOANS (clients who have taken earlier an GL Loan) for you branch.
Thanks &amp; Regards,
MIS Team
</v>
      </c>
      <c r="O373" s="63" t="s">
        <v>1028</v>
      </c>
      <c r="X373" s="68" t="s">
        <v>3573</v>
      </c>
      <c r="Y373" s="120" t="s">
        <v>4924</v>
      </c>
      <c r="Z373" s="119" t="s">
        <v>3572</v>
      </c>
    </row>
    <row r="374" spans="1:26" ht="15.75" x14ac:dyDescent="0.25">
      <c r="A374" s="64" t="s">
        <v>767</v>
      </c>
      <c r="B374" s="148" t="s">
        <v>799</v>
      </c>
      <c r="C374" s="62" t="s">
        <v>4558</v>
      </c>
      <c r="D374" s="62" t="e">
        <f t="shared" si="12"/>
        <v>#N/A</v>
      </c>
      <c r="E374" s="62">
        <v>0</v>
      </c>
      <c r="F374" s="62" t="e">
        <v>#N/A</v>
      </c>
      <c r="G374" s="62" t="e">
        <v>#N/A</v>
      </c>
      <c r="H374" s="65"/>
      <c r="I374" s="65" t="s">
        <v>769</v>
      </c>
      <c r="J374" s="67" t="s">
        <v>4401</v>
      </c>
      <c r="K374" s="62" t="str">
        <f>VLOOKUP(B374,Sheet5!$A$1:$H$471,8,0)</f>
        <v>;;;;chandresh.kharadi@ujjivan.com;;</v>
      </c>
      <c r="L374" s="62" t="str">
        <f>VLOOKUP($B374,Sheet4!$B:$E,4,0)</f>
        <v xml:space="preserve">west-katargam-branch@ujjivan.com;ccr-katargam@ujjivan.com;denishkumar.bhandari@ujjivan.com;yashpal.jadhav@ujjivan.com;bhishma.mahajan@ujjivan.com;helpdeskwest@ujjivan.com; </v>
      </c>
      <c r="M374" s="65" t="s">
        <v>1401</v>
      </c>
      <c r="N374" s="68"/>
      <c r="O374" s="66" t="s">
        <v>1028</v>
      </c>
      <c r="X374" s="68" t="s">
        <v>3573</v>
      </c>
      <c r="Y374" s="120" t="s">
        <v>4924</v>
      </c>
      <c r="Z374" s="119" t="s">
        <v>3572</v>
      </c>
    </row>
    <row r="375" spans="1:26" ht="15.75" x14ac:dyDescent="0.25">
      <c r="A375" s="61" t="s">
        <v>767</v>
      </c>
      <c r="B375" s="147" t="s">
        <v>800</v>
      </c>
      <c r="C375" s="62" t="s">
        <v>4558</v>
      </c>
      <c r="D375" s="62" t="str">
        <f t="shared" si="12"/>
        <v>0;sagar.bavishi@ujjivan.com;satish.ankola@ujjivan.com;</v>
      </c>
      <c r="E375" s="62">
        <v>0</v>
      </c>
      <c r="F375" s="62" t="s">
        <v>4157</v>
      </c>
      <c r="G375" s="62" t="s">
        <v>829</v>
      </c>
      <c r="H375" s="62"/>
      <c r="I375" s="62" t="s">
        <v>769</v>
      </c>
      <c r="J375" s="67" t="s">
        <v>4401</v>
      </c>
      <c r="K375" s="62" t="str">
        <f>VLOOKUP(B375,Sheet5!$A$1:$H$471,8,0)</f>
        <v>bhishma.mahajan@ujjivan.com;sushil.patil@ujjivan.com;rajesh.khedkar@ujjivan.com;satish.ankola@ujjivan.com;west-limbayat-branch@ujjivan.com;ccr-limbayat@ujjivan.com;rahulkumar.paghdal@ujjivan.com;alpesh.surti@ujjivan.com;dashrath.rabari@ujjivan.com;dhananjay.wagh@ujjivan.com;jenish.lapsiwala@ujjivan.com;rajesh.khedkar@ujjivan.com;bhavin.surani@ujjivan.com;Dharmesh.Patil@ujjivan.com;hitarth.trivedi@ujjivan.com;bhavtik.barvaliya@ujjivan.com;vivek.kheni@ujjivan.com;vishal.sandanshiv@ujjivan.com;manish.rana@ujjivan.com;;</v>
      </c>
      <c r="L375" s="62" t="str">
        <f>VLOOKUP($B375,Sheet4!$B:$E,4,0)</f>
        <v xml:space="preserve">west-limbayat-branch@ujjivan.com;ccr-limbayat@ujjivan.com;rahulkumar.paghdal@ujjivan.com;alpesh.surti@ujjivan.com;jenish.lapsiwala@ujjivan.com;helpdeskwest@ujjivan.com; </v>
      </c>
      <c r="M375" s="62" t="s">
        <v>1402</v>
      </c>
      <c r="N375" s="68"/>
      <c r="O375" s="63" t="s">
        <v>1028</v>
      </c>
      <c r="X375" s="68" t="s">
        <v>3573</v>
      </c>
      <c r="Y375" s="120" t="s">
        <v>4924</v>
      </c>
      <c r="Z375" s="119" t="s">
        <v>3572</v>
      </c>
    </row>
    <row r="376" spans="1:26" ht="15.75" x14ac:dyDescent="0.25">
      <c r="A376" s="64" t="s">
        <v>767</v>
      </c>
      <c r="B376" s="148" t="s">
        <v>801</v>
      </c>
      <c r="C376" s="62" t="s">
        <v>4558</v>
      </c>
      <c r="D376" s="62" t="str">
        <f t="shared" si="12"/>
        <v>0;prakash.patel@ujjivan.com;satish.ankola@ujjivan.com;</v>
      </c>
      <c r="E376" s="62">
        <v>0</v>
      </c>
      <c r="F376" s="62" t="s">
        <v>4158</v>
      </c>
      <c r="G376" s="62" t="s">
        <v>829</v>
      </c>
      <c r="H376" s="65"/>
      <c r="I376" s="65" t="s">
        <v>769</v>
      </c>
      <c r="J376" s="67" t="s">
        <v>4401</v>
      </c>
      <c r="K376" s="62" t="str">
        <f>VLOOKUP(B376,Sheet5!$A$1:$H$471,8,0)</f>
        <v>prakash.bhitora@ujjivan.com;jaydeep.vaghasiya@ujjivan.com;rajesh.khedkar@ujjivan.com;satish.ankola@ujjivan.com;west-varachha-branch@ujjivan.com;ccr.varachha@ujjivan.com;prakash.patel@ujjivan.com;vimal.bhalani@ujjivan.com;yogesh.chaudhari@ujjivan.com;prakash.bhitora@ujjivan.com;rajesh.khedkar@ujjivan.com;punit.patel@ujjivan.com;hitarth.trivedi@ujjivan.com;dnyaneshwar.wakadikar@ujjivan.com;naresh.parmar@ujjivan.com;denishkumar.bhandari@ujjivan.com;yashpal.jadhav@ujjivan.com;keval.moradiya@ujjivan.com;rajesh.khedkar@ujjivan.com;gaurang.sonigra@ujjivan.com;himanshu.chauhan@ujjivan.com;kalpesh.moradiya@ujjivan.com;denishkumar.bhandari@ujjivan.com;manish.rana@ujjivan.com;;</v>
      </c>
      <c r="L376" s="62" t="str">
        <f>VLOOKUP($B376,Sheet4!$B:$E,4,0)</f>
        <v xml:space="preserve">west-varachha-branch@ujjivan.com;ccr.varachha@ujjivan.com;prakash.patel@ujjivan.com;gaurav.mistry@ujjivan.com;bhishma.mahajan@ujjivan.com;helpdeskwest@ujjivan.com; </v>
      </c>
      <c r="M376" s="65" t="s">
        <v>1403</v>
      </c>
      <c r="N376" s="68"/>
      <c r="O376" s="66" t="s">
        <v>1028</v>
      </c>
      <c r="X376" s="68" t="s">
        <v>3573</v>
      </c>
      <c r="Y376" s="120" t="s">
        <v>4924</v>
      </c>
      <c r="Z376" s="119" t="s">
        <v>3572</v>
      </c>
    </row>
    <row r="377" spans="1:26" ht="15.75" x14ac:dyDescent="0.25">
      <c r="A377" s="61" t="s">
        <v>767</v>
      </c>
      <c r="B377" s="147" t="s">
        <v>802</v>
      </c>
      <c r="C377" s="62" t="s">
        <v>3507</v>
      </c>
      <c r="D377" s="62" t="str">
        <f t="shared" si="12"/>
        <v>Poonam.selakoti@ujjivan.com;kavita.pawar@ujjivan.com;varun.yadav@ujjivan.com;</v>
      </c>
      <c r="E377" s="62" t="s">
        <v>3735</v>
      </c>
      <c r="F377" s="62" t="s">
        <v>4159</v>
      </c>
      <c r="G377" s="62" t="s">
        <v>978</v>
      </c>
      <c r="H377" s="62" t="s">
        <v>768</v>
      </c>
      <c r="I377" s="62" t="s">
        <v>769</v>
      </c>
      <c r="J377" s="67" t="s">
        <v>4401</v>
      </c>
      <c r="K377" s="62" t="str">
        <f>VLOOKUP(B377,Sheet5!$A$1:$H$471,8,0)</f>
        <v>pramod.mahangare@ujjivan.com;shweta.negi@ujjivan.com;shrikant.walunj@ujjivan.com;varun.yadav@ujjivan.com;west-chandannagar-branch@ujjivan.com;ccr-west.chandannagar@ujjivan.com;prashant.kawade@ujjivan.com;narendra.ramteke@ujjivan.com;tanaji.motegaonkar@ujjivan.com;shrikant.walunj@ujjivan.com;himanshu.mittal@ujjivan.com;sudhakar.ighare@ujjivan.com;hemant.awade@ujjivan.com;rahul.devne@ujjivan.com;abhijeet.bhadange@ujjivan.com;poonam.selakoti@ujjivan.com;;</v>
      </c>
      <c r="L377" s="62" t="str">
        <f>VLOOKUP($B377,Sheet4!$B:$E,4,0)</f>
        <v xml:space="preserve">west-chandannagar-branch@ujjivan.com;ccr-west.chandannagar@ujjivan.com;prashant.kawade@ujjivan.com;prakash.gaikwad@ujjivan.com;yogesh.kamble@ujjivan.com;helpdeskwest@ujjivan.com; </v>
      </c>
      <c r="M377" s="62" t="s">
        <v>1405</v>
      </c>
      <c r="N377" s="68" t="str">
        <f t="shared" si="11"/>
        <v xml:space="preserve">Dear Team, Please find attached list of prospect clients for REPEAT GL-LOANS (clients who have taken earlier an GL Loan) for you branch.
Thanks &amp; Regards,
MIS Team
</v>
      </c>
      <c r="O377" s="63" t="s">
        <v>1028</v>
      </c>
      <c r="X377" s="68" t="s">
        <v>3573</v>
      </c>
      <c r="Y377" s="120" t="s">
        <v>4924</v>
      </c>
      <c r="Z377" s="119" t="s">
        <v>3572</v>
      </c>
    </row>
    <row r="378" spans="1:26" ht="15.75" x14ac:dyDescent="0.25">
      <c r="A378" s="64" t="s">
        <v>767</v>
      </c>
      <c r="B378" s="148" t="s">
        <v>803</v>
      </c>
      <c r="C378" s="62" t="s">
        <v>3508</v>
      </c>
      <c r="D378" s="62" t="str">
        <f t="shared" si="12"/>
        <v>krishna.yadav@ujjivan.com;dievijay.jadhav@ujjivan.com;nirav.vahalia@ujjivan.com;</v>
      </c>
      <c r="E378" s="62" t="s">
        <v>3203</v>
      </c>
      <c r="F378" s="62" t="s">
        <v>4160</v>
      </c>
      <c r="G378" s="62" t="s">
        <v>2756</v>
      </c>
      <c r="H378" s="65"/>
      <c r="I378" s="65" t="s">
        <v>769</v>
      </c>
      <c r="J378" s="67" t="s">
        <v>4401</v>
      </c>
      <c r="K378" s="62" t="str">
        <f>VLOOKUP(B378,Sheet5!$A$1:$H$471,8,0)</f>
        <v>krishna.yadav@ujjivan.com;dievijay.jadhav@ujjivan.com;deepika.deori@ujjivan.com;nirav.vahalia@ujjivan.com;west-goregaon-branch@ujjivan.com;ccr.goregaon@ujjivan.com;dadasaheb.ghode@ujjivan.com;dhanraj.more@ujjivan.com;amol.pawar@ujjivan.com;prashant.jadhav@ujjivan.com;santhosh.acharya@ujjivan.com;tanveer.khan@ujjivan.com;jitendra.sodhi@ujjivan.com;gupta.mahesh@ujjivan.com;Sanjay.kalwar@ujjivan.com;mahesh.rane@ujjivan.com;mahendra.nikam@ujjivan.com;sunil.parab@ujjivan.com;mahesh.gupta@ujjivan.com;;</v>
      </c>
      <c r="L378" s="62" t="str">
        <f>VLOOKUP($B378,Sheet4!$B:$E,4,0)</f>
        <v xml:space="preserve">west-goregaon-branch@ujjivan.com;ccr.goregaon@ujjivan.com;jyotsna.chipte@ujjivan.com;rameshwar.chaudhari@ujjivan.com;krishna.yadav@ujjivan.com;bhakti.nena@ujjivan.com;helpdeskwest@ujjivan.com; </v>
      </c>
      <c r="M378" s="65" t="s">
        <v>1406</v>
      </c>
      <c r="N378" s="68" t="str">
        <f t="shared" si="11"/>
        <v xml:space="preserve">Dear Team, Please find attached list of prospect clients for REPEAT GL-LOANS (clients who have taken earlier an GL Loan) for you branch.
Thanks &amp; Regards,
MIS Team
</v>
      </c>
      <c r="O378" s="66" t="s">
        <v>1028</v>
      </c>
      <c r="X378" s="68" t="s">
        <v>3573</v>
      </c>
      <c r="Y378" s="120" t="s">
        <v>4924</v>
      </c>
      <c r="Z378" s="119" t="s">
        <v>3572</v>
      </c>
    </row>
    <row r="379" spans="1:26" ht="15.75" x14ac:dyDescent="0.25">
      <c r="A379" s="61" t="s">
        <v>767</v>
      </c>
      <c r="B379" s="147" t="s">
        <v>804</v>
      </c>
      <c r="C379" s="62" t="s">
        <v>3509</v>
      </c>
      <c r="D379" s="62" t="str">
        <f t="shared" si="12"/>
        <v>mahendra.kamble@ujjivan.com;sumaiya.qureshi@ujjivan.com;nirav.vahalia@ujjivan.com;</v>
      </c>
      <c r="E379" s="62" t="s">
        <v>3736</v>
      </c>
      <c r="F379" s="62" t="s">
        <v>4162</v>
      </c>
      <c r="G379" s="62" t="s">
        <v>2756</v>
      </c>
      <c r="H379" s="62"/>
      <c r="I379" s="62" t="s">
        <v>769</v>
      </c>
      <c r="J379" s="67" t="s">
        <v>4401</v>
      </c>
      <c r="K379" s="62" t="str">
        <f>VLOOKUP(B379,Sheet5!$A$1:$H$471,8,0)</f>
        <v>yogesh.nagargoje@ujjivan.com;sumaiya.qureshi@ujjivan.com;gaurav.pawar@ujjivan.com;nirav.vahalia@ujjivan.com;west-wadala-branch@ujjivan.com;ccr-wadala@ujjivan.com;mahendra.kamble@ujjivan.com;meena. Jangate;narayan.thorat@ujjivan.com;hiren.karolia@ujjivan.com;mahesh.rane@ujjivan.com;prashant.jadhav@ujjivan.com;ameet.usakoyall@ujjivan.com;jitendra.sodhi@ujjivan.com;gupta.mahesh@ujjivan.com;sagar.chavan@ujjivan.com;kailash.chaudhari@ujjivan.com ;rakesh.athavale@ujjivan.com;sanjay.kalwar@ujjivan.com;nandan.yadav@ujjivan.com;sunil.parab@ujjivan.com;;</v>
      </c>
      <c r="L379" s="62" t="str">
        <f>VLOOKUP($B379,Sheet4!$B:$E,4,0)</f>
        <v xml:space="preserve">west-wadala-branch@ujjivan.com;ccr-wadala@ujjivan.com;amar.lagad@ujjivan.com;rakesh.athavale@ujjivan.com;helpdeskwest@ujjivan.com; </v>
      </c>
      <c r="M379" s="62" t="s">
        <v>1407</v>
      </c>
      <c r="N379" s="68" t="str">
        <f t="shared" si="11"/>
        <v xml:space="preserve">Dear Team, Please find attached list of prospect clients for REPEAT GL-LOANS (clients who have taken earlier an GL Loan) for you branch.
Thanks &amp; Regards,
MIS Team
</v>
      </c>
      <c r="O379" s="63" t="s">
        <v>1028</v>
      </c>
      <c r="X379" s="68" t="s">
        <v>3573</v>
      </c>
      <c r="Y379" s="120" t="s">
        <v>4924</v>
      </c>
      <c r="Z379" s="119" t="s">
        <v>3572</v>
      </c>
    </row>
    <row r="380" spans="1:26" ht="15.75" x14ac:dyDescent="0.25">
      <c r="A380" s="64" t="s">
        <v>767</v>
      </c>
      <c r="B380" s="148" t="s">
        <v>805</v>
      </c>
      <c r="C380" s="62" t="s">
        <v>4558</v>
      </c>
      <c r="D380" s="62" t="e">
        <f t="shared" si="12"/>
        <v>#N/A</v>
      </c>
      <c r="E380" s="62">
        <v>0</v>
      </c>
      <c r="F380" s="62" t="e">
        <v>#N/A</v>
      </c>
      <c r="G380" s="62" t="e">
        <v>#N/A</v>
      </c>
      <c r="H380" s="65"/>
      <c r="I380" s="65"/>
      <c r="J380" s="67" t="s">
        <v>4401</v>
      </c>
      <c r="K380" s="62" t="str">
        <f>VLOOKUP(B380,Sheet5!$A$1:$H$471,8,0)</f>
        <v>;;;;arun.parmar@ujjivan.com;;</v>
      </c>
      <c r="L380" s="62" t="str">
        <f>VLOOKUP($B380,Sheet4!$B:$E,4,0)</f>
        <v xml:space="preserve">west-dharavi-branch@ujjivan.com;ccr-dharavi@ujjivan.com;vinod.sonawane@ujjivan.com;priya.gaikwad@ujjivan.com;helpdeskwest@ujjivan.com; </v>
      </c>
      <c r="M380" s="65" t="s">
        <v>1408</v>
      </c>
      <c r="N380" s="68"/>
      <c r="O380" s="66" t="s">
        <v>1028</v>
      </c>
      <c r="X380" s="68" t="s">
        <v>3573</v>
      </c>
      <c r="Y380" s="120" t="s">
        <v>4924</v>
      </c>
      <c r="Z380" s="119" t="s">
        <v>3572</v>
      </c>
    </row>
    <row r="381" spans="1:26" ht="15.75" x14ac:dyDescent="0.25">
      <c r="A381" s="61" t="s">
        <v>767</v>
      </c>
      <c r="B381" s="147" t="s">
        <v>807</v>
      </c>
      <c r="C381" s="62" t="s">
        <v>4558</v>
      </c>
      <c r="D381" s="62" t="str">
        <f t="shared" si="12"/>
        <v>0;dadasaheb.ghode@ujjivan.com;nirav.vahalia@ujjivan.com;</v>
      </c>
      <c r="E381" s="62">
        <v>0</v>
      </c>
      <c r="F381" s="62" t="s">
        <v>4163</v>
      </c>
      <c r="G381" s="62" t="s">
        <v>2756</v>
      </c>
      <c r="H381" s="62"/>
      <c r="I381" s="62" t="s">
        <v>769</v>
      </c>
      <c r="J381" s="67" t="s">
        <v>4401</v>
      </c>
      <c r="K381" s="62" t="str">
        <f>VLOOKUP(B381,Sheet5!$A$1:$H$471,8,0)</f>
        <v>santhosh.acharya@ujjivan.com;sanket.kolte@ujjivan.com;deepika.deori@ujjivan.com;nirav.vahalia@ujjivan.com;west-santacruz-branch@ujjivan.com;ccr.santacruz@ujjivan.com;daulat.jeliya@ujjivan.com;bhagyashri.garade@ujjivan.com;digambar.sharma@ujjivan.com;karishma.desai@ujjivan.com;hiren.karolia@ujjivan.com;umakant.yadav@ujjivan.com;tanveer.khan@ujjivan.com;jitendra.sodhi@ujjivan.com;gupta.mahesh@ujjivan.com;Sanjay.kalwar@ujjivan.com;santhosh.acharya@ujjivan.com;ravi.kakade@ujjivan.com;vinod.sonawane@ujjivan.com;sunil.parab@ujjivan.com;;;</v>
      </c>
      <c r="L381" s="62" t="str">
        <f>VLOOKUP($B381,Sheet4!$B:$E,4,0)</f>
        <v xml:space="preserve">west-santacruz-branch@ujjivan.com;ccr.santacruz@ujjivan.com;bhagyashri.garade@ujjivan.com;rameshwar.chaudhari@ujjivan.com;helpdeskwest@ujjivan.com; </v>
      </c>
      <c r="M381" s="62" t="s">
        <v>1409</v>
      </c>
      <c r="N381" s="68"/>
      <c r="O381" s="63" t="s">
        <v>1028</v>
      </c>
      <c r="X381" s="68" t="s">
        <v>3573</v>
      </c>
      <c r="Y381" s="120" t="s">
        <v>4924</v>
      </c>
      <c r="Z381" s="119" t="s">
        <v>3572</v>
      </c>
    </row>
    <row r="382" spans="1:26" ht="15.75" x14ac:dyDescent="0.25">
      <c r="A382" s="64" t="s">
        <v>767</v>
      </c>
      <c r="B382" s="148" t="s">
        <v>808</v>
      </c>
      <c r="C382" s="62" t="s">
        <v>4558</v>
      </c>
      <c r="D382" s="62" t="e">
        <f t="shared" si="12"/>
        <v>#N/A</v>
      </c>
      <c r="E382" s="62">
        <v>0</v>
      </c>
      <c r="F382" s="62" t="e">
        <v>#N/A</v>
      </c>
      <c r="G382" s="62" t="e">
        <v>#N/A</v>
      </c>
      <c r="H382" s="65"/>
      <c r="I382" s="65" t="s">
        <v>769</v>
      </c>
      <c r="J382" s="67" t="s">
        <v>4401</v>
      </c>
      <c r="K382" s="62" t="str">
        <f>VLOOKUP(B382,Sheet5!$A$1:$H$471,8,0)</f>
        <v>;;;;chandresh.kharadi@ujjivan.com;;</v>
      </c>
      <c r="L382" s="62" t="str">
        <f>VLOOKUP($B382,Sheet4!$B:$E,4,0)</f>
        <v xml:space="preserve">west-central.surat-branch@ujjivan.com;rinku.gokhru@ujjivan.com;sagar.bavishi@ujjivan.com;bhishma.mahajan@ujjivan.com;helpdeskwest@ujjivan.com; </v>
      </c>
      <c r="M382" s="65" t="s">
        <v>1410</v>
      </c>
      <c r="N382" s="68"/>
      <c r="O382" s="66" t="s">
        <v>1028</v>
      </c>
      <c r="X382" s="68" t="s">
        <v>3573</v>
      </c>
      <c r="Y382" s="120" t="s">
        <v>4924</v>
      </c>
      <c r="Z382" s="119" t="s">
        <v>3572</v>
      </c>
    </row>
    <row r="383" spans="1:26" ht="15.75" x14ac:dyDescent="0.25">
      <c r="A383" s="61" t="s">
        <v>767</v>
      </c>
      <c r="B383" s="147" t="s">
        <v>809</v>
      </c>
      <c r="C383" s="62" t="s">
        <v>3510</v>
      </c>
      <c r="D383" s="62" t="str">
        <f t="shared" si="12"/>
        <v>anish.malik@ujjivan.com;sumeet.parmar@ujjivan.com;satish.ankola@ujjivan.com;</v>
      </c>
      <c r="E383" s="62" t="s">
        <v>812</v>
      </c>
      <c r="F383" s="62" t="s">
        <v>4165</v>
      </c>
      <c r="G383" s="62" t="s">
        <v>829</v>
      </c>
      <c r="H383" s="62"/>
      <c r="I383" s="62" t="s">
        <v>769</v>
      </c>
      <c r="J383" s="67" t="s">
        <v>4401</v>
      </c>
      <c r="K383" s="62" t="str">
        <f>VLOOKUP(B383,Sheet5!$A$1:$H$471,8,0)</f>
        <v>anish.malik@ujjivan.com;sumeet.parmar@ujjivan.com;jenish.lapsiwala@ujjivan.com;satish.ankola@ujjivan.com;west-north.vadodara-branch@ujjivan.com;ccr-baroda-north@ujjivan.com; bhautik.vekariya@ujjivan.com;anish.malik@ujjivan.com;samir.shah@ujjivan.com;rajay.nikam@ujjivan.com;nirav.vahalia@ujjivan.com;vijay.rohit@ujjivan.com;nikhil.kulshretsha@ujjivan.com;rajnikant.parmar@ujjivan.com;hitarth.trivedi@ujjivan.com;agarwal prashant@ujjivan.com;sumeet.parmar@ujjivan.com;anish.malik@ujjivan.com;daxesh.bariya@ujjivan.com;amit.thakur@ujjivan.com;pravin.parmar@ujjivan.com;manish.rana@ujjivan.com;agarwal.prashant@ujjivan.com;;</v>
      </c>
      <c r="L383" s="62" t="str">
        <f>VLOOKUP($B383,Sheet4!$B:$E,4,0)</f>
        <v xml:space="preserve">west-north.vadodara-branch@ujjivan.com;ccr-baroda-north@ujjivan.com;amitkumar.pandey@ujjivan.com;rajay.nikam@ujjivan.com;helpdeskwest@ujjivan.com; </v>
      </c>
      <c r="M383" s="62" t="s">
        <v>1411</v>
      </c>
      <c r="N383" s="68" t="str">
        <f t="shared" si="11"/>
        <v xml:space="preserve">Dear Team, Please find attached list of prospect clients for REPEAT GL-LOANS (clients who have taken earlier an GL Loan) for you branch.
Thanks &amp; Regards,
MIS Team
</v>
      </c>
      <c r="O383" s="63" t="s">
        <v>1028</v>
      </c>
      <c r="X383" s="68" t="s">
        <v>3573</v>
      </c>
      <c r="Y383" s="120" t="s">
        <v>4924</v>
      </c>
      <c r="Z383" s="119" t="s">
        <v>3572</v>
      </c>
    </row>
    <row r="384" spans="1:26" ht="15.75" x14ac:dyDescent="0.25">
      <c r="A384" s="64" t="s">
        <v>767</v>
      </c>
      <c r="B384" s="148" t="s">
        <v>810</v>
      </c>
      <c r="C384" s="62" t="s">
        <v>3511</v>
      </c>
      <c r="D384" s="62" t="str">
        <f t="shared" si="12"/>
        <v>gaurav.agrawal@ujjivan.com;sunita.rohit@ujjivan.com;satish.ankola@ujjivan.com;</v>
      </c>
      <c r="E384" s="62" t="s">
        <v>3737</v>
      </c>
      <c r="F384" s="62" t="s">
        <v>4166</v>
      </c>
      <c r="G384" s="62" t="s">
        <v>829</v>
      </c>
      <c r="H384" s="65"/>
      <c r="I384" s="65" t="s">
        <v>769</v>
      </c>
      <c r="J384" s="67" t="s">
        <v>4401</v>
      </c>
      <c r="K384" s="62" t="str">
        <f>VLOOKUP(B384,Sheet5!$A$1:$H$471,8,0)</f>
        <v>gaurav.agrawal@ujjivan.com;sunita.rohit@ujjivan.com;jenish.lapsiwala@ujjivan.com;satish.ankola@ujjivan.com;west-south.vadodara-branch@ujjivan;ccr-baroda-south@ujjivan.com;sunita.rohit@ujjivan.com;snehal.shah@ujjivan.com;jitendra.sharma@ujjivan.com;Akshay.joshi@ujjivan.com; gaurav.agrawal@ujjivan.com; viral.patel@ujjivan.com;sunita.rohit@ujjivan.com;west-south.vadodara-branch@ujjivan.com;;</v>
      </c>
      <c r="L384" s="62" t="str">
        <f>VLOOKUP($B384,Sheet4!$B:$E,4,0)</f>
        <v xml:space="preserve">west-south.vadodara-branch@ujjivan;ccr-baroda-south@ujjivan.com;sunita.rohit@ujjivan.com;viral.patel@ujjivan.com;ashok.gosawi@ujjivan.com;helpdeskwest@ujjivan.com; </v>
      </c>
      <c r="M384" s="65" t="s">
        <v>1412</v>
      </c>
      <c r="N384" s="68" t="str">
        <f t="shared" si="11"/>
        <v xml:space="preserve">Dear Team, Please find attached list of prospect clients for REPEAT GL-LOANS (clients who have taken earlier an GL Loan) for you branch.
Thanks &amp; Regards,
MIS Team
</v>
      </c>
      <c r="O384" s="66" t="s">
        <v>1028</v>
      </c>
      <c r="X384" s="68" t="s">
        <v>3573</v>
      </c>
      <c r="Y384" s="120" t="s">
        <v>4924</v>
      </c>
      <c r="Z384" s="119" t="s">
        <v>3572</v>
      </c>
    </row>
    <row r="385" spans="1:26" ht="15.75" x14ac:dyDescent="0.25">
      <c r="A385" s="61" t="s">
        <v>767</v>
      </c>
      <c r="B385" s="147" t="s">
        <v>811</v>
      </c>
      <c r="C385" s="62" t="s">
        <v>4558</v>
      </c>
      <c r="D385" s="62" t="e">
        <f t="shared" si="12"/>
        <v>#N/A</v>
      </c>
      <c r="E385" s="62">
        <v>0</v>
      </c>
      <c r="F385" s="62" t="e">
        <v>#N/A</v>
      </c>
      <c r="G385" s="62" t="e">
        <v>#N/A</v>
      </c>
      <c r="H385" s="62"/>
      <c r="I385" s="62" t="s">
        <v>769</v>
      </c>
      <c r="J385" s="67" t="s">
        <v>4401</v>
      </c>
      <c r="K385" s="62" t="str">
        <f>VLOOKUP(B385,Sheet5!$A$1:$H$471,8,0)</f>
        <v>;;;;;;</v>
      </c>
      <c r="L385" s="62" t="str">
        <f>VLOOKUP($B385,Sheet4!$B:$E,4,0)</f>
        <v xml:space="preserve">west-east.vadodara-branch@ujjivan.com;ccr-baroda-east@ujjivan.com;anish.malik@ujjivan.com;samir.shah@ujjivan.com;ashok.gosawi@ujjivan.com;helpdeskwest@ujjivan.com; </v>
      </c>
      <c r="M385" s="62" t="s">
        <v>1413</v>
      </c>
      <c r="N385" s="68"/>
      <c r="O385" s="63" t="s">
        <v>1028</v>
      </c>
      <c r="X385" s="68" t="s">
        <v>3573</v>
      </c>
      <c r="Y385" s="120" t="s">
        <v>4924</v>
      </c>
      <c r="Z385" s="119" t="s">
        <v>3572</v>
      </c>
    </row>
    <row r="386" spans="1:26" ht="15.75" x14ac:dyDescent="0.25">
      <c r="A386" s="64" t="s">
        <v>767</v>
      </c>
      <c r="B386" s="148" t="s">
        <v>813</v>
      </c>
      <c r="C386" s="62" t="s">
        <v>3512</v>
      </c>
      <c r="D386" s="62" t="str">
        <f t="shared" si="12"/>
        <v>kuntal.patel@ujjivan.com;naresh.solanki@ujjivan.com;satish.ankola@ujjivan.com;</v>
      </c>
      <c r="E386" s="62" t="s">
        <v>2692</v>
      </c>
      <c r="F386" s="62" t="s">
        <v>4486</v>
      </c>
      <c r="G386" s="62" t="s">
        <v>829</v>
      </c>
      <c r="H386" s="65"/>
      <c r="I386" s="65" t="s">
        <v>769</v>
      </c>
      <c r="J386" s="67" t="s">
        <v>4401</v>
      </c>
      <c r="K386" s="62" t="str">
        <f>VLOOKUP(B386,Sheet5!$A$1:$H$471,8,0)</f>
        <v>samir.shah@ujjivan.com;kushal.parmar@ujjivan.com;jenish.lapsiwala@ujjivan.com;satish.ankola@ujjivan.com;west-central.vadodara-branch@ujjivan.com;ccr-baroda-central@ujjivan.com;pravin.parmar@ujjivan.com;vikas.prajapati@ujjivan.com;kuntal.patel@ujjivan.com;kalidas.solanki@ujjivan.com;vijay.rohit@ujjivan.com;amit.thakur@ujjivan.com;nikhil.kulshretsha@ujjivan.com;hitarth.trivedi@ujjivan.com;vinod.khristi@ujjivan.com;hiten.patel@ujjivan.com;manish.rana@ujjivan.com;vijaykumar.rohit@ujjivan.com;;</v>
      </c>
      <c r="L386" s="62" t="str">
        <f>VLOOKUP($B386,Sheet4!$B:$E,4,0)</f>
        <v xml:space="preserve">west-central.vadodara-branch@ujjivan.com;ccr-baroda-central@ujjivan.com;vikas.prajapati@ujjivan.com;rajay.nikam@ujjivan.com;helpdeskwest@ujjivan.com; </v>
      </c>
      <c r="M386" s="65" t="s">
        <v>1414</v>
      </c>
      <c r="N386" s="68" t="str">
        <f t="shared" si="11"/>
        <v xml:space="preserve">Dear Team, Please find attached list of prospect clients for REPEAT GL-LOANS (clients who have taken earlier an GL Loan) for you branch.
Thanks &amp; Regards,
MIS Team
</v>
      </c>
      <c r="O386" s="66" t="s">
        <v>1028</v>
      </c>
      <c r="X386" s="68" t="s">
        <v>3573</v>
      </c>
      <c r="Y386" s="120" t="s">
        <v>4924</v>
      </c>
      <c r="Z386" s="119" t="s">
        <v>3572</v>
      </c>
    </row>
    <row r="387" spans="1:26" ht="15.75" x14ac:dyDescent="0.25">
      <c r="A387" s="61" t="s">
        <v>767</v>
      </c>
      <c r="B387" s="147" t="s">
        <v>814</v>
      </c>
      <c r="C387" s="62" t="s">
        <v>3513</v>
      </c>
      <c r="D387" s="62" t="str">
        <f t="shared" si="12"/>
        <v>nilesh.patel.baldevbhai@ujjivan.com;kalpeshkumar.rathod@ujjivan.com;satish.ankola@ujjivan.com;</v>
      </c>
      <c r="E387" s="62" t="s">
        <v>3738</v>
      </c>
      <c r="F387" s="62" t="s">
        <v>4168</v>
      </c>
      <c r="G387" s="62" t="s">
        <v>829</v>
      </c>
      <c r="H387" s="62"/>
      <c r="I387" s="62" t="s">
        <v>769</v>
      </c>
      <c r="J387" s="67" t="s">
        <v>4401</v>
      </c>
      <c r="K387" s="62" t="str">
        <f>VLOOKUP(B387,Sheet5!$A$1:$H$471,8,0)</f>
        <v>nilesh.patel@ujjivan.com;kalpeshkumar.rathod@ujjivan.com;ashok.gosawi@ujjivan.com;satish.ankola@ujjivan.com;west-bharuch-branch@ujjivan.com;ccr-bharuch@ujjivan.com;bipinkumar.chauhan@ujjivan.com;dharmesh.vaghela@ujjivan.com;vivek.anand@ujjivan.com;nirav.vahalia@ujjivan.com;vijay.rohit@ujjivan.com;amit.thakur@ujjivan.com;hitarth.trivedi@ujjivan.com;vinod.khristi@ujjivan.com;atul.patel@ujjivan.com;shehjad.mistry@ujjivan.com;manish.rana@ujjivan.com;;</v>
      </c>
      <c r="L387" s="62" t="str">
        <f>VLOOKUP($B387,Sheet4!$B:$E,4,0)</f>
        <v xml:space="preserve">west-bharuch-branch@ujjivan.com;ccr-bharuch@ujjivan.com;bipinkumar.chauhan@ujjivan.com;dharmesh.vaghela@ujjivan.com;ashok.gosawi@ujjivan.com;helpdeskwest@ujjivan.com; </v>
      </c>
      <c r="M387" s="62" t="s">
        <v>1415</v>
      </c>
      <c r="N387" s="68" t="str">
        <f t="shared" si="11"/>
        <v xml:space="preserve">Dear Team, Please find attached list of prospect clients for REPEAT GL-LOANS (clients who have taken earlier an GL Loan) for you branch.
Thanks &amp; Regards,
MIS Team
</v>
      </c>
      <c r="O387" s="63" t="s">
        <v>1028</v>
      </c>
      <c r="X387" s="68" t="s">
        <v>3573</v>
      </c>
      <c r="Y387" s="120" t="s">
        <v>4924</v>
      </c>
      <c r="Z387" s="119" t="s">
        <v>3572</v>
      </c>
    </row>
    <row r="388" spans="1:26" ht="15.75" x14ac:dyDescent="0.25">
      <c r="A388" s="64" t="s">
        <v>767</v>
      </c>
      <c r="B388" s="148" t="s">
        <v>815</v>
      </c>
      <c r="C388" s="62" t="s">
        <v>3514</v>
      </c>
      <c r="D388" s="62" t="e">
        <f t="shared" si="12"/>
        <v>#N/A</v>
      </c>
      <c r="E388" s="62" t="s">
        <v>3739</v>
      </c>
      <c r="F388" s="62" t="e">
        <v>#N/A</v>
      </c>
      <c r="G388" s="62" t="e">
        <v>#N/A</v>
      </c>
      <c r="H388" s="65" t="s">
        <v>768</v>
      </c>
      <c r="I388" s="65" t="s">
        <v>769</v>
      </c>
      <c r="J388" s="67" t="s">
        <v>4401</v>
      </c>
      <c r="K388" s="62" t="str">
        <f>VLOOKUP(B388,Sheet5!$A$1:$H$471,8,0)</f>
        <v>kedar.dahale@ujjivan.com;angad.gadre@ujjivan.com;tushar.upase@ujjivan.com;;west-satara-branch@ujjivan.com;ccr-satara@ujjivan.com;rohit.sawant@ujjivan.com;dnyaneshwar.kulkarni@ujjivan.com;tushar.upase@ujjivan.com;amit.salunkhe@ujjivan.com;ramesh.chavan@ujjivan.com;hemant.awade@ujjivan.com;shivraj.more@ujjivan.com;ganesh.salunke@ujjivan.com;amar.jadhav@ujjivan.com;kedar.dahale@ujjivan.com;;;</v>
      </c>
      <c r="L388" s="62" t="str">
        <f>VLOOKUP($B388,Sheet4!$B:$E,4,0)</f>
        <v xml:space="preserve">west-satara-branch@ujjivan.com;ccr-satara@ujjivan.com;sunil.jadhav@ujjivan.com;nikhil.mohite@ujjivan.com;abhijeet.patil@ujjivan.com;helpdeskwest@ujjivan.com; </v>
      </c>
      <c r="M388" s="65" t="s">
        <v>1416</v>
      </c>
      <c r="N388" s="68" t="str">
        <f t="shared" si="11"/>
        <v xml:space="preserve">Dear Team, Please find attached list of prospect clients for REPEAT GL-LOANS (clients who have taken earlier an GL Loan) for you branch.
Thanks &amp; Regards,
MIS Team
</v>
      </c>
      <c r="O388" s="66" t="s">
        <v>1028</v>
      </c>
      <c r="X388" s="68" t="s">
        <v>3573</v>
      </c>
      <c r="Y388" s="120" t="s">
        <v>4924</v>
      </c>
      <c r="Z388" s="119" t="s">
        <v>3572</v>
      </c>
    </row>
    <row r="389" spans="1:26" ht="15.75" x14ac:dyDescent="0.25">
      <c r="A389" s="61" t="s">
        <v>767</v>
      </c>
      <c r="B389" s="147" t="s">
        <v>816</v>
      </c>
      <c r="C389" s="62" t="s">
        <v>3515</v>
      </c>
      <c r="D389" s="62" t="str">
        <f t="shared" si="12"/>
        <v>niranjan.mohite@ujjivan.com;ajay.patil@ujjivan.com;varun.yadav@ujjivan.com;</v>
      </c>
      <c r="E389" s="62" t="s">
        <v>3193</v>
      </c>
      <c r="F389" s="62" t="s">
        <v>4170</v>
      </c>
      <c r="G389" s="62" t="s">
        <v>978</v>
      </c>
      <c r="H389" s="62" t="s">
        <v>768</v>
      </c>
      <c r="I389" s="62" t="s">
        <v>769</v>
      </c>
      <c r="J389" s="67" t="s">
        <v>4401</v>
      </c>
      <c r="K389" s="62" t="str">
        <f>VLOOKUP(B389,Sheet5!$A$1:$H$471,8,0)</f>
        <v>niranjan.mohite@ujjivan.com;ajay.patil@ujjivan.com;tushar.upase@ujjivan.com;varun.yadav@ujjivan.com;west-karad-branch@ujjivan.com;ccr-karad@ujjivan.com;amar.babar@ujjivan.com;ajay.patil@ujjivan.com;dnyaneshwar.kulkarni@ujjivan.com;tushar.upase@ujjivan.com;ramesh.chavan@ujjivan.com;hemant.awade@ujjivan.com;rushiraj.hinukale@ujjivan.com;vikram.jadhav@ujjivan.com;swapnil.shinkar@ujjivan.com;;</v>
      </c>
      <c r="L389" s="62" t="str">
        <f>VLOOKUP($B389,Sheet4!$B:$E,4,0)</f>
        <v xml:space="preserve">west-karad-branch@ujjivan.com;ccr-karad@ujjivan.com;ganesh.salunke@ujjivan.com;abhijeet.patil@ujjivan.com;helpdeskwest@ujjivan.com; </v>
      </c>
      <c r="M389" s="62" t="s">
        <v>1417</v>
      </c>
      <c r="N389" s="68" t="str">
        <f t="shared" ref="N389:N452" si="13">X389&amp;" "&amp; Y389&amp;", "&amp;Z389</f>
        <v xml:space="preserve">Dear Team, Please find attached list of prospect clients for REPEAT GL-LOANS (clients who have taken earlier an GL Loan) for you branch.
Thanks &amp; Regards,
MIS Team
</v>
      </c>
      <c r="O389" s="63" t="s">
        <v>1028</v>
      </c>
      <c r="X389" s="68" t="s">
        <v>3573</v>
      </c>
      <c r="Y389" s="120" t="s">
        <v>4924</v>
      </c>
      <c r="Z389" s="119" t="s">
        <v>3572</v>
      </c>
    </row>
    <row r="390" spans="1:26" ht="15.75" x14ac:dyDescent="0.25">
      <c r="A390" s="64" t="s">
        <v>767</v>
      </c>
      <c r="B390" s="148" t="s">
        <v>817</v>
      </c>
      <c r="C390" s="62" t="s">
        <v>3516</v>
      </c>
      <c r="D390" s="62" t="str">
        <f t="shared" ref="D390:D453" si="14">CONCATENATE(E390,";",F390,";",G390,";")</f>
        <v>kailash.bhoite@ujjivan.com;santosh.bhalerao@ujjivan.com;varun.yadav@ujjivan.com;</v>
      </c>
      <c r="E390" s="62" t="s">
        <v>3740</v>
      </c>
      <c r="F390" s="62" t="s">
        <v>4172</v>
      </c>
      <c r="G390" s="62" t="s">
        <v>978</v>
      </c>
      <c r="H390" s="65" t="s">
        <v>768</v>
      </c>
      <c r="I390" s="65" t="s">
        <v>769</v>
      </c>
      <c r="J390" s="67" t="s">
        <v>4401</v>
      </c>
      <c r="K390" s="62" t="str">
        <f>VLOOKUP(B390,Sheet5!$A$1:$H$471,8,0)</f>
        <v>sandeep.ugale@ujjivan.com;santosh.bhalerao@ujjivan.com;vaibhav.dudhekar@ujjivan.com;varun.yadav@ujjivan.com;west-aurangabadcbs-branch@ujjivan.com;ccr-aurangabadcbs-branch@ujjivan.com;prafull.nirbhavane@ujjivan.com;sandip.dhole@ujjivan.com;kailash.bhoite@ujjivan.com;paras.chaudhari@ujjivan.com;vaibhav.dudhekar@ujjivan.com;ranjeet.mali@ujjivan.com;yogesh.bomble@ujjivan.com;vishal.jagdale@ujjivan.com;;</v>
      </c>
      <c r="L390" s="62" t="str">
        <f>VLOOKUP($B390,Sheet4!$B:$E,4,0)</f>
        <v xml:space="preserve">west-aurangabadcbs-branch@ujjivan.com;ccr-aurangabadcbs-branch@ujjivan.com;yogesh.bagul@ujjivan.com;prafull.nirbhavane@ujjivan.com;ranjeet.mali@ujjivan.com;helpdeskwest@ujjivan.com; </v>
      </c>
      <c r="M390" s="65" t="s">
        <v>1418</v>
      </c>
      <c r="N390" s="68" t="str">
        <f t="shared" si="13"/>
        <v xml:space="preserve">Dear Team, Please find attached list of prospect clients for REPEAT GL-LOANS (clients who have taken earlier an GL Loan) for you branch.
Thanks &amp; Regards,
MIS Team
</v>
      </c>
      <c r="O390" s="66" t="s">
        <v>1028</v>
      </c>
      <c r="X390" s="68" t="s">
        <v>3573</v>
      </c>
      <c r="Y390" s="120" t="s">
        <v>4924</v>
      </c>
      <c r="Z390" s="119" t="s">
        <v>3572</v>
      </c>
    </row>
    <row r="391" spans="1:26" ht="15.75" x14ac:dyDescent="0.25">
      <c r="A391" s="61" t="s">
        <v>767</v>
      </c>
      <c r="B391" s="147" t="s">
        <v>818</v>
      </c>
      <c r="C391" s="62" t="s">
        <v>3517</v>
      </c>
      <c r="D391" s="62" t="str">
        <f t="shared" si="14"/>
        <v>ankur.verma@ujjivan.com;dhanraj.dambre@ujjivan.com;nirav.vahalia@ujjivan.com;</v>
      </c>
      <c r="E391" s="62" t="s">
        <v>2690</v>
      </c>
      <c r="F391" s="62" t="s">
        <v>4487</v>
      </c>
      <c r="G391" s="62" t="s">
        <v>2756</v>
      </c>
      <c r="H391" s="62"/>
      <c r="I391" s="62" t="s">
        <v>769</v>
      </c>
      <c r="J391" s="67" t="s">
        <v>4401</v>
      </c>
      <c r="K391" s="62" t="str">
        <f>VLOOKUP(B391,Sheet5!$A$1:$H$471,8,0)</f>
        <v>nagmaparvin.khan@ujjivan.com;dhanraj.dambre@ujjivan.com;gaurav.oberoi@ujjivan.com;nirav.vahalia@ujjivan.com;west-bhiwandi-branch@ujjivan.com;ccr-bhiwandi@ujjivan.com;rahul.lohar@ujjivan.com;yogesh.shinde@ujjivan.com;prashant.jadhav@ujjivan.com;vijay.bhalerao@ujjivan.com;gaurav.oberoi@ujjivan.com;jitendra.sodhi@ujjivan.com;gupta.mahesh@ujjivan.com;Sanjay.kalwar@ujjivan.com;rahul.kushwaha@ujjivan.com;kavita.mahadik@ujjivan.com;geeta.nora@ujjivan.com;sunil.parab@ujjivan.com;singh.vijay@ujjivan.com;;;</v>
      </c>
      <c r="L391" s="62" t="str">
        <f>VLOOKUP($B391,Sheet4!$B:$E,4,0)</f>
        <v xml:space="preserve">west-bhiwandi-branch@ujjivan.com;ccr-bhiwandi@ujjivan.com;gaurav.pawar@ujjivan.com;rahul.lohar@ujjivan.com;vijay.bhalerao@ujjivan.com;helpdeskwest@ujjivan.com; </v>
      </c>
      <c r="M391" s="62" t="s">
        <v>1419</v>
      </c>
      <c r="N391" s="68" t="str">
        <f t="shared" si="13"/>
        <v xml:space="preserve">Dear Team, Please find attached list of prospect clients for REPEAT GL-LOANS (clients who have taken earlier an GL Loan) for you branch.
Thanks &amp; Regards,
MIS Team
</v>
      </c>
      <c r="O391" s="63" t="s">
        <v>1028</v>
      </c>
      <c r="X391" s="68" t="s">
        <v>3573</v>
      </c>
      <c r="Y391" s="120" t="s">
        <v>4924</v>
      </c>
      <c r="Z391" s="119" t="s">
        <v>3572</v>
      </c>
    </row>
    <row r="392" spans="1:26" ht="15.75" x14ac:dyDescent="0.25">
      <c r="A392" s="64" t="s">
        <v>767</v>
      </c>
      <c r="B392" s="148" t="s">
        <v>819</v>
      </c>
      <c r="C392" s="62" t="s">
        <v>3518</v>
      </c>
      <c r="D392" s="62" t="str">
        <f t="shared" si="14"/>
        <v>ankush.marathe@ujjivan.com;manoj.mali@ujjivan.com;satish.ankola@ujjivan.com;</v>
      </c>
      <c r="E392" s="62" t="s">
        <v>3741</v>
      </c>
      <c r="F392" s="62" t="s">
        <v>4174</v>
      </c>
      <c r="G392" s="62" t="s">
        <v>829</v>
      </c>
      <c r="H392" s="65"/>
      <c r="I392" s="65" t="s">
        <v>769</v>
      </c>
      <c r="J392" s="67" t="s">
        <v>4401</v>
      </c>
      <c r="K392" s="62" t="str">
        <f>VLOOKUP(B392,Sheet5!$A$1:$H$471,8,0)</f>
        <v>ankush.marathe@ujjivan.com;manoj.mali@ujjivan.com;rajesh.khedkar@ujjivan.com;satish.ankola@ujjivan.com;west-vapi-branch@ujjivan.com;ccr-vapi@ujjivan.com;hitesh.chaudhari@ujjivan.com;manoj.mali@ujjivan.com;semalkumar.patel@ujjivan.com;sarfaraz.hussain@ujjivan.com;rajesh.khedkar@ujjivan.com;himanshu.chauhan@ujjivan.com;suraj.shah@ujjivan.com;hitarth.trivedi@ujjivan.com;dnyaneshwar.wakadikar@ujjivan.com;kiran.damare@ujjivan.com;manish.rana@ujjivan.com;;</v>
      </c>
      <c r="L392" s="62" t="str">
        <f>VLOOKUP($B392,Sheet4!$B:$E,4,0)</f>
        <v xml:space="preserve">west-vapi-branch@ujjivan.com;ccr-vapi@ujjivan.com;hitesh.chaudhari@ujjivan.com;manoj.mali@ujjivan.com;ruchira.patel@ujjivan.com;helpdeskwest@ujjivan.com; </v>
      </c>
      <c r="M392" s="65" t="s">
        <v>1420</v>
      </c>
      <c r="N392" s="68" t="str">
        <f t="shared" si="13"/>
        <v xml:space="preserve">Dear Team, Please find attached list of prospect clients for REPEAT GL-LOANS (clients who have taken earlier an GL Loan) for you branch.
Thanks &amp; Regards,
MIS Team
</v>
      </c>
      <c r="O392" s="66" t="s">
        <v>1028</v>
      </c>
      <c r="X392" s="68" t="s">
        <v>3573</v>
      </c>
      <c r="Y392" s="120" t="s">
        <v>4924</v>
      </c>
      <c r="Z392" s="119" t="s">
        <v>3572</v>
      </c>
    </row>
    <row r="393" spans="1:26" ht="15.75" x14ac:dyDescent="0.25">
      <c r="A393" s="61" t="s">
        <v>767</v>
      </c>
      <c r="B393" s="147" t="s">
        <v>820</v>
      </c>
      <c r="C393" s="62" t="s">
        <v>3519</v>
      </c>
      <c r="D393" s="62" t="str">
        <f t="shared" si="14"/>
        <v>Arvind.Sable@ujjivan.com;sarika.patil@ujjivan.com;varun.yadav@ujjivan.com;</v>
      </c>
      <c r="E393" s="62" t="s">
        <v>2764</v>
      </c>
      <c r="F393" s="62" t="s">
        <v>4488</v>
      </c>
      <c r="G393" s="62" t="s">
        <v>978</v>
      </c>
      <c r="H393" s="62"/>
      <c r="I393" s="62"/>
      <c r="J393" s="67" t="s">
        <v>4401</v>
      </c>
      <c r="K393" s="62" t="str">
        <f>VLOOKUP(B393,Sheet5!$A$1:$H$471,8,0)</f>
        <v>Arvind.Sable@ujjivan.com;sarika.patil@ujjivan.com;akshay.joshi@ujjivan.com;varun.yadav@ujjivan.com;west-solapursouth-branch@ujjivan.com;ccr-solapursouth@ujjivan.com;pramod.pandit@ujjivan.com;sarika.patil@ujjivan.com;sachin.suryawanshi@ujjivan.com;abhijeet.bhadange@ujjivan.com;Sandeep.deshmukh@ujjivan.com;sameer.shaikh@ujjivan.com;benjamin.gaikwad@ujjivan.com;shreeram.walawe@ujjivan.com;pravin.ghule@ujjivan.com;mahamad.yaquob@ujjivan.com;;</v>
      </c>
      <c r="L393" s="62" t="str">
        <f>VLOOKUP($B393,Sheet4!$B:$E,4,0)</f>
        <v xml:space="preserve">west-solapursouth-branch@ujjivan.com;ccr-solapursouth@ujjivan.com;pramod.pandit@ujjivan.com;sarika.patil@ujjivan.com;sachin.suryawanshi@ujjivan.com;helpdeskwest@ujjivan.com; </v>
      </c>
      <c r="M393" s="62" t="s">
        <v>1421</v>
      </c>
      <c r="N393" s="68" t="str">
        <f t="shared" si="13"/>
        <v xml:space="preserve">Dear Team, Please find attached list of prospect clients for REPEAT GL-LOANS (clients who have taken earlier an GL Loan) for you branch.
Thanks &amp; Regards,
MIS Team
</v>
      </c>
      <c r="O393" s="63" t="s">
        <v>1028</v>
      </c>
      <c r="X393" s="68" t="s">
        <v>3573</v>
      </c>
      <c r="Y393" s="120" t="s">
        <v>4924</v>
      </c>
      <c r="Z393" s="119" t="s">
        <v>3572</v>
      </c>
    </row>
    <row r="394" spans="1:26" ht="15.75" x14ac:dyDescent="0.25">
      <c r="A394" s="64" t="s">
        <v>767</v>
      </c>
      <c r="B394" s="148" t="s">
        <v>821</v>
      </c>
      <c r="C394" s="62" t="s">
        <v>4558</v>
      </c>
      <c r="D394" s="62" t="e">
        <f t="shared" si="14"/>
        <v>#N/A</v>
      </c>
      <c r="E394" s="62">
        <v>0</v>
      </c>
      <c r="F394" s="62" t="e">
        <v>#N/A</v>
      </c>
      <c r="G394" s="62" t="e">
        <v>#N/A</v>
      </c>
      <c r="H394" s="65"/>
      <c r="I394" s="65"/>
      <c r="J394" s="67" t="s">
        <v>4401</v>
      </c>
      <c r="K394" s="62" t="str">
        <f>VLOOKUP(B394,Sheet5!$A$1:$H$471,8,0)</f>
        <v>;;;;west-solapurnorth-branch@ujjivan.com;ccr-solapurnorth@ujjivan.com;arvind.sable@ujjivan.com;balkrishna.koukuntla@ujjivan.com;sachin.suryawanshi@ujjivan.com;abhijeet.bhadange@ujjivan.com;Sandeep.deshmukh@ujjivan.com;nasrin.jartarghar@ujjivan.com;benjamin.gaikwad@ujjivan.com;shreeram.walawe@ujjivan.com;;</v>
      </c>
      <c r="L394" s="62" t="str">
        <f>VLOOKUP($B394,Sheet4!$B:$E,4,0)</f>
        <v xml:space="preserve">west-solapurnorth-branch@ujjivan.com;ccr-solapurnorth@ujjivan.com;arvind.sable@ujjivan.com;balkrishna.koukuntla@ujjivan.com;sachin.suryawanshi@ujjivan.com;helpdeskwest@ujjivan.com; </v>
      </c>
      <c r="M394" s="65" t="s">
        <v>1422</v>
      </c>
      <c r="N394" s="68"/>
      <c r="O394" s="66" t="s">
        <v>1028</v>
      </c>
      <c r="X394" s="68" t="s">
        <v>3573</v>
      </c>
      <c r="Y394" s="120" t="s">
        <v>4924</v>
      </c>
      <c r="Z394" s="119" t="s">
        <v>3572</v>
      </c>
    </row>
    <row r="395" spans="1:26" ht="15.75" x14ac:dyDescent="0.25">
      <c r="A395" s="61" t="s">
        <v>767</v>
      </c>
      <c r="B395" s="147" t="s">
        <v>822</v>
      </c>
      <c r="C395" s="62" t="s">
        <v>4558</v>
      </c>
      <c r="D395" s="62" t="e">
        <f t="shared" si="14"/>
        <v>#N/A</v>
      </c>
      <c r="E395" s="62">
        <v>0</v>
      </c>
      <c r="F395" s="62" t="e">
        <v>#N/A</v>
      </c>
      <c r="G395" s="62" t="e">
        <v>#N/A</v>
      </c>
      <c r="H395" s="62" t="s">
        <v>768</v>
      </c>
      <c r="I395" s="62" t="s">
        <v>769</v>
      </c>
      <c r="J395" s="67" t="s">
        <v>4401</v>
      </c>
      <c r="K395" s="62" t="str">
        <f>VLOOKUP(B395,Sheet5!$A$1:$H$471,8,0)</f>
        <v>;;;;amit.kokare@ujjivan.com;;</v>
      </c>
      <c r="L395" s="62" t="str">
        <f>VLOOKUP($B395,Sheet4!$B:$E,4,0)</f>
        <v xml:space="preserve">west-miraj-branch@ujjivan.com;ccr-miraj@ujjivan.com;namdev.chougale@ujjivan.com;pratap.chavan@ujjivan.com;sandip.gavali@ujjivan.com;helpdeskwest@ujjivan.com; </v>
      </c>
      <c r="M395" s="62" t="s">
        <v>1423</v>
      </c>
      <c r="N395" s="68"/>
      <c r="O395" s="63" t="s">
        <v>1028</v>
      </c>
      <c r="X395" s="68" t="s">
        <v>3573</v>
      </c>
      <c r="Y395" s="120" t="s">
        <v>4924</v>
      </c>
      <c r="Z395" s="119" t="s">
        <v>3572</v>
      </c>
    </row>
    <row r="396" spans="1:26" ht="15.75" x14ac:dyDescent="0.25">
      <c r="A396" s="64" t="s">
        <v>767</v>
      </c>
      <c r="B396" s="148" t="s">
        <v>823</v>
      </c>
      <c r="C396" s="62" t="s">
        <v>3520</v>
      </c>
      <c r="D396" s="62" t="str">
        <f t="shared" si="14"/>
        <v>tanaji.bansode@ujjivan.com;archana.shaha@ujjivan.com;nirav.vahalia@ujjivan.com;</v>
      </c>
      <c r="E396" s="62" t="s">
        <v>3742</v>
      </c>
      <c r="F396" s="62" t="s">
        <v>4152</v>
      </c>
      <c r="G396" s="62" t="s">
        <v>2756</v>
      </c>
      <c r="H396" s="65"/>
      <c r="I396" s="65"/>
      <c r="J396" s="67" t="s">
        <v>4401</v>
      </c>
      <c r="K396" s="62" t="str">
        <f>VLOOKUP(B396,Sheet5!$A$1:$H$471,8,0)</f>
        <v>tanaji.bansode@ujjivan.com;archana.shaha@ujjivan.com;gaurav.oberoi@ujjivan.com;nirav.vahalia@ujjivan.com;west-panvel-branch@ujjivan.com;ccr-panvel@ujjivan.com;mukesh.k@ujjivan.com;ravindra.sonvalkar@ujjivan.com;hiren.karolia@ujjivan.com;amarnath.kumhar@ujjivan.com;prashant.jadhav@ujjivan.com;kanchan.dalvi@ujjivan.com;gaurav.oberoi@ujjivan.com;jitendra.sodhi@ujjivan.com;gupta.mahesh@ujjivan.com;Sanjay.kalwar@ujjivan.com;laxman.jetithor@ujjivan.com;sunil.parab@ujjivan.com;;;</v>
      </c>
      <c r="L396" s="62" t="str">
        <f>VLOOKUP($B396,Sheet4!$B:$E,4,0)</f>
        <v xml:space="preserve">west-panvel-branch@ujjivan.com;mukesh.k@ujjivan.com;archana.shaha@ujjivan.com;kaveri.pawar@ujjivan.com;helpdeskwest@ujjivan.com; </v>
      </c>
      <c r="M396" s="65" t="s">
        <v>1424</v>
      </c>
      <c r="N396" s="68" t="str">
        <f t="shared" si="13"/>
        <v xml:space="preserve">Dear Team, Please find attached list of prospect clients for REPEAT GL-LOANS (clients who have taken earlier an GL Loan) for you branch.
Thanks &amp; Regards,
MIS Team
</v>
      </c>
      <c r="O396" s="66" t="s">
        <v>1028</v>
      </c>
      <c r="X396" s="68" t="s">
        <v>3573</v>
      </c>
      <c r="Y396" s="120" t="s">
        <v>4924</v>
      </c>
      <c r="Z396" s="119" t="s">
        <v>3572</v>
      </c>
    </row>
    <row r="397" spans="1:26" ht="15.75" x14ac:dyDescent="0.25">
      <c r="A397" s="61" t="s">
        <v>767</v>
      </c>
      <c r="B397" s="147" t="s">
        <v>825</v>
      </c>
      <c r="C397" s="62" t="s">
        <v>3521</v>
      </c>
      <c r="D397" s="62" t="str">
        <f t="shared" si="14"/>
        <v>alpesh.prajapati@ujjivan.com;nilesh.parmar@ujjivan.com;satish.ankola@ujjivan.com;</v>
      </c>
      <c r="E397" s="62" t="s">
        <v>826</v>
      </c>
      <c r="F397" s="62" t="s">
        <v>4489</v>
      </c>
      <c r="G397" s="62" t="s">
        <v>829</v>
      </c>
      <c r="H397" s="62"/>
      <c r="I397" s="62"/>
      <c r="J397" s="67" t="s">
        <v>4401</v>
      </c>
      <c r="K397" s="62" t="str">
        <f>VLOOKUP(B397,Sheet5!$A$1:$H$471,8,0)</f>
        <v>alpesh.prajapati@ujjivan.com;nilesh.parmar@ujjivan.com;jenish.lapsiwala@ujjivan.com;satish.ankola@ujjivan.com;west-nadiad-branch@ujjivan.com;ccr-nadiad-branch@ujjivan.com;rafik.vohra@ujjivan.com;alpesh.prajapati@ujjivan.com;nilesh.patel@ujjivan.com;hiten.patel@ujjivan.com;nirav.vahalia@ujjivan.com;vijay.rohit@ujjivan.com;nikhil.kulshretsha@ujjivan.com;mayur.dindorkar@ujjivan.com;hitarth.trivedi@ujjivan.com;bhautik.vekariya@ujjivan.com;denish.parmar@ujjivan.com;praful.sodha@ujjivan.com;manish.rana@ujjivan.com;vijayshankar.rajput@ujjivan.com;;</v>
      </c>
      <c r="L397" s="62" t="str">
        <f>VLOOKUP($B397,Sheet4!$B:$E,4,0)</f>
        <v xml:space="preserve">west-nadiad-branch@ujjivan.com;ccr-nadiad-branch@ujjivan.com;alpesh.prajapati@ujjivan.com;nilesh.patel@ujjivan.com;rajay.nikam@ujjivan.com;helpdeskwest@ujjivan.com; </v>
      </c>
      <c r="M397" s="62" t="s">
        <v>1425</v>
      </c>
      <c r="N397" s="68" t="str">
        <f t="shared" si="13"/>
        <v xml:space="preserve">Dear Team, Please find attached list of prospect clients for REPEAT GL-LOANS (clients who have taken earlier an GL Loan) for you branch.
Thanks &amp; Regards,
MIS Team
</v>
      </c>
      <c r="O397" s="63" t="s">
        <v>1028</v>
      </c>
      <c r="X397" s="68" t="s">
        <v>3573</v>
      </c>
      <c r="Y397" s="120" t="s">
        <v>4924</v>
      </c>
      <c r="Z397" s="119" t="s">
        <v>3572</v>
      </c>
    </row>
    <row r="398" spans="1:26" ht="15.75" x14ac:dyDescent="0.25">
      <c r="A398" s="64" t="s">
        <v>767</v>
      </c>
      <c r="B398" s="148" t="s">
        <v>827</v>
      </c>
      <c r="C398" s="62" t="s">
        <v>3522</v>
      </c>
      <c r="D398" s="62" t="str">
        <f t="shared" si="14"/>
        <v>chintamani.adurkar@ujjivan.com;Rahul.Lade@ujjivan.com;varun.yadav@ujjivan.com;</v>
      </c>
      <c r="E398" s="62" t="s">
        <v>836</v>
      </c>
      <c r="F398" s="62" t="s">
        <v>4490</v>
      </c>
      <c r="G398" s="62" t="s">
        <v>978</v>
      </c>
      <c r="H398" s="65"/>
      <c r="I398" s="65"/>
      <c r="J398" s="67" t="s">
        <v>4401</v>
      </c>
      <c r="K398" s="62" t="str">
        <f>VLOOKUP(B398,Sheet5!$A$1:$H$471,8,0)</f>
        <v>amit.suryawanshi@ujjivan.com;Rahul.Lade@ujjivan.com;akshay.joshi@ujjivan.com;varun.yadav@ujjivan.com;west-shahupuri-branch@ujjivan.com;ccr-shahupuri@ujjivan.com;bajirao.patil@ujjivan.com;javed.bijapure@ujjivan.com;shreeram.walawe@ujjivan.com;prakash.karade@ujjivan.com;santosh.khot@ujjivan.com;hemant.awade@ujjivan.com;rajesh.patil@ujjivan.com;patil.abhijeet@ujjivan.com; kapil.katkar@ujjivan.com;rahul.lade@ujjivan.com;abhijeet.patil@ujjivan.com;nitin.nair@ujjivan.com;digvijay.bhandari@ujjivan.com;;;</v>
      </c>
      <c r="L398" s="62" t="str">
        <f>VLOOKUP($B398,Sheet4!$B:$E,4,0)</f>
        <v xml:space="preserve">west-shahupuri-branch@ujjivan.com;abhijeet.patil@ujjivan.com;helpdeskwest@ujjivan.com; </v>
      </c>
      <c r="M398" s="65" t="s">
        <v>1426</v>
      </c>
      <c r="N398" s="68" t="str">
        <f t="shared" si="13"/>
        <v xml:space="preserve">Dear Team, Please find attached list of prospect clients for REPEAT GL-LOANS (clients who have taken earlier an GL Loan) for you branch.
Thanks &amp; Regards,
MIS Team
</v>
      </c>
      <c r="O398" s="66" t="s">
        <v>1028</v>
      </c>
      <c r="X398" s="68" t="s">
        <v>3573</v>
      </c>
      <c r="Y398" s="120" t="s">
        <v>4924</v>
      </c>
      <c r="Z398" s="119" t="s">
        <v>3572</v>
      </c>
    </row>
    <row r="399" spans="1:26" ht="15.75" x14ac:dyDescent="0.25">
      <c r="A399" s="61" t="s">
        <v>767</v>
      </c>
      <c r="B399" s="147" t="s">
        <v>828</v>
      </c>
      <c r="C399" s="62" t="s">
        <v>4558</v>
      </c>
      <c r="D399" s="62" t="str">
        <f t="shared" si="14"/>
        <v>0;nareshkumar.parmar@ujjivan.com;satish.ankola@ujjivan.com;</v>
      </c>
      <c r="E399" s="62">
        <v>0</v>
      </c>
      <c r="F399" s="62" t="s">
        <v>4491</v>
      </c>
      <c r="G399" s="62" t="s">
        <v>829</v>
      </c>
      <c r="H399" s="62"/>
      <c r="I399" s="62"/>
      <c r="J399" s="67" t="s">
        <v>4401</v>
      </c>
      <c r="K399" s="62" t="str">
        <f>VLOOKUP(B399,Sheet5!$A$1:$H$471,8,0)</f>
        <v>hardik.desai@ujjivan.com;naresh.parmar@ujjivan.com;ruchira.patel@ujjivan.com;satish.ankola@ujjivan.com;west-navavadaj@ujjivan.com;ccr-navavadaj@ujjivan.com;hanny.rajawat@ujjivan.com;lokpal.rathod@ujjivan.com;raghu.mudaliar@ujjivan.com;satish.ankola@ujjivan.com;nirav.kanojiya@ujjivan.com;ranjit.jadhav@ujjivan.com;sanjay.rathod@ujjivan.com;hitarth.trivedi@ujjivan.com;vinod.khristi@ujjivan.com;sanjay.rathod@ujjivan.com;vijay.dodia@ujjivan.com;rajesh.rupala@ujjivan.com;manish.rana@ujjivan.com;;</v>
      </c>
      <c r="L399" s="62" t="str">
        <f>VLOOKUP($B399,Sheet4!$B:$E,4,0)</f>
        <v xml:space="preserve">west-sabarmati@ujjivan.com;raghu.mudaliar@ujjivan.com;tikesh.kumar@ujjivan.com;helpdeskwest@ujjivan.com; </v>
      </c>
      <c r="M399" s="62" t="s">
        <v>1427</v>
      </c>
      <c r="N399" s="68"/>
      <c r="O399" s="63" t="s">
        <v>1028</v>
      </c>
      <c r="X399" s="68" t="s">
        <v>3573</v>
      </c>
      <c r="Y399" s="120" t="s">
        <v>4924</v>
      </c>
      <c r="Z399" s="119" t="s">
        <v>3572</v>
      </c>
    </row>
    <row r="400" spans="1:26" ht="15.75" x14ac:dyDescent="0.25">
      <c r="A400" s="64" t="s">
        <v>767</v>
      </c>
      <c r="B400" s="148" t="s">
        <v>830</v>
      </c>
      <c r="C400" s="62" t="s">
        <v>4558</v>
      </c>
      <c r="D400" s="62" t="e">
        <f t="shared" si="14"/>
        <v>#N/A</v>
      </c>
      <c r="E400" s="62">
        <v>0</v>
      </c>
      <c r="F400" s="62" t="e">
        <v>#N/A</v>
      </c>
      <c r="G400" s="62" t="e">
        <v>#N/A</v>
      </c>
      <c r="H400" s="65"/>
      <c r="I400" s="65"/>
      <c r="J400" s="67" t="s">
        <v>4401</v>
      </c>
      <c r="K400" s="62" t="str">
        <f>VLOOKUP(B400,Sheet5!$A$1:$H$471,8,0)</f>
        <v>;;;;ramakrishnan.chandrasekaran@ujjivan.com;;</v>
      </c>
      <c r="L400" s="62" t="str">
        <f>VLOOKUP($B400,Sheet4!$B:$E,4,0)</f>
        <v xml:space="preserve">west-isanpur@ujjivan.com;amit.parmar@ujjivan.com;vijay.dodia@ujjivan.com;helpdeskwest@ujjivan.com; </v>
      </c>
      <c r="M400" s="65" t="s">
        <v>1428</v>
      </c>
      <c r="N400" s="68"/>
      <c r="O400" s="66" t="s">
        <v>1028</v>
      </c>
      <c r="X400" s="68" t="s">
        <v>3573</v>
      </c>
      <c r="Y400" s="120" t="s">
        <v>4924</v>
      </c>
      <c r="Z400" s="119" t="s">
        <v>3572</v>
      </c>
    </row>
    <row r="401" spans="1:26" ht="15.75" x14ac:dyDescent="0.25">
      <c r="A401" s="61" t="s">
        <v>767</v>
      </c>
      <c r="B401" s="147" t="s">
        <v>831</v>
      </c>
      <c r="C401" s="62" t="s">
        <v>3523</v>
      </c>
      <c r="D401" s="62" t="str">
        <f t="shared" si="14"/>
        <v>mrugesh.patel@ujjivan.com;dhaval.patel@ujjivan.com;satish.ankola@ujjivan.com;</v>
      </c>
      <c r="E401" s="62" t="s">
        <v>3743</v>
      </c>
      <c r="F401" s="62" t="s">
        <v>4492</v>
      </c>
      <c r="G401" s="62" t="s">
        <v>829</v>
      </c>
      <c r="H401" s="62"/>
      <c r="I401" s="62"/>
      <c r="J401" s="67" t="s">
        <v>4401</v>
      </c>
      <c r="K401" s="62" t="str">
        <f>VLOOKUP(B401,Sheet5!$A$1:$H$471,8,0)</f>
        <v>mrugesh.patel@ujjivan.com;dhaval.patel@ujjivan.com;ruchira.patel@ujjivan.com;satish.ankola@ujjivan.com;west-naroda@ujjivan.com;ccr-naroda@ujjivan.com;jayendra.zala@ujjivan.com;alpesh.patel@ujjivan.com;milankumar.devmurari@ujjivan.com;satish.ankola@ujjivan.com;nirav.kanojiya@ujjivan.com;ranjit.jadhav@ujjivan.com;hitarth.trivedi@ujjivan.com;biren.shah@ujjivan.com;arpit.panchal@ujjivan.com;manish.rana@ujjivan.com;;</v>
      </c>
      <c r="L401" s="62" t="str">
        <f>VLOOKUP($B401,Sheet4!$B:$E,4,0)</f>
        <v xml:space="preserve">west-naroda@ujjivan.com;alpesh.patel@ujjivan.com;vijay.dodia@ujjivan.com;helpdeskwest@ujjivan.com; </v>
      </c>
      <c r="M401" s="62" t="s">
        <v>1429</v>
      </c>
      <c r="N401" s="68" t="str">
        <f t="shared" si="13"/>
        <v xml:space="preserve">Dear Team, Please find attached list of prospect clients for REPEAT GL-LOANS (clients who have taken earlier an GL Loan) for you branch.
Thanks &amp; Regards,
MIS Team
</v>
      </c>
      <c r="O401" s="63" t="s">
        <v>1028</v>
      </c>
      <c r="X401" s="68" t="s">
        <v>3573</v>
      </c>
      <c r="Y401" s="120" t="s">
        <v>4924</v>
      </c>
      <c r="Z401" s="119" t="s">
        <v>3572</v>
      </c>
    </row>
    <row r="402" spans="1:26" ht="15.75" x14ac:dyDescent="0.25">
      <c r="A402" s="64" t="s">
        <v>767</v>
      </c>
      <c r="B402" s="148" t="s">
        <v>832</v>
      </c>
      <c r="C402" s="62" t="s">
        <v>3524</v>
      </c>
      <c r="D402" s="62" t="str">
        <f t="shared" si="14"/>
        <v>salins.christian@ujjivan.com;anilkumar.parmar@ujjivan.com;satish.ankola@ujjivan.com;</v>
      </c>
      <c r="E402" s="62" t="s">
        <v>3744</v>
      </c>
      <c r="F402" s="62" t="s">
        <v>4493</v>
      </c>
      <c r="G402" s="62" t="s">
        <v>829</v>
      </c>
      <c r="H402" s="65"/>
      <c r="I402" s="65"/>
      <c r="J402" s="67" t="s">
        <v>4401</v>
      </c>
      <c r="K402" s="62" t="str">
        <f>VLOOKUP(B402,Sheet5!$A$1:$H$471,8,0)</f>
        <v>salins.christian@ujjivan.com;anilkumar.parmar@ujjivan.com;ruchira.patel@ujjivan.com;satish.ankola@ujjivan.com;west-ctm@ujjivan.com;ccr-ctm@ujjivan.com;praful.sodha@ujjivan.com;satish.ankola@ujjivan.com;nirav.kanojiya@ujjivan.com;ranjit.jadhav@ujjivan.com;mrugesh.patel@ujjivan.com;hitarth.trivedi@ujjivan.com;biren.shah@ujjivan.com;salins.christian@ujjivan.com;ranjit.jadhav@ujjivan.com;west-isanpur@ujjivan.com;ganesh.badgujar@ujjivan.com;ccr-isanpur@ujjivan.com;vijay.nathani@ujjivan.com;mrugesh.patel@ujjivan.com;manish.rana@ujjivan.com;;</v>
      </c>
      <c r="L402" s="62" t="str">
        <f>VLOOKUP($B402,Sheet4!$B:$E,4,0)</f>
        <v xml:space="preserve">west-hatkeshwar@ujjivan.com;vijay.dodia@ujjivan.com;helpdeskwest@ujjivan.com; </v>
      </c>
      <c r="M402" s="65" t="s">
        <v>1430</v>
      </c>
      <c r="N402" s="68" t="str">
        <f t="shared" si="13"/>
        <v xml:space="preserve">Dear Team, Please find attached list of prospect clients for REPEAT GL-LOANS (clients who have taken earlier an GL Loan) for you branch.
Thanks &amp; Regards,
MIS Team
</v>
      </c>
      <c r="O402" s="66" t="s">
        <v>1028</v>
      </c>
      <c r="X402" s="68" t="s">
        <v>3573</v>
      </c>
      <c r="Y402" s="120" t="s">
        <v>4924</v>
      </c>
      <c r="Z402" s="119" t="s">
        <v>3572</v>
      </c>
    </row>
    <row r="403" spans="1:26" ht="15.75" x14ac:dyDescent="0.25">
      <c r="A403" s="61" t="s">
        <v>767</v>
      </c>
      <c r="B403" s="147" t="s">
        <v>833</v>
      </c>
      <c r="C403" s="62" t="s">
        <v>4558</v>
      </c>
      <c r="D403" s="62" t="e">
        <f t="shared" si="14"/>
        <v>#N/A</v>
      </c>
      <c r="E403" s="62">
        <v>0</v>
      </c>
      <c r="F403" s="62" t="e">
        <v>#N/A</v>
      </c>
      <c r="G403" s="62" t="e">
        <v>#N/A</v>
      </c>
      <c r="H403" s="62" t="s">
        <v>768</v>
      </c>
      <c r="I403" s="62" t="s">
        <v>769</v>
      </c>
      <c r="J403" s="67" t="s">
        <v>4401</v>
      </c>
      <c r="K403" s="62" t="str">
        <f>VLOOKUP(B403,Sheet5!$A$1:$H$471,8,0)</f>
        <v>;;;;west-rankala-branch@ujjivan.com;ccr-rankala@ujjivan.com;pandurang.giri@ujjivan.com;digvijay.bhandari@ujjivan.com;abhijeet.patil@ujjivan.com;shreeram.walawe@ujjivan.com;prakash.karade@ujjivan.com;hemant.awade@ujjivan.com;hemant.phadatre@ujjivan.com;;;</v>
      </c>
      <c r="L403" s="62" t="str">
        <f>VLOOKUP($B403,Sheet4!$B:$E,4,0)</f>
        <v xml:space="preserve">west-rankala-branch@ujjivan.com;rushikesh.yogi@ujjivan.com;abhijeet.patil@ujjivan.com;helpdeskwest@ujjivan.com; </v>
      </c>
      <c r="M403" s="62" t="s">
        <v>1431</v>
      </c>
      <c r="N403" s="68"/>
      <c r="O403" s="63" t="s">
        <v>1028</v>
      </c>
      <c r="X403" s="68" t="s">
        <v>3573</v>
      </c>
      <c r="Y403" s="120" t="s">
        <v>4924</v>
      </c>
      <c r="Z403" s="119" t="s">
        <v>3572</v>
      </c>
    </row>
    <row r="404" spans="1:26" ht="15.75" x14ac:dyDescent="0.25">
      <c r="A404" s="64" t="s">
        <v>767</v>
      </c>
      <c r="B404" s="148" t="s">
        <v>834</v>
      </c>
      <c r="C404" s="62" t="s">
        <v>3525</v>
      </c>
      <c r="D404" s="62" t="str">
        <f t="shared" si="14"/>
        <v>prabhat.sovani@ujjivan.com;rajkumar.patil@ujjivan.com;varun.yadav@ujjivan.com;</v>
      </c>
      <c r="E404" s="62" t="s">
        <v>3745</v>
      </c>
      <c r="F404" s="62" t="s">
        <v>4182</v>
      </c>
      <c r="G404" s="62" t="s">
        <v>978</v>
      </c>
      <c r="H404" s="65" t="s">
        <v>768</v>
      </c>
      <c r="I404" s="65" t="s">
        <v>769</v>
      </c>
      <c r="J404" s="67" t="s">
        <v>4401</v>
      </c>
      <c r="K404" s="62" t="str">
        <f>VLOOKUP(B404,Sheet5!$A$1:$H$471,8,0)</f>
        <v>riyazahamad.makandar@ujjivan.com;rajkumar.patil@ujjivan.com;akshay.joshi@ujjivan.com;varun.yadav@ujjivan.com;west-ichalkaranji-branch@ujjivan.com;ccr-ichalkaranji@ujjivan.com;swapnil.patil@ujjivan.com;uttam.vakale@ujjivan.com;rahul.kadole@ujjivan.com;sandip.gavali@ujjivan.com;shreeram.walawe@ujjivan.com;nitin.nair@ujjivan.com;prakash.karade@ujjivan.com;hemant.awade@ujjivan.com;anant.udagave@ujjivan.com;vijay.dudhale@ujjivan.com;nitin.nair@ujjivan.com;;;</v>
      </c>
      <c r="L404" s="62" t="str">
        <f>VLOOKUP($B404,Sheet4!$B:$E,4,0)</f>
        <v xml:space="preserve">west-ichalkaranji-branch@ujjivan.com;swapnil.patel@ujjivan.com;smita.joshi@ujjivan.com;sandip.gavali@ujjivan.com;helpdeskwest@ujjivan.com; </v>
      </c>
      <c r="M404" s="65" t="s">
        <v>1432</v>
      </c>
      <c r="N404" s="68" t="str">
        <f t="shared" si="13"/>
        <v xml:space="preserve">Dear Team, Please find attached list of prospect clients for REPEAT GL-LOANS (clients who have taken earlier an GL Loan) for you branch.
Thanks &amp; Regards,
MIS Team
</v>
      </c>
      <c r="O404" s="66" t="s">
        <v>1028</v>
      </c>
      <c r="X404" s="68" t="s">
        <v>3573</v>
      </c>
      <c r="Y404" s="120" t="s">
        <v>4924</v>
      </c>
      <c r="Z404" s="119" t="s">
        <v>3572</v>
      </c>
    </row>
    <row r="405" spans="1:26" ht="15.75" x14ac:dyDescent="0.25">
      <c r="A405" s="61" t="s">
        <v>767</v>
      </c>
      <c r="B405" s="147" t="s">
        <v>835</v>
      </c>
      <c r="C405" s="62" t="s">
        <v>4558</v>
      </c>
      <c r="D405" s="62" t="e">
        <f t="shared" si="14"/>
        <v>#N/A</v>
      </c>
      <c r="E405" s="62">
        <v>0</v>
      </c>
      <c r="F405" s="62" t="e">
        <v>#N/A</v>
      </c>
      <c r="G405" s="62" t="e">
        <v>#N/A</v>
      </c>
      <c r="H405" s="62"/>
      <c r="I405" s="62"/>
      <c r="J405" s="67" t="s">
        <v>4401</v>
      </c>
      <c r="K405" s="62" t="str">
        <f>VLOOKUP(B405,Sheet5!$A$1:$H$471,8,0)</f>
        <v>;;;;;;</v>
      </c>
      <c r="L405" s="62" t="str">
        <f>VLOOKUP($B405,Sheet4!$B:$E,4,0)</f>
        <v xml:space="preserve">west-market-yard-branch@ujjivan.com;chintamani.adurkar@ujjivan.com;abhijeet.patil@ujjivan.com;helpdeskwest@ujjivan.com; </v>
      </c>
      <c r="M405" s="62" t="s">
        <v>1404</v>
      </c>
      <c r="N405" s="68"/>
      <c r="O405" s="63" t="s">
        <v>1028</v>
      </c>
      <c r="X405" s="68" t="s">
        <v>3573</v>
      </c>
      <c r="Y405" s="120" t="s">
        <v>4924</v>
      </c>
      <c r="Z405" s="119" t="s">
        <v>3572</v>
      </c>
    </row>
    <row r="406" spans="1:26" ht="15.75" x14ac:dyDescent="0.25">
      <c r="A406" s="64" t="s">
        <v>767</v>
      </c>
      <c r="B406" s="148" t="s">
        <v>837</v>
      </c>
      <c r="C406" s="62" t="s">
        <v>3526</v>
      </c>
      <c r="D406" s="62" t="str">
        <f t="shared" si="14"/>
        <v>yashpal.jadhav@ujjivan.com;yogesh.chaudhari@ujjivan.com;satish.ankola@ujjivan.com;</v>
      </c>
      <c r="E406" s="62" t="s">
        <v>3746</v>
      </c>
      <c r="F406" s="62" t="s">
        <v>4183</v>
      </c>
      <c r="G406" s="62" t="s">
        <v>829</v>
      </c>
      <c r="H406" s="65"/>
      <c r="I406" s="65"/>
      <c r="J406" s="67" t="s">
        <v>4401</v>
      </c>
      <c r="K406" s="62" t="str">
        <f>VLOOKUP(B406,Sheet5!$A$1:$H$471,8,0)</f>
        <v>yashpal.jadhav@ujjivan.com;yogesh.chaudhari@ujjivan.com;ashok.gosawi@ujjivan.com;satish.ankola@ujjivan.com;west-bardoli@ujjivan.com;ccr-bardoli@ujjivan.com;sudip.khokhar@ujjivan.com;rajesh.khedkar@ujjivan.com;himanshu.chauhan@ujjivan.com;vivek.mistry@ujjivan.com;hitarth.trivedi@ujjivan.com;bhishma.mahajan@ujjivan.com;keval.moradiya@ujjivan.com;manish.rana@ujjivan.com;dharmesh.mahyavanshi@ujjivan.com;bhavtik.barvaliya@ujjivan.com;;</v>
      </c>
      <c r="L406" s="62" t="str">
        <f>VLOOKUP($B406,Sheet4!$B:$E,4,0)</f>
        <v xml:space="preserve">west-bardoli@ujjivan.com;rohan.shirsath@ujjivan.com;jenish.lapsiwala@ujjivan.com;helpdeskwest@ujjivan.com; </v>
      </c>
      <c r="M406" s="65" t="s">
        <v>1087</v>
      </c>
      <c r="N406" s="68" t="str">
        <f t="shared" si="13"/>
        <v xml:space="preserve">Dear Team, Please find attached list of prospect clients for REPEAT GL-LOANS (clients who have taken earlier an GL Loan) for you branch.
Thanks &amp; Regards,
MIS Team
</v>
      </c>
      <c r="O406" s="66" t="s">
        <v>1028</v>
      </c>
      <c r="X406" s="68" t="s">
        <v>3573</v>
      </c>
      <c r="Y406" s="120" t="s">
        <v>4924</v>
      </c>
      <c r="Z406" s="119" t="s">
        <v>3572</v>
      </c>
    </row>
    <row r="407" spans="1:26" ht="15.75" x14ac:dyDescent="0.25">
      <c r="A407" s="61" t="s">
        <v>767</v>
      </c>
      <c r="B407" s="147" t="s">
        <v>838</v>
      </c>
      <c r="C407" s="62" t="s">
        <v>3527</v>
      </c>
      <c r="D407" s="62" t="str">
        <f t="shared" si="14"/>
        <v>bhagwan.patil@ujjivan.com;kiran.damare@ujjivan.com;satish.ankola@ujjivan.com;</v>
      </c>
      <c r="E407" s="62" t="s">
        <v>3747</v>
      </c>
      <c r="F407" s="62" t="s">
        <v>4184</v>
      </c>
      <c r="G407" s="62" t="s">
        <v>829</v>
      </c>
      <c r="H407" s="62"/>
      <c r="I407" s="62"/>
      <c r="J407" s="67" t="s">
        <v>4401</v>
      </c>
      <c r="K407" s="62" t="str">
        <f>VLOOKUP(B407,Sheet5!$A$1:$H$471,8,0)</f>
        <v>keyurkumar.patel@ujjivan.com;kiran.damare@ujjivan.com;rajesh.khedkar@ujjivan.com;satish.ankola@ujjivan.com;west-valsad@ujjivan.com;ccr-valsad@ujjivan.com;pragnesh.saidane@ujjivan.com;nilesh.girase@ujjivan.com;bhagwan.patil@ujjivan.com;sarfaraz.hussain@ujjivan.com;rajesh.khedkar@ujjivan.com;himanshu.chauhan@ujjivan.com;suraj.shah@ujjivan.com;hitarth.trivedi@ujjivan.com;gautam.panpatil@ujjivan.com;manish.rana@ujjivan.com;;</v>
      </c>
      <c r="L407" s="62" t="str">
        <f>VLOOKUP($B407,Sheet4!$B:$E,4,0)</f>
        <v xml:space="preserve">west-valsad@ujjivan.com;ccr-valsad@ujjivan.com;nilesh.girase@ujjivan.com;ruchira.patel@ujjivan.com;helpdeskwest@ujjivan.com; </v>
      </c>
      <c r="M407" s="62" t="s">
        <v>1112</v>
      </c>
      <c r="N407" s="68" t="str">
        <f t="shared" si="13"/>
        <v xml:space="preserve">Dear Team, Please find attached list of prospect clients for REPEAT GL-LOANS (clients who have taken earlier an GL Loan) for you branch.
Thanks &amp; Regards,
MIS Team
</v>
      </c>
      <c r="O407" s="63" t="s">
        <v>1028</v>
      </c>
      <c r="X407" s="68" t="s">
        <v>3573</v>
      </c>
      <c r="Y407" s="120" t="s">
        <v>4924</v>
      </c>
      <c r="Z407" s="119" t="s">
        <v>3572</v>
      </c>
    </row>
    <row r="408" spans="1:26" ht="15.75" x14ac:dyDescent="0.25">
      <c r="A408" s="64" t="s">
        <v>767</v>
      </c>
      <c r="B408" s="148" t="s">
        <v>839</v>
      </c>
      <c r="C408" s="62" t="s">
        <v>3528</v>
      </c>
      <c r="D408" s="62" t="str">
        <f t="shared" si="14"/>
        <v>dipaksingh.rajput@ujjivan.com;samadhan.janjal@ujjivan.com;varun.yadav@ujjivan.com;</v>
      </c>
      <c r="E408" s="62" t="s">
        <v>840</v>
      </c>
      <c r="F408" s="62" t="s">
        <v>4185</v>
      </c>
      <c r="G408" s="62" t="s">
        <v>978</v>
      </c>
      <c r="H408" s="65"/>
      <c r="I408" s="65"/>
      <c r="J408" s="67" t="s">
        <v>4401</v>
      </c>
      <c r="K408" s="62" t="str">
        <f>VLOOKUP(B408,Sheet5!$A$1:$H$471,8,0)</f>
        <v>shoeb.shaikh692@ujjivan.com;gulamkhaza.shaikh@ujjivan.com;kausalya.sirgire@ujjivan.com;varun.yadav@ujjivan.com;west-jalgaon-north@ujjivan.com;ccr-jalgaonnorth@ujjivan.com;pravin.Ingale@ujjivan.com;dipaksingh.rajput@ujjivan.com;amit.jadhav@ujjivan.com;kausalya.sirgire@ujjivan.com;paras.chaudhari@ujjivan.com;samadhan.janjal@ujjivan.com;yadnesh.chaudhari@ujjivan.com;;</v>
      </c>
      <c r="L408" s="62" t="str">
        <f>VLOOKUP($B408,Sheet4!$B:$E,4,0)</f>
        <v xml:space="preserve">west-jalgaon-north@ujjivan.com;dipaksingh.rajput@ujjivan.com;santosh.bhalerao@ujjivan.com;amit.jadhav@ujjivan.com;helpdeskwest@ujjivan.com; </v>
      </c>
      <c r="M408" s="65" t="s">
        <v>1163</v>
      </c>
      <c r="N408" s="68" t="str">
        <f t="shared" si="13"/>
        <v xml:space="preserve">Dear Team, Please find attached list of prospect clients for REPEAT GL-LOANS (clients who have taken earlier an GL Loan) for you branch.
Thanks &amp; Regards,
MIS Team
</v>
      </c>
      <c r="O408" s="66" t="s">
        <v>1028</v>
      </c>
      <c r="X408" s="68" t="s">
        <v>3573</v>
      </c>
      <c r="Y408" s="120" t="s">
        <v>4924</v>
      </c>
      <c r="Z408" s="119" t="s">
        <v>3572</v>
      </c>
    </row>
    <row r="409" spans="1:26" ht="15.75" x14ac:dyDescent="0.25">
      <c r="A409" s="61" t="s">
        <v>767</v>
      </c>
      <c r="B409" s="147" t="s">
        <v>841</v>
      </c>
      <c r="C409" s="62" t="s">
        <v>3529</v>
      </c>
      <c r="D409" s="62" t="str">
        <f t="shared" si="14"/>
        <v>Mukesh.Chaudhari@ujjivan.com;ghansham.fegade@ujjivan.com;varun.yadav@ujjivan.com;</v>
      </c>
      <c r="E409" s="62" t="s">
        <v>3748</v>
      </c>
      <c r="F409" s="62" t="s">
        <v>4186</v>
      </c>
      <c r="G409" s="62" t="s">
        <v>978</v>
      </c>
      <c r="H409" s="62"/>
      <c r="I409" s="62"/>
      <c r="J409" s="67" t="s">
        <v>4401</v>
      </c>
      <c r="K409" s="62" t="str">
        <f>VLOOKUP(B409,Sheet5!$A$1:$H$471,8,0)</f>
        <v>Mukesh.Chaudhari@ujjivan.com;ghansham.fegade@ujjivan.com;kausalya.sirgire@ujjivan.com;varun.yadav@ujjivan.com;west-bhusawal@ujjivan.com;ccr-bhusaval@ujjivan.com;hemangi.hambardikar@ujjivan.com;mahesh.jagtap@ujjivan.com;somnath.bhusare@ujjivan.com;prashant.shimpi@ujjivan.com;amit.jadhav@ujjivan.com;kausalya.sirgire@ujjivan.com;paras.chaudhari@ujjivan.com;yadnesh.chaudhari@ujjivan.com;;</v>
      </c>
      <c r="L409" s="62" t="str">
        <f>VLOOKUP($B409,Sheet4!$B:$E,4,0)</f>
        <v xml:space="preserve">west-bhusawal@ujjivan.com;somnath.bhusare@ujjivan.com;prashant.shimpi@ujjivan.com;amit.jadhav@ujjivan.com;helpdeskwest@ujjivan.com; </v>
      </c>
      <c r="M409" s="62" t="s">
        <v>1278</v>
      </c>
      <c r="N409" s="68" t="str">
        <f t="shared" si="13"/>
        <v xml:space="preserve">Dear Team, Please find attached list of prospect clients for REPEAT GL-LOANS (clients who have taken earlier an GL Loan) for you branch.
Thanks &amp; Regards,
MIS Team
</v>
      </c>
      <c r="O409" s="63" t="s">
        <v>1028</v>
      </c>
      <c r="X409" s="68" t="s">
        <v>3573</v>
      </c>
      <c r="Y409" s="120" t="s">
        <v>4924</v>
      </c>
      <c r="Z409" s="119" t="s">
        <v>3572</v>
      </c>
    </row>
    <row r="410" spans="1:26" ht="15.75" x14ac:dyDescent="0.25">
      <c r="A410" s="64" t="s">
        <v>767</v>
      </c>
      <c r="B410" s="148" t="s">
        <v>2944</v>
      </c>
      <c r="C410" s="62" t="s">
        <v>4558</v>
      </c>
      <c r="D410" s="62" t="e">
        <f t="shared" si="14"/>
        <v>#N/A</v>
      </c>
      <c r="E410" s="62">
        <v>0</v>
      </c>
      <c r="F410" s="62" t="e">
        <v>#N/A</v>
      </c>
      <c r="G410" s="62" t="e">
        <v>#N/A</v>
      </c>
      <c r="H410" s="65"/>
      <c r="I410" s="65"/>
      <c r="J410" s="67" t="s">
        <v>4401</v>
      </c>
      <c r="K410" s="62" t="str">
        <f>VLOOKUP(B410,Sheet5!$A$1:$H$471,8,0)</f>
        <v>;;;;;;</v>
      </c>
      <c r="L410" s="62" t="str">
        <f>VLOOKUP($B410,Sheet4!$B:$E,4,0)</f>
        <v>west-aamapara-branch@ujjivan.com;ayush.tiwari@ujjivan.com;aalok.tiwari@ujjivan.com;mohit.pilani@ujjivan.com;helpdeskwest@ujjivan.com;vijay.choudhary@ujjivan.com;shiv.thanvi@ujjivan.com</v>
      </c>
      <c r="M410" s="65" t="s">
        <v>2945</v>
      </c>
      <c r="N410" s="68"/>
      <c r="O410" s="66" t="s">
        <v>1028</v>
      </c>
      <c r="X410" s="68" t="s">
        <v>3573</v>
      </c>
      <c r="Y410" s="120" t="s">
        <v>4924</v>
      </c>
      <c r="Z410" s="119" t="s">
        <v>3572</v>
      </c>
    </row>
    <row r="411" spans="1:26" ht="15.75" x14ac:dyDescent="0.25">
      <c r="A411" s="61" t="s">
        <v>767</v>
      </c>
      <c r="B411" s="147" t="s">
        <v>2943</v>
      </c>
      <c r="C411" s="62" t="s">
        <v>895</v>
      </c>
      <c r="D411" s="62" t="str">
        <f t="shared" si="14"/>
        <v>purnanand.thakur@ujjivan.com;sachin.mishra203@ujjivan.com;vijay.choudhary@ujjivan.com;</v>
      </c>
      <c r="E411" s="62" t="s">
        <v>896</v>
      </c>
      <c r="F411" s="62" t="s">
        <v>4192</v>
      </c>
      <c r="G411" s="62" t="s">
        <v>888</v>
      </c>
      <c r="H411" s="62"/>
      <c r="I411" s="62"/>
      <c r="J411" s="67" t="s">
        <v>4401</v>
      </c>
      <c r="K411" s="62" t="str">
        <f>VLOOKUP(B411,Sheet5!$A$1:$H$471,8,0)</f>
        <v>purnanand.thakur@ujjivan.com;anil.kumar280@ujjivan.com;ravikant.kumar@ujjivan.com;vijay.choudhary@ujjivan.com;;;</v>
      </c>
      <c r="L411" s="62" t="str">
        <f>VLOOKUP($B411,Sheet4!$B:$E,4,0)</f>
        <v>west-devendranagar-branch@ujjivan.com;akhilesh.mishra@ujjivan.com;prabhash.jha@ujjivan.com;aalok.tiwari@ujjivan.com;mohit.pilani@ujjivan.com;helpdeskwest@ujjivan.com;vijay.choudhary@ujjivan.com;shiv.thanvi@ujjivan.com</v>
      </c>
      <c r="M411" s="62" t="s">
        <v>2941</v>
      </c>
      <c r="N411" s="68" t="str">
        <f t="shared" si="13"/>
        <v xml:space="preserve">Dear Team, Please find attached list of prospect clients for REPEAT GL-LOANS (clients who have taken earlier an GL Loan) for you branch.
Thanks &amp; Regards,
MIS Team
</v>
      </c>
      <c r="O411" s="63" t="s">
        <v>1028</v>
      </c>
      <c r="X411" s="68" t="s">
        <v>3573</v>
      </c>
      <c r="Y411" s="120" t="s">
        <v>4924</v>
      </c>
      <c r="Z411" s="119" t="s">
        <v>3572</v>
      </c>
    </row>
    <row r="412" spans="1:26" ht="15.75" x14ac:dyDescent="0.25">
      <c r="A412" s="64" t="s">
        <v>767</v>
      </c>
      <c r="B412" s="148" t="s">
        <v>842</v>
      </c>
      <c r="C412" s="62" t="s">
        <v>3530</v>
      </c>
      <c r="D412" s="62" t="str">
        <f t="shared" si="14"/>
        <v>jigar.panchal@ujjivan.com;sujitkumar.patel@ujjivan.com;satish.ankola@ujjivan.com;</v>
      </c>
      <c r="E412" s="62" t="s">
        <v>3749</v>
      </c>
      <c r="F412" s="62" t="s">
        <v>4494</v>
      </c>
      <c r="G412" s="62" t="s">
        <v>829</v>
      </c>
      <c r="H412" s="65"/>
      <c r="I412" s="65"/>
      <c r="J412" s="67" t="s">
        <v>4401</v>
      </c>
      <c r="K412" s="62" t="str">
        <f>VLOOKUP(B412,Sheet5!$A$1:$H$471,8,0)</f>
        <v>jigar.panchal@ujjivan.com;sujitkumar.patel@ujjivan.com;ruchira.patel@ujjivan.com;satish.ankola@ujjivan.com;west-mehsana-branch@ujjivan.com;tahir.bahelim@ujjivan.com;alpesh.thakor@ujjivan.com;ashutosh.saxena@ujjivan.com;satish.ankola@ujjivan.com;ranjit.jadhav@ujjivan.com;nirav.kanojiya@ujjivan.com;hitarth.trivedi@ujjivan.com;vinod.khristi@ujjivan.com;arpit.panchal@ujjivan.com;manish.rana@ujjivan.com;chandrakant.patel@ujjivan.com;;</v>
      </c>
      <c r="L412" s="62" t="str">
        <f>VLOOKUP($B412,Sheet4!$B:$E,4,0)</f>
        <v xml:space="preserve">west-mehsana-branch@ujjivan.com;ashutosh.saxena@ujjivan.com;tikesh.kumar@ujjivan.com;helpdeskwest@ujjivan.com; </v>
      </c>
      <c r="M412" s="65" t="s">
        <v>1433</v>
      </c>
      <c r="N412" s="68" t="str">
        <f t="shared" si="13"/>
        <v xml:space="preserve">Dear Team, Please find attached list of prospect clients for REPEAT GL-LOANS (clients who have taken earlier an GL Loan) for you branch.
Thanks &amp; Regards,
MIS Team
</v>
      </c>
      <c r="O412" s="66" t="s">
        <v>1028</v>
      </c>
      <c r="X412" s="68" t="s">
        <v>3573</v>
      </c>
      <c r="Y412" s="120" t="s">
        <v>4924</v>
      </c>
      <c r="Z412" s="119" t="s">
        <v>3572</v>
      </c>
    </row>
    <row r="413" spans="1:26" ht="15.75" x14ac:dyDescent="0.25">
      <c r="A413" s="61" t="s">
        <v>767</v>
      </c>
      <c r="B413" s="147" t="s">
        <v>843</v>
      </c>
      <c r="C413" s="62" t="s">
        <v>3531</v>
      </c>
      <c r="D413" s="62" t="str">
        <f t="shared" si="14"/>
        <v>bhavesh.patel@ujjivan.com;priteshkumar@ujjivan.com;satish.ankola@ujjivan.com;</v>
      </c>
      <c r="E413" s="62" t="s">
        <v>3750</v>
      </c>
      <c r="F413" s="62" t="s">
        <v>4189</v>
      </c>
      <c r="G413" s="62" t="s">
        <v>829</v>
      </c>
      <c r="H413" s="62"/>
      <c r="I413" s="62"/>
      <c r="J413" s="67" t="s">
        <v>4401</v>
      </c>
      <c r="K413" s="62" t="str">
        <f>VLOOKUP(B413,Sheet5!$A$1:$H$471,8,0)</f>
        <v>bhavesh.patel@ujjivan.com;priteshkumar@ujjivan.com;ruchira.patel@ujjivan.com;satish.ankola@ujjivan.com;west-himmatnagar-branch@ujjivan.com;arpit.panchal@ujjivan.com;satish.ankola@ujjivan.com;nirav.kanojiya@ujjivan.com;ranjit.jadhav@ujjivan.com;rushabh.mehta@ujjivan.com;hitarth.trivedi@ujjivan.com;nilesh.parmar@ujjivan.com;parth.joshi@ujjivan.com;jigar.panchal@ujjivan.com;bhavesh.patel@ujjivan.com;manish.rana@ujjivan.com;chandrakant.patel@ujjivan.com;;</v>
      </c>
      <c r="L413" s="62" t="str">
        <f>VLOOKUP($B413,Sheet4!$B:$E,4,0)</f>
        <v xml:space="preserve">west-himmatnagar-branch@ujjivan.com;brijesh.parmar@ujjivan.com;tikesh.kumar@ujjivan.com;helpdeskwest@ujjivan.com; </v>
      </c>
      <c r="M413" s="62" t="s">
        <v>1434</v>
      </c>
      <c r="N413" s="68" t="str">
        <f t="shared" si="13"/>
        <v xml:space="preserve">Dear Team, Please find attached list of prospect clients for REPEAT GL-LOANS (clients who have taken earlier an GL Loan) for you branch.
Thanks &amp; Regards,
MIS Team
</v>
      </c>
      <c r="O413" s="63" t="s">
        <v>1028</v>
      </c>
      <c r="X413" s="68" t="s">
        <v>3573</v>
      </c>
      <c r="Y413" s="120" t="s">
        <v>4924</v>
      </c>
      <c r="Z413" s="119" t="s">
        <v>3572</v>
      </c>
    </row>
    <row r="414" spans="1:26" ht="15.75" x14ac:dyDescent="0.25">
      <c r="A414" s="64" t="s">
        <v>767</v>
      </c>
      <c r="B414" s="148" t="s">
        <v>844</v>
      </c>
      <c r="C414" s="62" t="s">
        <v>3532</v>
      </c>
      <c r="D414" s="62" t="str">
        <f t="shared" si="14"/>
        <v>rupesh.vaghela@ujjivan.com;nirav.vyas@ujjivan.com;satish.ankola@ujjivan.com;</v>
      </c>
      <c r="E414" s="62" t="s">
        <v>3751</v>
      </c>
      <c r="F414" s="62" t="s">
        <v>4190</v>
      </c>
      <c r="G414" s="62" t="s">
        <v>829</v>
      </c>
      <c r="H414" s="65"/>
      <c r="I414" s="65"/>
      <c r="J414" s="67" t="s">
        <v>4401</v>
      </c>
      <c r="K414" s="62" t="str">
        <f>VLOOKUP(B414,Sheet5!$A$1:$H$471,8,0)</f>
        <v>rupesh.vaghela@ujjivan.com;dhwani.gohil@ujjivan.com;hitarth.trivedi@ujjivan.com;satish.ankola@ujjivan.com;rajkot-south@ujjivan.com;ccr-rajkot-south@ujjivan.com;chirag.mehta@ujjivan.com;natubhai.desai@ujjivan.com;kishor.rathod@ujjivan.com;rushabh.mehta@ujjivan.com;hitarth.trivedi@ujjivan.com;sanjay.korat@ujjivan.com;dinesh.parmar@ujjivan.com;natubhai.desai@ujjivan.com;vinod.khristi@ujjivan.com;jayshri.chavda@ujjivan.com;harpal.dedaniya@ujjivan.com;;</v>
      </c>
      <c r="L414" s="62" t="str">
        <f>VLOOKUP($B414,Sheet4!$B:$E,4,0)</f>
        <v xml:space="preserve">rajkot-south@ujjivan.com;chirag.mehta@ujjivan.com;natubhai.desai@ujjivan.com;helpdeskwest@ujjivan.com; </v>
      </c>
      <c r="M414" s="65" t="s">
        <v>1435</v>
      </c>
      <c r="N414" s="68" t="str">
        <f t="shared" si="13"/>
        <v xml:space="preserve">Dear Team, Please find attached list of prospect clients for REPEAT GL-LOANS (clients who have taken earlier an GL Loan) for you branch.
Thanks &amp; Regards,
MIS Team
</v>
      </c>
      <c r="O414" s="66" t="s">
        <v>1028</v>
      </c>
      <c r="X414" s="68" t="s">
        <v>3573</v>
      </c>
      <c r="Y414" s="120" t="s">
        <v>4924</v>
      </c>
      <c r="Z414" s="119" t="s">
        <v>3572</v>
      </c>
    </row>
    <row r="415" spans="1:26" ht="15.75" x14ac:dyDescent="0.25">
      <c r="A415" s="61" t="s">
        <v>767</v>
      </c>
      <c r="B415" s="147" t="s">
        <v>846</v>
      </c>
      <c r="C415" s="62" t="s">
        <v>3533</v>
      </c>
      <c r="D415" s="62" t="str">
        <f t="shared" si="14"/>
        <v>chirag.mehta@ujjivan.com;prakash.ramoliya@ujjivan.com;satish.ankola@ujjivan.com;</v>
      </c>
      <c r="E415" s="62" t="s">
        <v>845</v>
      </c>
      <c r="F415" s="62" t="s">
        <v>4191</v>
      </c>
      <c r="G415" s="62" t="s">
        <v>829</v>
      </c>
      <c r="H415" s="62"/>
      <c r="I415" s="62"/>
      <c r="J415" s="67" t="s">
        <v>4401</v>
      </c>
      <c r="K415" s="62" t="str">
        <f>VLOOKUP(B415,Sheet5!$A$1:$H$471,8,0)</f>
        <v>milankumar.devmurari@ujjivan.com;jigar.mehta@ujjivan.com;hitarth.trivedi@ujjivan.com;satish.ankola@ujjivan.com;rajkot-north@ujjivan.com;ccr-rajkot-north@ujjivan.com;irfan.aibani@ujjivan.com;natubhai.desai@ujjivan.com;kishor.rathod@ujjivan.com;rushabh.mehta@ujjivan.com;hitarth.trivedi@ujjivan.com;virendra.jadeja@ujjivan.com;natubhai.desai@ujjivan.com;prakash.ramoliya@ujjivan.com;nirav.vyas@ujjivan.com;;</v>
      </c>
      <c r="L415" s="62" t="str">
        <f>VLOOKUP($B415,Sheet4!$B:$E,4,0)</f>
        <v xml:space="preserve">rajkot- north;irfan.aibani@ujjivan.com;natubhai.desai@ujjivan.com;helpdeskwest@ujjivan.com; </v>
      </c>
      <c r="M415" s="62" t="s">
        <v>1436</v>
      </c>
      <c r="N415" s="68" t="str">
        <f t="shared" si="13"/>
        <v xml:space="preserve">Dear Team, Please find attached list of prospect clients for REPEAT GL-LOANS (clients who have taken earlier an GL Loan) for you branch.
Thanks &amp; Regards,
MIS Team
</v>
      </c>
      <c r="O415" s="63" t="s">
        <v>1028</v>
      </c>
      <c r="X415" s="68" t="s">
        <v>3573</v>
      </c>
      <c r="Y415" s="120" t="s">
        <v>4924</v>
      </c>
      <c r="Z415" s="119" t="s">
        <v>3572</v>
      </c>
    </row>
    <row r="416" spans="1:26" ht="15.75" x14ac:dyDescent="0.25">
      <c r="A416" s="64" t="s">
        <v>767</v>
      </c>
      <c r="B416" s="148" t="s">
        <v>847</v>
      </c>
      <c r="C416" s="62" t="s">
        <v>4558</v>
      </c>
      <c r="D416" s="62" t="e">
        <f t="shared" si="14"/>
        <v>#N/A</v>
      </c>
      <c r="E416" s="62">
        <v>0</v>
      </c>
      <c r="F416" s="62" t="e">
        <v>#N/A</v>
      </c>
      <c r="G416" s="62" t="e">
        <v>#N/A</v>
      </c>
      <c r="H416" s="65"/>
      <c r="I416" s="65"/>
      <c r="J416" s="67" t="s">
        <v>4401</v>
      </c>
      <c r="K416" s="62" t="str">
        <f>VLOOKUP(B416,Sheet5!$A$1:$H$471,8,0)</f>
        <v>;;;;;;</v>
      </c>
      <c r="L416" s="62" t="str">
        <f>VLOOKUP($B416,Sheet4!$B:$E,4,0)</f>
        <v xml:space="preserve">rajkot-ajidam-branch@ujjivan.com;dinesh.parmar@ujjivan.com;natubhai.desai@ujjivan.com;helpdeskwest@ujjivan.com; </v>
      </c>
      <c r="M416" s="65" t="s">
        <v>1437</v>
      </c>
      <c r="N416" s="68"/>
      <c r="O416" s="66" t="s">
        <v>1028</v>
      </c>
      <c r="X416" s="68" t="s">
        <v>3573</v>
      </c>
      <c r="Y416" s="120" t="s">
        <v>4924</v>
      </c>
      <c r="Z416" s="119" t="s">
        <v>3572</v>
      </c>
    </row>
    <row r="417" spans="1:26" ht="15.75" x14ac:dyDescent="0.25">
      <c r="A417" s="61" t="s">
        <v>767</v>
      </c>
      <c r="B417" s="147" t="s">
        <v>2946</v>
      </c>
      <c r="C417" s="62" t="s">
        <v>3534</v>
      </c>
      <c r="D417" s="62" t="str">
        <f t="shared" si="14"/>
        <v>akhilesh.mishra@ujjivan.com;govind.nirmal@ujjivan.com;vijay.choudhary@ujjivan.com;</v>
      </c>
      <c r="E417" s="62" t="s">
        <v>3752</v>
      </c>
      <c r="F417" s="62" t="s">
        <v>4187</v>
      </c>
      <c r="G417" s="62" t="s">
        <v>888</v>
      </c>
      <c r="H417" s="62"/>
      <c r="I417" s="62"/>
      <c r="J417" s="67" t="s">
        <v>4401</v>
      </c>
      <c r="K417" s="62" t="str">
        <f>VLOOKUP(B417,Sheet5!$A$1:$H$471,8,0)</f>
        <v>jitendra.agrahari@ujjivan.com;govind.nirmal@ujjivan.com;ravikant.kumar@ujjivan.com;vijay.choudhary@ujjivan.com;;;</v>
      </c>
      <c r="L417" s="62" t="str">
        <f>VLOOKUP($B417,Sheet4!$B:$E,4,0)</f>
        <v>west-durg-branch@ujjivan.com;virendra.dubey@ujjivan.com;pradnyawant.patode@ujjivan.com;mohit.pilani@ujjivan.com;helpdeskwest@ujjivan.com;vijay.choudhary@ujjivan.com;shiv.thanvi@ujjivan.com</v>
      </c>
      <c r="M417" s="62" t="s">
        <v>2947</v>
      </c>
      <c r="N417" s="68" t="str">
        <f t="shared" si="13"/>
        <v xml:space="preserve">Dear Team, Please find attached list of prospect clients for REPEAT GL-LOANS (clients who have taken earlier an GL Loan) for you branch.
Thanks &amp; Regards,
MIS Team
</v>
      </c>
      <c r="O417" s="63" t="s">
        <v>1028</v>
      </c>
      <c r="X417" s="68" t="s">
        <v>3573</v>
      </c>
      <c r="Y417" s="120" t="s">
        <v>4924</v>
      </c>
      <c r="Z417" s="119" t="s">
        <v>3572</v>
      </c>
    </row>
    <row r="418" spans="1:26" ht="15.75" x14ac:dyDescent="0.25">
      <c r="A418" s="64" t="s">
        <v>767</v>
      </c>
      <c r="B418" s="148" t="s">
        <v>2948</v>
      </c>
      <c r="C418" s="62" t="s">
        <v>4558</v>
      </c>
      <c r="D418" s="62" t="e">
        <f t="shared" si="14"/>
        <v>#N/A</v>
      </c>
      <c r="E418" s="62">
        <v>0</v>
      </c>
      <c r="F418" s="62" t="e">
        <v>#N/A</v>
      </c>
      <c r="G418" s="62" t="e">
        <v>#N/A</v>
      </c>
      <c r="H418" s="65"/>
      <c r="I418" s="65"/>
      <c r="J418" s="67" t="s">
        <v>4401</v>
      </c>
      <c r="K418" s="62" t="str">
        <f>VLOOKUP(B418,Sheet5!$A$1:$H$471,8,0)</f>
        <v>;;;;;;</v>
      </c>
      <c r="L418" s="62" t="str">
        <f>VLOOKUP($B418,Sheet4!$B:$E,4,0)</f>
        <v>west-bhillai-branch@ujjivan.com;p.rambabu@ujjivan.com;pradnyawant.patode@ujjivan.com;mohit.pilani@ujjivan.com;sandeep.kumaryadav@ujjivan.com;helpdeskwest@ujjivan.com;vijay.choudhary@ujjivan.com;shiv.thanvi@ujjivan.com</v>
      </c>
      <c r="M418" s="65" t="s">
        <v>2949</v>
      </c>
      <c r="N418" s="68"/>
      <c r="O418" s="66" t="s">
        <v>1028</v>
      </c>
      <c r="X418" s="68" t="s">
        <v>3573</v>
      </c>
      <c r="Y418" s="120" t="s">
        <v>4924</v>
      </c>
      <c r="Z418" s="119" t="s">
        <v>3572</v>
      </c>
    </row>
    <row r="419" spans="1:26" ht="15.75" x14ac:dyDescent="0.25">
      <c r="A419" s="46" t="s">
        <v>767</v>
      </c>
      <c r="B419" s="149" t="s">
        <v>1023</v>
      </c>
      <c r="C419" s="62" t="s">
        <v>3535</v>
      </c>
      <c r="D419" s="62" t="str">
        <f t="shared" si="14"/>
        <v>nirmalsharan.barot@ujjivan.com;balvantsinh.chauhan@ujjivan.com;satish.ankola@ujjivan.com;</v>
      </c>
      <c r="E419" s="62" t="s">
        <v>1024</v>
      </c>
      <c r="F419" s="62" t="s">
        <v>4194</v>
      </c>
      <c r="G419" s="62" t="s">
        <v>829</v>
      </c>
      <c r="H419" s="47"/>
      <c r="I419" s="47"/>
      <c r="J419" s="67" t="s">
        <v>4401</v>
      </c>
      <c r="K419" s="62" t="str">
        <f>VLOOKUP(B419,Sheet5!$A$1:$H$471,8,0)</f>
        <v>bhailalbhai.baria@ujjivan.com;balvantsinh.chauhan@ujjivan.com;ashok.gosawi@ujjivan.com;satish.ankola@ujjivan.com;west-rajpipla-branch@ujjivan.com;nirmalsharan.barot@ujjivan.com;vivek.anand@ujjivan.com;nirav.vahalia@ujjivan.com;vijay.rohit@ujjivan.com;hitarth.trivedi@ujjivan.com;mayur.dindorkar@ujjivan.com;balvantsinh.chauhan@ujjivan.com;vijaykumar.rohit@ujjivan.com;;</v>
      </c>
      <c r="L419" s="62" t="str">
        <f>VLOOKUP($B419,Sheet4!$B:$E,4,0)</f>
        <v xml:space="preserve">west-rajpipla-branch@ujjivan.com;nirmalsharan.barot@ujjivan.com;ashok.gosawi@ujjivan.com;helpdeskwest@ujjivan.com; </v>
      </c>
      <c r="M419" s="47" t="s">
        <v>1438</v>
      </c>
      <c r="N419" s="68" t="str">
        <f t="shared" si="13"/>
        <v xml:space="preserve">Dear Team, Please find attached list of prospect clients for REPEAT GL-LOANS (clients who have taken earlier an GL Loan) for you branch.
Thanks &amp; Regards,
MIS Team
</v>
      </c>
      <c r="O419" s="48" t="s">
        <v>1028</v>
      </c>
      <c r="X419" s="68" t="s">
        <v>3573</v>
      </c>
      <c r="Y419" s="120" t="s">
        <v>4924</v>
      </c>
      <c r="Z419" s="119" t="s">
        <v>3572</v>
      </c>
    </row>
    <row r="420" spans="1:26" ht="15.75" x14ac:dyDescent="0.25">
      <c r="B420" s="150" t="s">
        <v>1494</v>
      </c>
      <c r="C420" s="62" t="s">
        <v>3536</v>
      </c>
      <c r="D420" s="62" t="str">
        <f t="shared" si="14"/>
        <v>manjunath.daivadnya@ujjivan.com;nagaraj.p@ujjivan.com;srinivas.govinda@ujjivan.com;</v>
      </c>
      <c r="E420" s="62" t="s">
        <v>3753</v>
      </c>
      <c r="F420" s="62" t="s">
        <v>4303</v>
      </c>
      <c r="G420" s="62" t="s">
        <v>466</v>
      </c>
      <c r="J420" s="67" t="s">
        <v>4401</v>
      </c>
      <c r="K420" s="62" t="str">
        <f>VLOOKUP(B420,Sheet5!$A$1:$H$471,8,0)</f>
        <v>manjunath.daivadnya@ujjivan.com;nagaraj.p@ujjivan.com;moinuddin.m@ujjivan.com;srinivas.govinda@ujjivan.com;shrungeshwara.cn@ujjivan.com;sureshkumar.komali@ujjivan.com;</v>
      </c>
      <c r="L420" s="62" t="str">
        <f>VLOOKUP($B420,Sheet4!$B:$E,4,0)</f>
        <v xml:space="preserve">blr-hublinorth-branch@ujjivan.com;helpdesk@ujjivan.com; </v>
      </c>
      <c r="M420" s="68" t="s">
        <v>2631</v>
      </c>
      <c r="N420" s="68" t="str">
        <f t="shared" si="13"/>
        <v xml:space="preserve">Dear Team, Please find attached list of prospect clients for REPEAT GL-LOANS (clients who have taken earlier an GL Loan) for you branch.
Thanks &amp; Regards,
MIS Team
</v>
      </c>
      <c r="O420" s="48" t="s">
        <v>1028</v>
      </c>
      <c r="X420" s="68" t="s">
        <v>3573</v>
      </c>
      <c r="Y420" s="120" t="s">
        <v>4924</v>
      </c>
      <c r="Z420" s="119" t="s">
        <v>3572</v>
      </c>
    </row>
    <row r="421" spans="1:26" ht="15.75" x14ac:dyDescent="0.25">
      <c r="B421" s="150" t="s">
        <v>1584</v>
      </c>
      <c r="C421" s="62" t="s">
        <v>3537</v>
      </c>
      <c r="D421" s="62" t="str">
        <f t="shared" si="14"/>
        <v>rajesh.s607@ujjivan.com;tamilselvan.g@ujjivan.com;thiyagu.basavaraj@ujjivan.com;</v>
      </c>
      <c r="E421" s="62" t="s">
        <v>3754</v>
      </c>
      <c r="F421" s="62" t="s">
        <v>4328</v>
      </c>
      <c r="G421" s="62" t="s">
        <v>447</v>
      </c>
      <c r="J421" s="67" t="s">
        <v>4401</v>
      </c>
      <c r="K421" s="62" t="str">
        <f>VLOOKUP(B421,Sheet5!$A$1:$H$471,8,0)</f>
        <v>rajesh.s607@ujjivan.com;vedhanayagam.j@ujjivan.com;bharath.m@ujjivan.com;thiyagu.basavaraj@ujjivan.com;rajaguru.i@ujjivan.com;arasu.sokkalingam@ujjivan.com;</v>
      </c>
      <c r="L421" s="62" t="str">
        <f>VLOOKUP($B421,Sheet4!$B:$E,4,0)</f>
        <v xml:space="preserve">tn-ambur-branch@ujjivan.com;helpdesk@ujjivan.com; </v>
      </c>
      <c r="M421" s="68" t="s">
        <v>2632</v>
      </c>
      <c r="N421" s="68" t="str">
        <f t="shared" si="13"/>
        <v xml:space="preserve">Dear Team, Please find attached list of prospect clients for REPEAT GL-LOANS (clients who have taken earlier an GL Loan) for you branch.
Thanks &amp; Regards,
MIS Team
</v>
      </c>
      <c r="O421" s="48" t="s">
        <v>1028</v>
      </c>
      <c r="X421" s="68" t="s">
        <v>3573</v>
      </c>
      <c r="Y421" s="120" t="s">
        <v>4924</v>
      </c>
      <c r="Z421" s="119" t="s">
        <v>3572</v>
      </c>
    </row>
    <row r="422" spans="1:26" ht="15.75" x14ac:dyDescent="0.25">
      <c r="B422" s="150" t="s">
        <v>1592</v>
      </c>
      <c r="C422" s="62" t="s">
        <v>3538</v>
      </c>
      <c r="D422" s="62" t="str">
        <f t="shared" si="14"/>
        <v>mubarak.sardhar@ujjivan.com;kumaresan.p@ujjivan.com;thiyagu.basavaraj@ujjivan.com;</v>
      </c>
      <c r="E422" s="62" t="s">
        <v>2699</v>
      </c>
      <c r="F422" s="62" t="s">
        <v>4330</v>
      </c>
      <c r="G422" s="62" t="s">
        <v>447</v>
      </c>
      <c r="J422" s="67" t="s">
        <v>4401</v>
      </c>
      <c r="K422" s="62" t="str">
        <f>VLOOKUP(B422,Sheet5!$A$1:$H$471,8,0)</f>
        <v>mubarak.sardhar@ujjivan.com;kumaresan.p@ujjivan.com;bharath.m@ujjivan.com;thiyagu.basavaraj@ujjivan.com;rajaguru.i@ujjivan.com;arasu.sokkalingam@ujjivan.com;</v>
      </c>
      <c r="L422" s="62" t="str">
        <f>VLOOKUP($B422,Sheet4!$B:$E,4,0)</f>
        <v xml:space="preserve">tn-vellorekatpadi-branch@ujjivan.com;helpdesk@ujjivan.com; </v>
      </c>
      <c r="M422" s="68" t="s">
        <v>2633</v>
      </c>
      <c r="N422" s="68" t="str">
        <f t="shared" si="13"/>
        <v xml:space="preserve">Dear Team, Please find attached list of prospect clients for REPEAT GL-LOANS (clients who have taken earlier an GL Loan) for you branch.
Thanks &amp; Regards,
MIS Team
</v>
      </c>
      <c r="O422" s="48" t="s">
        <v>1028</v>
      </c>
      <c r="X422" s="68" t="s">
        <v>3573</v>
      </c>
      <c r="Y422" s="120" t="s">
        <v>4924</v>
      </c>
      <c r="Z422" s="119" t="s">
        <v>3572</v>
      </c>
    </row>
    <row r="423" spans="1:26" ht="15.75" x14ac:dyDescent="0.25">
      <c r="B423" s="150" t="s">
        <v>523</v>
      </c>
      <c r="C423" s="62" t="s">
        <v>3260</v>
      </c>
      <c r="D423" s="62" t="str">
        <f t="shared" si="14"/>
        <v>sunil.cj@ujjivan.com;andriosan.kf@ujjivan.com;joshua.raja@ujjivan.com;</v>
      </c>
      <c r="E423" s="62" t="s">
        <v>3612</v>
      </c>
      <c r="F423" s="62" t="s">
        <v>4348</v>
      </c>
      <c r="G423" s="62" t="s">
        <v>4556</v>
      </c>
      <c r="J423" s="67" t="s">
        <v>4401</v>
      </c>
      <c r="K423" s="62" t="str">
        <f>VLOOKUP(B423,Sheet5!$A$1:$H$471,8,0)</f>
        <v>sunil.cj@ujjivan.com;ANDRIOSAN.KF@UJJIVAN.COM;mahesh.mohan@ujjivan.com;joshua.raja@ujjivan.com;boopathy.p@ujjivan.com;vijayakumar.kp@ujjivan.com;</v>
      </c>
      <c r="L423" s="62" t="str">
        <f>VLOOKUP($B423,Sheet4!$B:$E,4,0)</f>
        <v xml:space="preserve">kl-cochin.palluarthy-branch@ujjivan.com;helpdesk@ujjivan.com; </v>
      </c>
      <c r="M423" s="68" t="s">
        <v>2634</v>
      </c>
      <c r="N423" s="68" t="str">
        <f t="shared" si="13"/>
        <v xml:space="preserve">Dear Team, Please find attached list of prospect clients for REPEAT GL-LOANS (clients who have taken earlier an GL Loan) for you branch.
Thanks &amp; Regards,
MIS Team
</v>
      </c>
      <c r="O423" s="48" t="s">
        <v>1028</v>
      </c>
      <c r="X423" s="68" t="s">
        <v>3573</v>
      </c>
      <c r="Y423" s="120" t="s">
        <v>4924</v>
      </c>
      <c r="Z423" s="119" t="s">
        <v>3572</v>
      </c>
    </row>
    <row r="424" spans="1:26" ht="15.75" x14ac:dyDescent="0.25">
      <c r="B424" s="150" t="s">
        <v>1665</v>
      </c>
      <c r="C424" s="62" t="s">
        <v>513</v>
      </c>
      <c r="D424" s="62" t="str">
        <f t="shared" si="14"/>
        <v>ranjith.kumar@ujjivan.com;nantha.gopal@ujjivan.com;sridharan.manoharan@ujjivan.com;</v>
      </c>
      <c r="E424" s="62" t="s">
        <v>514</v>
      </c>
      <c r="F424" s="62" t="s">
        <v>4351</v>
      </c>
      <c r="G424" s="62" t="s">
        <v>497</v>
      </c>
      <c r="J424" s="67" t="s">
        <v>4401</v>
      </c>
      <c r="K424" s="62" t="str">
        <f>VLOOKUP(B424,Sheet5!$A$1:$H$471,8,0)</f>
        <v>ranjith.kumar@ujjivan.com;nantha.gopal@ujjivan.com;sivakumar.h@ujjivan.com;sridharan.manoharan@ujjivan.com;rajaguru.i@ujjivan.com;muralidharan.n@ujjivan.com;</v>
      </c>
      <c r="L424" s="62" t="str">
        <f>VLOOKUP($B424,Sheet4!$B:$E,4,0)</f>
        <v xml:space="preserve">tn-sathyamangalam-branch@ujjivan.com;helpdesk@ujjivan.com; </v>
      </c>
      <c r="M424" s="68" t="s">
        <v>2635</v>
      </c>
      <c r="N424" s="68" t="str">
        <f t="shared" si="13"/>
        <v xml:space="preserve">Dear Team, Please find attached list of prospect clients for REPEAT GL-LOANS (clients who have taken earlier an GL Loan) for you branch.
Thanks &amp; Regards,
MIS Team
</v>
      </c>
      <c r="O424" s="48" t="s">
        <v>1028</v>
      </c>
      <c r="X424" s="68" t="s">
        <v>3573</v>
      </c>
      <c r="Y424" s="120" t="s">
        <v>4924</v>
      </c>
      <c r="Z424" s="119" t="s">
        <v>3572</v>
      </c>
    </row>
    <row r="425" spans="1:26" ht="15.75" x14ac:dyDescent="0.25">
      <c r="B425" s="150" t="s">
        <v>1698</v>
      </c>
      <c r="C425" s="62" t="s">
        <v>3539</v>
      </c>
      <c r="D425" s="62" t="str">
        <f t="shared" si="14"/>
        <v>sijil.babu@ujjivan.com;sreejith.p@ujjivan.com;joshua.raja@ujjivan.com;</v>
      </c>
      <c r="E425" s="62" t="s">
        <v>3755</v>
      </c>
      <c r="F425" s="62" t="s">
        <v>4363</v>
      </c>
      <c r="G425" s="62" t="s">
        <v>4556</v>
      </c>
      <c r="J425" s="67" t="s">
        <v>4401</v>
      </c>
      <c r="K425" s="62" t="str">
        <f>VLOOKUP(B425,Sheet5!$A$1:$H$471,8,0)</f>
        <v>manav.n@ujjivan.com;sreejith.p@ujjivan.com;mahesh.mohan@ujjivan.com;joshua.raja@ujjivan.com;boopathy.p@ujjivan.com;vijayakumar.kp@ujjivan.com;</v>
      </c>
      <c r="L425" s="62" t="str">
        <f>VLOOKUP($B425,Sheet4!$B:$E,4,0)</f>
        <v xml:space="preserve">kl-wadakanchery-branch@ujjivan.com;helpdesk@ujjivan.com; </v>
      </c>
      <c r="M425" s="68" t="s">
        <v>2636</v>
      </c>
      <c r="N425" s="68" t="str">
        <f t="shared" si="13"/>
        <v xml:space="preserve">Dear Team, Please find attached list of prospect clients for REPEAT GL-LOANS (clients who have taken earlier an GL Loan) for you branch.
Thanks &amp; Regards,
MIS Team
</v>
      </c>
      <c r="O425" s="48" t="s">
        <v>1028</v>
      </c>
      <c r="X425" s="68" t="s">
        <v>3573</v>
      </c>
      <c r="Y425" s="120" t="s">
        <v>4924</v>
      </c>
      <c r="Z425" s="119" t="s">
        <v>3572</v>
      </c>
    </row>
    <row r="426" spans="1:26" ht="15.75" x14ac:dyDescent="0.25">
      <c r="B426" s="150" t="s">
        <v>1782</v>
      </c>
      <c r="C426" s="62" t="s">
        <v>3540</v>
      </c>
      <c r="D426" s="62" t="str">
        <f t="shared" si="14"/>
        <v>rubickraja.v@ujjivan.com;maadhu.abimannan@ujjivan.com;gowtham@ujjivan.com;</v>
      </c>
      <c r="E426" s="62" t="s">
        <v>3756</v>
      </c>
      <c r="F426" s="62" t="s">
        <v>4397</v>
      </c>
      <c r="G426" s="62" t="s">
        <v>4555</v>
      </c>
      <c r="J426" s="67" t="s">
        <v>4401</v>
      </c>
      <c r="K426" s="62" t="str">
        <f>VLOOKUP(B426,Sheet5!$A$1:$H$471,8,0)</f>
        <v>suresh.m@ujjivan.com;maadhu.abimannan@ujjivan.com;bharath.m@ujjivan.com;gowtham@ujjivan.com;umamaheswari.s@ujjivan.com;srinath.r@ujjivan.com;</v>
      </c>
      <c r="L426" s="62" t="str">
        <f>VLOOKUP($B426,Sheet4!$B:$E,4,0)</f>
        <v xml:space="preserve">tn-chengalpattu-branch@ujjivan.com;helpdesk@ujjivan.com; </v>
      </c>
      <c r="M426" s="68" t="s">
        <v>2637</v>
      </c>
      <c r="N426" s="68" t="str">
        <f t="shared" si="13"/>
        <v xml:space="preserve">Dear Team, Please find attached list of prospect clients for REPEAT GL-LOANS (clients who have taken earlier an GL Loan) for you branch.
Thanks &amp; Regards,
MIS Team
</v>
      </c>
      <c r="O426" s="48" t="s">
        <v>1028</v>
      </c>
      <c r="X426" s="68" t="s">
        <v>3573</v>
      </c>
      <c r="Y426" s="120" t="s">
        <v>4924</v>
      </c>
      <c r="Z426" s="119" t="s">
        <v>3572</v>
      </c>
    </row>
    <row r="427" spans="1:26" ht="15.75" x14ac:dyDescent="0.25">
      <c r="B427" s="150" t="s">
        <v>1785</v>
      </c>
      <c r="C427" s="62" t="s">
        <v>3541</v>
      </c>
      <c r="D427" s="62" t="e">
        <f t="shared" si="14"/>
        <v>#N/A</v>
      </c>
      <c r="E427" s="62" t="s">
        <v>3757</v>
      </c>
      <c r="F427" s="62" t="e">
        <v>#N/A</v>
      </c>
      <c r="G427" s="62" t="e">
        <v>#N/A</v>
      </c>
      <c r="J427" s="67" t="s">
        <v>4401</v>
      </c>
      <c r="K427" s="62" t="str">
        <f>VLOOKUP(B427,Sheet5!$A$1:$H$471,8,0)</f>
        <v>soundhararajan.d@ujjivan.com;nandha.r@ujjivan.com;sivakumar.h@ujjivan.com;;boopathy.p@ujjivan.com;vijaya.prakash@ujjivan.com;</v>
      </c>
      <c r="L427" s="62" t="str">
        <f>VLOOKUP($B427,Sheet4!$B:$E,4,0)</f>
        <v xml:space="preserve">tn-manjoor-branch@ujjivan.com;helpdesk@ujjivan.com; </v>
      </c>
      <c r="M427" s="68" t="s">
        <v>2638</v>
      </c>
      <c r="N427" s="68" t="str">
        <f t="shared" si="13"/>
        <v xml:space="preserve">Dear Team, Please find attached list of prospect clients for REPEAT GL-LOANS (clients who have taken earlier an GL Loan) for you branch.
Thanks &amp; Regards,
MIS Team
</v>
      </c>
      <c r="O427" s="48" t="s">
        <v>1028</v>
      </c>
      <c r="X427" s="68" t="s">
        <v>3573</v>
      </c>
      <c r="Y427" s="120" t="s">
        <v>4924</v>
      </c>
      <c r="Z427" s="119" t="s">
        <v>3572</v>
      </c>
    </row>
    <row r="428" spans="1:26" ht="15.75" x14ac:dyDescent="0.25">
      <c r="B428" s="150" t="s">
        <v>1788</v>
      </c>
      <c r="C428" s="62" t="s">
        <v>3542</v>
      </c>
      <c r="D428" s="62" t="str">
        <f t="shared" si="14"/>
        <v>premadass.t@ujjivan.com;-;thiyagu.basavaraj@ujjivan.com;</v>
      </c>
      <c r="E428" s="62" t="s">
        <v>3758</v>
      </c>
      <c r="F428" s="62" t="s">
        <v>3608</v>
      </c>
      <c r="G428" s="62" t="s">
        <v>447</v>
      </c>
      <c r="J428" s="67" t="s">
        <v>4401</v>
      </c>
      <c r="K428" s="62" t="str">
        <f>VLOOKUP(B428,Sheet5!$A$1:$H$471,8,0)</f>
        <v>;j.dinesh@ujjivan.com;bharath.m@ujjivan.com;thiyagu.basavaraj@ujjivan.com;umamaheswari.s@ujjivan.com;srinath.r@ujjivan.com;</v>
      </c>
      <c r="L428" s="62" t="str">
        <f>VLOOKUP($B428,Sheet4!$B:$E,4,0)</f>
        <v xml:space="preserve">tn-tambaram-branch@ujjivan.com;helpdesk@ujjivan.com; </v>
      </c>
      <c r="M428" s="68" t="s">
        <v>2639</v>
      </c>
      <c r="N428" s="68" t="str">
        <f t="shared" si="13"/>
        <v xml:space="preserve">Dear Team, Please find attached list of prospect clients for REPEAT GL-LOANS (clients who have taken earlier an GL Loan) for you branch.
Thanks &amp; Regards,
MIS Team
</v>
      </c>
      <c r="O428" s="48" t="s">
        <v>1028</v>
      </c>
      <c r="X428" s="68" t="s">
        <v>3573</v>
      </c>
      <c r="Y428" s="120" t="s">
        <v>4924</v>
      </c>
      <c r="Z428" s="119" t="s">
        <v>3572</v>
      </c>
    </row>
    <row r="429" spans="1:26" ht="15.75" x14ac:dyDescent="0.25">
      <c r="B429" s="150" t="s">
        <v>2686</v>
      </c>
      <c r="C429" s="62" t="s">
        <v>4558</v>
      </c>
      <c r="D429" s="62" t="e">
        <f t="shared" si="14"/>
        <v>#N/A</v>
      </c>
      <c r="E429" s="62">
        <v>0</v>
      </c>
      <c r="F429" s="62">
        <v>0</v>
      </c>
      <c r="G429" s="62" t="e">
        <v>#N/A</v>
      </c>
      <c r="J429" s="67" t="s">
        <v>4401</v>
      </c>
      <c r="K429" s="62">
        <f>VLOOKUP(B429,Sheet5!$A$1:$H$471,8,0)</f>
        <v>0</v>
      </c>
      <c r="L429" s="62" t="str">
        <f>VLOOKUP($B429,Sheet4!$B:$E,4,0)</f>
        <v xml:space="preserve">blr-hunsur-branch@ujjivan.com;helpdesk@ujjivan.com; </v>
      </c>
      <c r="M429" s="68" t="s">
        <v>2640</v>
      </c>
      <c r="N429" s="68"/>
      <c r="O429" s="48" t="s">
        <v>1028</v>
      </c>
      <c r="X429" s="68" t="s">
        <v>3573</v>
      </c>
      <c r="Y429" s="120" t="s">
        <v>4924</v>
      </c>
      <c r="Z429" s="119" t="s">
        <v>3572</v>
      </c>
    </row>
    <row r="430" spans="1:26" ht="15.75" x14ac:dyDescent="0.25">
      <c r="B430" s="150" t="s">
        <v>1801</v>
      </c>
      <c r="C430" s="62" t="s">
        <v>3543</v>
      </c>
      <c r="D430" s="62" t="str">
        <f t="shared" si="14"/>
        <v>shishir.tripathi@ujjivan.com;neeraj.kumar@ujjivan.com;dharmendra.kumar@ujjivan.com;</v>
      </c>
      <c r="E430" s="62" t="s">
        <v>3759</v>
      </c>
      <c r="F430" s="62" t="s">
        <v>4202</v>
      </c>
      <c r="G430" s="62" t="s">
        <v>868</v>
      </c>
      <c r="J430" s="67" t="s">
        <v>4401</v>
      </c>
      <c r="K430" s="62" t="str">
        <f>VLOOKUP(B430,Sheet5!$A$1:$H$471,8,0)</f>
        <v>shishir.tripathi@ujjivan.com;neeraj.kumar@ujjivan.com;kumar.vivek@ujjivan.com;dharmendra.kumar@ujjivan.com;;;</v>
      </c>
      <c r="L430" s="62" t="str">
        <f>VLOOKUP($B430,Sheet4!$B:$E,4,0)</f>
        <v xml:space="preserve">del-sultanpuri-branch@ujjivan.com;helpdeskdelhi@ujjivan.com; </v>
      </c>
      <c r="M430" s="68" t="s">
        <v>2641</v>
      </c>
      <c r="N430" s="68" t="str">
        <f t="shared" si="13"/>
        <v xml:space="preserve">Dear Team, Please find attached list of prospect clients for REPEAT GL-LOANS (clients who have taken earlier an GL Loan) for you branch.
Thanks &amp; Regards,
MIS Team
</v>
      </c>
      <c r="O430" s="48" t="s">
        <v>1028</v>
      </c>
      <c r="X430" s="68" t="s">
        <v>3573</v>
      </c>
      <c r="Y430" s="120" t="s">
        <v>4924</v>
      </c>
      <c r="Z430" s="119" t="s">
        <v>3572</v>
      </c>
    </row>
    <row r="431" spans="1:26" ht="15.75" x14ac:dyDescent="0.25">
      <c r="B431" s="150" t="s">
        <v>1804</v>
      </c>
      <c r="C431" s="62" t="s">
        <v>4558</v>
      </c>
      <c r="D431" s="62" t="str">
        <f t="shared" si="14"/>
        <v>0;neelam.kumar@ujjivan.com;dharmendra.kumar@ujjivan.com;</v>
      </c>
      <c r="E431" s="62">
        <v>0</v>
      </c>
      <c r="F431" s="62" t="s">
        <v>4495</v>
      </c>
      <c r="G431" s="62" t="s">
        <v>868</v>
      </c>
      <c r="J431" s="67" t="s">
        <v>4401</v>
      </c>
      <c r="K431" s="62" t="str">
        <f>VLOOKUP(B431,Sheet5!$A$1:$H$471,8,0)</f>
        <v>ranjeet.kumar@ujjivan.com;neelam.kumar@ujjivan.com;kumar.vivek@ujjivan.com;dharmendra.kumar@ujjivan.com;;;</v>
      </c>
      <c r="L431" s="62" t="str">
        <f>VLOOKUP($B431,Sheet4!$B:$E,4,0)</f>
        <v xml:space="preserve">del-jahangirpuri-branch@ujjivan.com;helpdeskdelhi@ujjivan.com; </v>
      </c>
      <c r="M431" s="68" t="s">
        <v>2642</v>
      </c>
      <c r="N431" s="68"/>
      <c r="O431" s="48" t="s">
        <v>1028</v>
      </c>
      <c r="X431" s="68" t="s">
        <v>3573</v>
      </c>
      <c r="Y431" s="120" t="s">
        <v>4924</v>
      </c>
      <c r="Z431" s="119" t="s">
        <v>3572</v>
      </c>
    </row>
    <row r="432" spans="1:26" ht="15.75" x14ac:dyDescent="0.25">
      <c r="B432" s="150" t="s">
        <v>1811</v>
      </c>
      <c r="C432" s="62" t="s">
        <v>2786</v>
      </c>
      <c r="D432" s="62" t="str">
        <f t="shared" si="14"/>
        <v>singh.dharmendra@ujjivan.com;arif.khan@ujjivan.com;dharmendra.kumar@ujjivan.com;</v>
      </c>
      <c r="E432" s="62" t="s">
        <v>2688</v>
      </c>
      <c r="F432" s="62" t="s">
        <v>4204</v>
      </c>
      <c r="G432" s="62" t="s">
        <v>868</v>
      </c>
      <c r="J432" s="67" t="s">
        <v>4401</v>
      </c>
      <c r="K432" s="62" t="str">
        <f>VLOOKUP(B432,Sheet5!$A$1:$H$471,8,0)</f>
        <v>singh.dharmendra@ujjivan.com;arif.khan@ujjivan.com;neelkant.tyagi@ujjivan.com;dharmendra.kumar@ujjivan.com;;;</v>
      </c>
      <c r="L432" s="62" t="str">
        <f>VLOOKUP($B432,Sheet4!$B:$E,4,0)</f>
        <v xml:space="preserve">del-vijaynagar-branch@ujjivan.com;helpdeskdelhi@ujjivan.com; </v>
      </c>
      <c r="M432" s="68" t="s">
        <v>2643</v>
      </c>
      <c r="N432" s="68" t="str">
        <f t="shared" si="13"/>
        <v xml:space="preserve">Dear Team, Please find attached list of prospect clients for REPEAT GL-LOANS (clients who have taken earlier an GL Loan) for you branch.
Thanks &amp; Regards,
MIS Team
</v>
      </c>
      <c r="O432" s="48" t="s">
        <v>1028</v>
      </c>
      <c r="X432" s="68" t="s">
        <v>3573</v>
      </c>
      <c r="Y432" s="120" t="s">
        <v>4924</v>
      </c>
      <c r="Z432" s="119" t="s">
        <v>3572</v>
      </c>
    </row>
    <row r="433" spans="2:26" ht="15.75" x14ac:dyDescent="0.25">
      <c r="B433" s="150" t="s">
        <v>1814</v>
      </c>
      <c r="C433" s="62" t="s">
        <v>4558</v>
      </c>
      <c r="D433" s="62" t="e">
        <f t="shared" si="14"/>
        <v>#N/A</v>
      </c>
      <c r="E433" s="62">
        <v>0</v>
      </c>
      <c r="F433" s="62" t="e">
        <v>#N/A</v>
      </c>
      <c r="G433" s="62" t="e">
        <v>#N/A</v>
      </c>
      <c r="J433" s="67" t="s">
        <v>4401</v>
      </c>
      <c r="K433" s="62" t="str">
        <f>VLOOKUP(B433,Sheet5!$A$1:$H$471,8,0)</f>
        <v>manoj.tiwari@ujjivan.com;;kumar.vivek@ujjivan.com;;;;</v>
      </c>
      <c r="L433" s="62" t="str">
        <f>VLOOKUP($B433,Sheet4!$B:$E,4,0)</f>
        <v xml:space="preserve">del-wazirpur-branch@ujjivan.com;helpdeskdelhi@ujjivan.com; </v>
      </c>
      <c r="M433" s="68" t="s">
        <v>2644</v>
      </c>
      <c r="N433" s="68"/>
      <c r="O433" s="48" t="s">
        <v>1028</v>
      </c>
      <c r="X433" s="68" t="s">
        <v>3573</v>
      </c>
      <c r="Y433" s="120" t="s">
        <v>4924</v>
      </c>
      <c r="Z433" s="119" t="s">
        <v>3572</v>
      </c>
    </row>
    <row r="434" spans="2:26" ht="15.75" x14ac:dyDescent="0.25">
      <c r="B434" s="150" t="s">
        <v>1836</v>
      </c>
      <c r="C434" s="62" t="s">
        <v>4558</v>
      </c>
      <c r="D434" s="62" t="str">
        <f t="shared" si="14"/>
        <v>0;ghanshyam.verma@ujjivan.com;vijay.choudhary@ujjivan.com;</v>
      </c>
      <c r="E434" s="62">
        <v>0</v>
      </c>
      <c r="F434" s="62" t="s">
        <v>4213</v>
      </c>
      <c r="G434" s="62" t="s">
        <v>888</v>
      </c>
      <c r="J434" s="67" t="s">
        <v>4401</v>
      </c>
      <c r="K434" s="62" t="str">
        <f>VLOOKUP(B434,Sheet5!$A$1:$H$471,8,0)</f>
        <v>satyanarayan.savlia@ujjivan.com;ghanshyam.verma@ujjivan.com;rajesh.kr@ujjivan.com;vijay.choudhary@ujjivan.com;;;</v>
      </c>
      <c r="L434" s="62" t="str">
        <f>VLOOKUP($B434,Sheet4!$B:$E,4,0)</f>
        <v xml:space="preserve">del-sawaimadhopur-branch@ujjivan.com;helpdeskdelhi@ujjivan.com; </v>
      </c>
      <c r="M434" s="68" t="s">
        <v>2645</v>
      </c>
      <c r="N434" s="68"/>
      <c r="O434" s="48" t="s">
        <v>1028</v>
      </c>
      <c r="X434" s="68" t="s">
        <v>3573</v>
      </c>
      <c r="Y434" s="120" t="s">
        <v>4924</v>
      </c>
      <c r="Z434" s="119" t="s">
        <v>3572</v>
      </c>
    </row>
    <row r="435" spans="2:26" ht="15.75" x14ac:dyDescent="0.25">
      <c r="B435" s="150" t="s">
        <v>1841</v>
      </c>
      <c r="C435" s="62" t="s">
        <v>3544</v>
      </c>
      <c r="D435" s="62" t="str">
        <f t="shared" si="14"/>
        <v>swatantra.nama@ujjivan.com;vijay.shankar@ujjivan.com;vijay.choudhary@ujjivan.com;</v>
      </c>
      <c r="E435" s="62" t="s">
        <v>973</v>
      </c>
      <c r="F435" s="62" t="s">
        <v>4215</v>
      </c>
      <c r="G435" s="62" t="s">
        <v>888</v>
      </c>
      <c r="J435" s="67" t="s">
        <v>4401</v>
      </c>
      <c r="K435" s="62" t="str">
        <f>VLOOKUP(B435,Sheet5!$A$1:$H$471,8,0)</f>
        <v>swatantra.nama@ujjivan.com;vijay.shankar@ujjivan.com;dalla.ram@ujjivan.com;vijay.choudhary@ujjivan.com;;;</v>
      </c>
      <c r="L435" s="62" t="str">
        <f>VLOOKUP($B435,Sheet4!$B:$E,4,0)</f>
        <v xml:space="preserve">del-bundi-branch@ujjivan.com;helpdeskdelhi@ujjivan.com; </v>
      </c>
      <c r="M435" s="68" t="s">
        <v>2646</v>
      </c>
      <c r="N435" s="68" t="str">
        <f t="shared" si="13"/>
        <v xml:space="preserve">Dear Team, Please find attached list of prospect clients for REPEAT GL-LOANS (clients who have taken earlier an GL Loan) for you branch.
Thanks &amp; Regards,
MIS Team
</v>
      </c>
      <c r="O435" s="48" t="s">
        <v>1028</v>
      </c>
      <c r="X435" s="68" t="s">
        <v>3573</v>
      </c>
      <c r="Y435" s="120" t="s">
        <v>4924</v>
      </c>
      <c r="Z435" s="119" t="s">
        <v>3572</v>
      </c>
    </row>
    <row r="436" spans="2:26" ht="15.75" x14ac:dyDescent="0.25">
      <c r="B436" s="150" t="s">
        <v>1875</v>
      </c>
      <c r="C436" s="62" t="s">
        <v>3545</v>
      </c>
      <c r="D436" s="62" t="str">
        <f t="shared" si="14"/>
        <v>gopal.singh@ujjivan.com;atul.prakash@ujjivan.com;dharmendra.kumar@ujjivan.com;</v>
      </c>
      <c r="E436" s="62" t="s">
        <v>3760</v>
      </c>
      <c r="F436" s="62" t="s">
        <v>4226</v>
      </c>
      <c r="G436" s="62" t="s">
        <v>868</v>
      </c>
      <c r="J436" s="67" t="s">
        <v>4401</v>
      </c>
      <c r="K436" s="62" t="str">
        <f>VLOOKUP(B436,Sheet5!$A$1:$H$471,8,0)</f>
        <v>gopal.singh@ujjivan.com;;kumar.vivek@ujjivan.com;dharmendra.kumar@ujjivan.com;;;</v>
      </c>
      <c r="L436" s="62" t="str">
        <f>VLOOKUP($B436,Sheet4!$B:$E,4,0)</f>
        <v xml:space="preserve">del-hastsal-branch@ujjivan.com;helpdeskdelhi@ujjivan.com; </v>
      </c>
      <c r="M436" s="68" t="s">
        <v>2647</v>
      </c>
      <c r="N436" s="68" t="str">
        <f t="shared" si="13"/>
        <v xml:space="preserve">Dear Team, Please find attached list of prospect clients for REPEAT GL-LOANS (clients who have taken earlier an GL Loan) for you branch.
Thanks &amp; Regards,
MIS Team
</v>
      </c>
      <c r="O436" s="48" t="s">
        <v>1028</v>
      </c>
      <c r="X436" s="68" t="s">
        <v>3573</v>
      </c>
      <c r="Y436" s="120" t="s">
        <v>4924</v>
      </c>
      <c r="Z436" s="119" t="s">
        <v>3572</v>
      </c>
    </row>
    <row r="437" spans="2:26" ht="15.75" x14ac:dyDescent="0.25">
      <c r="B437" s="150" t="s">
        <v>1937</v>
      </c>
      <c r="C437" s="62" t="s">
        <v>3546</v>
      </c>
      <c r="D437" s="62" t="str">
        <f t="shared" si="14"/>
        <v>vikram.singh@ujjivan.com;deepak.dalal@ujjivan.com;rahul.sukhija@ujjivan.com;</v>
      </c>
      <c r="E437" s="62" t="s">
        <v>947</v>
      </c>
      <c r="F437" s="62" t="s">
        <v>4242</v>
      </c>
      <c r="G437" s="62" t="s">
        <v>905</v>
      </c>
      <c r="J437" s="67" t="s">
        <v>4401</v>
      </c>
      <c r="K437" s="62" t="str">
        <f>VLOOKUP(B437,Sheet5!$A$1:$H$471,8,0)</f>
        <v>vikram.singh@ujjivan.com;deepak.dalal@ujjivan.com;shiv.thanvi@ujjivan.com;rahul.sukhija@ujjivan.com;;;</v>
      </c>
      <c r="L437" s="62" t="str">
        <f>VLOOKUP($B437,Sheet4!$B:$E,4,0)</f>
        <v xml:space="preserve">har-sirsa-branch@ujjivan.com;helpdeskdelhi@ujjivan.com; </v>
      </c>
      <c r="M437" s="68" t="s">
        <v>2648</v>
      </c>
      <c r="N437" s="68" t="str">
        <f t="shared" si="13"/>
        <v xml:space="preserve">Dear Team, Please find attached list of prospect clients for REPEAT GL-LOANS (clients who have taken earlier an GL Loan) for you branch.
Thanks &amp; Regards,
MIS Team
</v>
      </c>
      <c r="O437" s="48" t="s">
        <v>1028</v>
      </c>
      <c r="X437" s="68" t="s">
        <v>3573</v>
      </c>
      <c r="Y437" s="120" t="s">
        <v>4924</v>
      </c>
      <c r="Z437" s="119" t="s">
        <v>3572</v>
      </c>
    </row>
    <row r="438" spans="2:26" ht="15.75" x14ac:dyDescent="0.25">
      <c r="B438" s="150" t="s">
        <v>1964</v>
      </c>
      <c r="C438" s="62" t="s">
        <v>3547</v>
      </c>
      <c r="D438" s="62" t="str">
        <f t="shared" si="14"/>
        <v>rishi.walia@ujjivan.com;amrik.singh@ujjivan.com;rahul.sukhija@ujjivan.com;</v>
      </c>
      <c r="E438" s="62" t="s">
        <v>2816</v>
      </c>
      <c r="F438" s="62" t="s">
        <v>4265</v>
      </c>
      <c r="G438" s="62" t="s">
        <v>905</v>
      </c>
      <c r="J438" s="67" t="s">
        <v>4401</v>
      </c>
      <c r="K438" s="62" t="str">
        <f>VLOOKUP(B438,Sheet5!$A$1:$H$471,8,0)</f>
        <v>rishi.walia@ujjivan.com;deepak.k@ujjivan.com;prakharkumar.pandey@ujjivan.com;rahul.sukhija@ujjivan.com;;;</v>
      </c>
      <c r="L438" s="62" t="str">
        <f>VLOOKUP($B438,Sheet4!$B:$E,4,0)</f>
        <v xml:space="preserve">pnb-sangrur-branch@ujjivan.com;helpdeskdelhi@ujjivan.com; </v>
      </c>
      <c r="M438" s="68" t="s">
        <v>2649</v>
      </c>
      <c r="N438" s="68" t="str">
        <f t="shared" si="13"/>
        <v xml:space="preserve">Dear Team, Please find attached list of prospect clients for REPEAT GL-LOANS (clients who have taken earlier an GL Loan) for you branch.
Thanks &amp; Regards,
MIS Team
</v>
      </c>
      <c r="O438" s="48" t="s">
        <v>1028</v>
      </c>
      <c r="X438" s="68" t="s">
        <v>3573</v>
      </c>
      <c r="Y438" s="120" t="s">
        <v>4924</v>
      </c>
      <c r="Z438" s="119" t="s">
        <v>3572</v>
      </c>
    </row>
    <row r="439" spans="2:26" ht="15.75" x14ac:dyDescent="0.25">
      <c r="B439" s="150" t="s">
        <v>1985</v>
      </c>
      <c r="C439" s="62" t="s">
        <v>3548</v>
      </c>
      <c r="D439" s="62" t="str">
        <f t="shared" si="14"/>
        <v>nitin.kumar@ujjivan.com;-;amit.vij@ujjivan.com;</v>
      </c>
      <c r="E439" s="62" t="s">
        <v>2700</v>
      </c>
      <c r="F439" s="62" t="s">
        <v>3608</v>
      </c>
      <c r="G439" s="62" t="s">
        <v>880</v>
      </c>
      <c r="J439" s="67" t="s">
        <v>4401</v>
      </c>
      <c r="K439" s="62" t="str">
        <f>VLOOKUP(B439,Sheet5!$A$1:$H$471,8,0)</f>
        <v>nitin.kumar@ujjivan.com;sanjeev.kumar604@ujjivan.com;sourabh.narang@ujjivan.com;amit.vij@ujjivan.com;;;</v>
      </c>
      <c r="L439" s="62" t="str">
        <f>VLOOKUP($B439,Sheet4!$B:$E,4,0)</f>
        <v xml:space="preserve">har-kaithal-branch@ujjivan.com;helpdeskdelhi@ujjivan.com; </v>
      </c>
      <c r="M439" s="68" t="s">
        <v>2650</v>
      </c>
      <c r="N439" s="68" t="str">
        <f t="shared" si="13"/>
        <v xml:space="preserve">Dear Team, Please find attached list of prospect clients for REPEAT GL-LOANS (clients who have taken earlier an GL Loan) for you branch.
Thanks &amp; Regards,
MIS Team
</v>
      </c>
      <c r="O439" s="48" t="s">
        <v>1028</v>
      </c>
      <c r="X439" s="68" t="s">
        <v>3573</v>
      </c>
      <c r="Y439" s="120" t="s">
        <v>4924</v>
      </c>
      <c r="Z439" s="119" t="s">
        <v>3572</v>
      </c>
    </row>
    <row r="440" spans="2:26" ht="15.75" x14ac:dyDescent="0.25">
      <c r="B440" s="150" t="s">
        <v>1988</v>
      </c>
      <c r="C440" s="62" t="s">
        <v>3549</v>
      </c>
      <c r="D440" s="62" t="str">
        <f t="shared" si="14"/>
        <v>puneet.kamra@ujjivan.com;subash.majoka@ujjivan.com;amit.vij@ujjivan.com;</v>
      </c>
      <c r="E440" s="62" t="s">
        <v>2818</v>
      </c>
      <c r="F440" s="62" t="s">
        <v>4257</v>
      </c>
      <c r="G440" s="62" t="s">
        <v>880</v>
      </c>
      <c r="J440" s="67" t="s">
        <v>4401</v>
      </c>
      <c r="K440" s="62" t="str">
        <f>VLOOKUP(B440,Sheet5!$A$1:$H$471,8,0)</f>
        <v>puneet.kamra@ujjivan.com;subash.majoka@ujjivan.com;sourabh.narang@ujjivan.com;amit.vij@ujjivan.com;;;</v>
      </c>
      <c r="L440" s="62" t="str">
        <f>VLOOKUP($B440,Sheet4!$B:$E,4,0)</f>
        <v xml:space="preserve">har-kurushetra-branch@ujjivan.com;helpdeskdelhi@ujjivan.com; </v>
      </c>
      <c r="M440" s="68" t="s">
        <v>2651</v>
      </c>
      <c r="N440" s="68" t="str">
        <f t="shared" si="13"/>
        <v xml:space="preserve">Dear Team, Please find attached list of prospect clients for REPEAT GL-LOANS (clients who have taken earlier an GL Loan) for you branch.
Thanks &amp; Regards,
MIS Team
</v>
      </c>
      <c r="O440" s="48" t="s">
        <v>1028</v>
      </c>
      <c r="X440" s="68" t="s">
        <v>3573</v>
      </c>
      <c r="Y440" s="120" t="s">
        <v>4924</v>
      </c>
      <c r="Z440" s="119" t="s">
        <v>3572</v>
      </c>
    </row>
    <row r="441" spans="2:26" ht="15.75" x14ac:dyDescent="0.25">
      <c r="B441" s="150" t="s">
        <v>2074</v>
      </c>
      <c r="C441" s="62" t="s">
        <v>4558</v>
      </c>
      <c r="D441" s="62" t="e">
        <f t="shared" si="14"/>
        <v>#N/A</v>
      </c>
      <c r="E441" s="62">
        <v>0</v>
      </c>
      <c r="F441" s="62" t="e">
        <v>#N/A</v>
      </c>
      <c r="G441" s="62" t="e">
        <v>#N/A</v>
      </c>
      <c r="J441" s="67" t="s">
        <v>4401</v>
      </c>
      <c r="K441" s="62" t="str">
        <f>VLOOKUP(B441,Sheet5!$A$1:$H$471,8,0)</f>
        <v>;;;;;;</v>
      </c>
      <c r="L441" s="62" t="str">
        <f>VLOOKUP($B441,Sheet4!$B:$E,4,0)</f>
        <v xml:space="preserve">har-panipatkishanpura-branch@ujjivan.com;helpdeskdelhi@ujjivan.com; </v>
      </c>
      <c r="M441" s="68" t="s">
        <v>2652</v>
      </c>
      <c r="N441" s="68"/>
      <c r="O441" s="48" t="s">
        <v>1028</v>
      </c>
      <c r="X441" s="68" t="s">
        <v>3573</v>
      </c>
      <c r="Y441" s="120" t="s">
        <v>4924</v>
      </c>
      <c r="Z441" s="119" t="s">
        <v>3572</v>
      </c>
    </row>
    <row r="442" spans="2:26" ht="15.75" x14ac:dyDescent="0.25">
      <c r="B442" s="150" t="s">
        <v>2077</v>
      </c>
      <c r="C442" s="62" t="s">
        <v>4558</v>
      </c>
      <c r="D442" s="62" t="e">
        <f t="shared" si="14"/>
        <v>#N/A</v>
      </c>
      <c r="E442" s="62">
        <v>0</v>
      </c>
      <c r="F442" s="62" t="e">
        <v>#N/A</v>
      </c>
      <c r="G442" s="62" t="e">
        <v>#N/A</v>
      </c>
      <c r="J442" s="67" t="s">
        <v>4401</v>
      </c>
      <c r="K442" s="62" t="str">
        <f>VLOOKUP(B442,Sheet5!$A$1:$H$471,8,0)</f>
        <v>;;;;;;</v>
      </c>
      <c r="L442" s="62" t="str">
        <f>VLOOKUP($B442,Sheet4!$B:$E,4,0)</f>
        <v xml:space="preserve">pnb-phagwara-branch@ujjivan.com;helpdeskdelhi@ujjivan.com; </v>
      </c>
      <c r="M442" s="68" t="s">
        <v>2653</v>
      </c>
      <c r="N442" s="68"/>
      <c r="O442" s="48" t="s">
        <v>1028</v>
      </c>
      <c r="X442" s="68" t="s">
        <v>3573</v>
      </c>
      <c r="Y442" s="120" t="s">
        <v>4924</v>
      </c>
      <c r="Z442" s="119" t="s">
        <v>3572</v>
      </c>
    </row>
    <row r="443" spans="2:26" ht="15.75" x14ac:dyDescent="0.25">
      <c r="B443" s="150" t="s">
        <v>2083</v>
      </c>
      <c r="C443" s="62" t="s">
        <v>3550</v>
      </c>
      <c r="D443" s="62" t="str">
        <f t="shared" si="14"/>
        <v>kumar.vinod@ujjivan.com;hariom.modi@ujjivan.com;rohit.parashar@ujjivan.com;</v>
      </c>
      <c r="E443" s="62" t="s">
        <v>968</v>
      </c>
      <c r="F443" s="62" t="s">
        <v>4284</v>
      </c>
      <c r="G443" s="62" t="s">
        <v>955</v>
      </c>
      <c r="J443" s="67" t="s">
        <v>4401</v>
      </c>
      <c r="K443" s="62" t="str">
        <f>VLOOKUP(B443,Sheet5!$A$1:$H$471,8,0)</f>
        <v>kalu.ram@ujjivan.com;akash.saxena@ujjivan.com;deepak.duttatrey@ujjivan.com;rohit.parashar@ujjivan.com;;;</v>
      </c>
      <c r="L443" s="62" t="str">
        <f>VLOOKUP($B443,Sheet4!$B:$E,4,0)</f>
        <v xml:space="preserve">raj-sanganer-branch@ujjivan.com;helpdeskdelhi@ujjivan.com; </v>
      </c>
      <c r="M443" s="68" t="s">
        <v>2654</v>
      </c>
      <c r="N443" s="68" t="str">
        <f t="shared" si="13"/>
        <v xml:space="preserve">Dear Team, Please find attached list of prospect clients for REPEAT GL-LOANS (clients who have taken earlier an GL Loan) for you branch.
Thanks &amp; Regards,
MIS Team
</v>
      </c>
      <c r="O443" s="48" t="s">
        <v>1028</v>
      </c>
      <c r="X443" s="68" t="s">
        <v>3573</v>
      </c>
      <c r="Y443" s="120" t="s">
        <v>4924</v>
      </c>
      <c r="Z443" s="119" t="s">
        <v>3572</v>
      </c>
    </row>
    <row r="444" spans="2:26" ht="15.75" x14ac:dyDescent="0.25">
      <c r="B444" s="150" t="s">
        <v>2134</v>
      </c>
      <c r="C444" s="62" t="s">
        <v>3551</v>
      </c>
      <c r="D444" s="62" t="str">
        <f t="shared" si="14"/>
        <v>abhijit.dey@ujjivan.com;abhijit.santra@ujjivan.com;santanu.dey@ujjivan.com;</v>
      </c>
      <c r="E444" s="62" t="s">
        <v>2689</v>
      </c>
      <c r="F444" s="62" t="s">
        <v>4064</v>
      </c>
      <c r="G444" s="62" t="s">
        <v>610</v>
      </c>
      <c r="J444" s="67" t="s">
        <v>4401</v>
      </c>
      <c r="K444" s="62" t="str">
        <f>VLOOKUP(B444,Sheet5!$A$1:$H$471,8,0)</f>
        <v>abhijit.dey@ujjivan.com;abhijit.santra@ujjivan.com;suvendu.banerjee@ujjivan.com;santanu.dey@ujjivan.com;;;</v>
      </c>
      <c r="L444" s="62" t="str">
        <f>VLOOKUP($B444,Sheet4!$B:$E,4,0)</f>
        <v xml:space="preserve">cal-uluberia-branch@ujjivan.com ;helpdeskkolkata@ujjivan.com; </v>
      </c>
      <c r="M444" s="68" t="s">
        <v>2655</v>
      </c>
      <c r="N444" s="68" t="str">
        <f t="shared" si="13"/>
        <v xml:space="preserve">Dear Team, Please find attached list of prospect clients for REPEAT GL-LOANS (clients who have taken earlier an GL Loan) for you branch.
Thanks &amp; Regards,
MIS Team
</v>
      </c>
      <c r="O444" s="48" t="s">
        <v>1028</v>
      </c>
      <c r="X444" s="68" t="s">
        <v>3573</v>
      </c>
      <c r="Y444" s="120" t="s">
        <v>4924</v>
      </c>
      <c r="Z444" s="119" t="s">
        <v>3572</v>
      </c>
    </row>
    <row r="445" spans="2:26" ht="15.75" x14ac:dyDescent="0.25">
      <c r="B445" s="150" t="s">
        <v>2237</v>
      </c>
      <c r="C445" s="62" t="e">
        <v>#N/A</v>
      </c>
      <c r="D445" s="62" t="e">
        <f t="shared" si="14"/>
        <v>#N/A</v>
      </c>
      <c r="E445" s="62" t="e">
        <v>#N/A</v>
      </c>
      <c r="F445" s="62" t="e">
        <v>#N/A</v>
      </c>
      <c r="G445" s="62" t="e">
        <v>#N/A</v>
      </c>
      <c r="J445" s="67" t="s">
        <v>4401</v>
      </c>
      <c r="K445" s="62" t="e">
        <f>VLOOKUP(B445,Sheet5!$A$1:$H$471,8,0)</f>
        <v>#N/A</v>
      </c>
      <c r="L445" s="62" t="str">
        <f>VLOOKUP($B445,Sheet4!$B:$E,4,0)</f>
        <v xml:space="preserve">bhr-lalganj-branch@ujjivan.com;helpdeskkolkata@ujjivan.com; </v>
      </c>
      <c r="M445" s="68" t="s">
        <v>2656</v>
      </c>
      <c r="N445" s="68"/>
      <c r="O445" s="48" t="s">
        <v>1028</v>
      </c>
      <c r="X445" s="68" t="s">
        <v>3573</v>
      </c>
      <c r="Y445" s="120" t="s">
        <v>4924</v>
      </c>
      <c r="Z445" s="119" t="s">
        <v>3572</v>
      </c>
    </row>
    <row r="446" spans="2:26" ht="15.75" x14ac:dyDescent="0.25">
      <c r="B446" s="150" t="s">
        <v>754</v>
      </c>
      <c r="C446" s="62" t="s">
        <v>3477</v>
      </c>
      <c r="D446" s="62" t="e">
        <f t="shared" si="14"/>
        <v>#N/A</v>
      </c>
      <c r="E446" s="62" t="s">
        <v>753</v>
      </c>
      <c r="F446" s="62" t="e">
        <v>#N/A</v>
      </c>
      <c r="G446" s="62" t="e">
        <v>#N/A</v>
      </c>
      <c r="J446" s="67" t="s">
        <v>4401</v>
      </c>
      <c r="K446" s="62" t="str">
        <f>VLOOKUP(B446,Sheet5!$A$1:$H$471,8,0)</f>
        <v>goutam.debnath@ujjivan.com;manikarna.debbarma@ujjivan.com;rajib.biswas@ujjivan.com;;;;</v>
      </c>
      <c r="L446" s="62" t="str">
        <f>VLOOKUP($B446,Sheet4!$B:$E,4,0)</f>
        <v xml:space="preserve">ne-bishalgarh- branch &lt;ne-bishalgarh-branch@ujjivan.com&gt;;helpdeskkolkata@ujjivan.com; </v>
      </c>
      <c r="M446" s="68" t="s">
        <v>2657</v>
      </c>
      <c r="N446" s="68" t="str">
        <f t="shared" si="13"/>
        <v xml:space="preserve">Dear Team, Please find attached list of prospect clients for REPEAT GL-LOANS (clients who have taken earlier an GL Loan) for you branch.
Thanks &amp; Regards,
MIS Team
</v>
      </c>
      <c r="O446" s="48" t="s">
        <v>1028</v>
      </c>
      <c r="X446" s="68" t="s">
        <v>3573</v>
      </c>
      <c r="Y446" s="120" t="s">
        <v>4924</v>
      </c>
      <c r="Z446" s="119" t="s">
        <v>3572</v>
      </c>
    </row>
    <row r="447" spans="2:26" ht="15.75" x14ac:dyDescent="0.25">
      <c r="B447" s="150" t="s">
        <v>2412</v>
      </c>
      <c r="C447" s="62" t="s">
        <v>3552</v>
      </c>
      <c r="D447" s="62" t="str">
        <f t="shared" si="14"/>
        <v>pranay.das@ujjivan.com;-;santanu.dey@ujjivan.com;</v>
      </c>
      <c r="E447" s="62" t="s">
        <v>2743</v>
      </c>
      <c r="F447" s="62" t="s">
        <v>3608</v>
      </c>
      <c r="G447" s="62" t="s">
        <v>610</v>
      </c>
      <c r="J447" s="67" t="s">
        <v>4401</v>
      </c>
      <c r="K447" s="62" t="str">
        <f>VLOOKUP(B447,Sheet5!$A$1:$H$471,8,0)</f>
        <v>pranay.das@ujjivan.com;mithan.kar@ujjivan.com;rajib.biswas@ujjivan.com;santanu.dey@ujjivan.com;;;</v>
      </c>
      <c r="L447" s="62" t="str">
        <f>VLOOKUP($B447,Sheet4!$B:$E,4,0)</f>
        <v xml:space="preserve">ne-teliamura- branch &lt;ne-teliamura-branch@ujjivan.com&gt;;helpdeskkolkata@ujjivan.com; </v>
      </c>
      <c r="M447" s="68" t="s">
        <v>2658</v>
      </c>
      <c r="N447" s="68" t="str">
        <f t="shared" si="13"/>
        <v xml:space="preserve">Dear Team, Please find attached list of prospect clients for REPEAT GL-LOANS (clients who have taken earlier an GL Loan) for you branch.
Thanks &amp; Regards,
MIS Team
</v>
      </c>
      <c r="O447" s="48" t="s">
        <v>1028</v>
      </c>
      <c r="X447" s="68" t="s">
        <v>3573</v>
      </c>
      <c r="Y447" s="120" t="s">
        <v>4924</v>
      </c>
      <c r="Z447" s="119" t="s">
        <v>3572</v>
      </c>
    </row>
    <row r="448" spans="2:26" ht="15.75" x14ac:dyDescent="0.25">
      <c r="B448" s="150" t="s">
        <v>2415</v>
      </c>
      <c r="C448" s="62" t="s">
        <v>3553</v>
      </c>
      <c r="D448" s="62" t="str">
        <f t="shared" si="14"/>
        <v>bishu.paul@ujjivan.com;natish.saha@ujjivan.com;santanu.dey@ujjivan.com;</v>
      </c>
      <c r="E448" s="62" t="s">
        <v>3761</v>
      </c>
      <c r="F448" s="62" t="s">
        <v>4409</v>
      </c>
      <c r="G448" s="62" t="s">
        <v>610</v>
      </c>
      <c r="J448" s="67" t="s">
        <v>4401</v>
      </c>
      <c r="K448" s="62" t="str">
        <f>VLOOKUP(B448,Sheet5!$A$1:$H$471,8,0)</f>
        <v>bishu.paul@ujjivan.com;natish.saha@ujjivan.com;rajib.biswas@ujjivan.com;santanu.dey@ujjivan.com;;;</v>
      </c>
      <c r="L448" s="62" t="str">
        <f>VLOOKUP($B448,Sheet4!$B:$E,4,0)</f>
        <v xml:space="preserve">ne-kumarghat- branch &lt;ne-kumarghat-branch@ujjivan.com&gt;;helpdeskkolkata@ujjivan.com; </v>
      </c>
      <c r="M448" s="68" t="s">
        <v>2659</v>
      </c>
      <c r="N448" s="68" t="str">
        <f t="shared" si="13"/>
        <v xml:space="preserve">Dear Team, Please find attached list of prospect clients for REPEAT GL-LOANS (clients who have taken earlier an GL Loan) for you branch.
Thanks &amp; Regards,
MIS Team
</v>
      </c>
      <c r="O448" s="48" t="s">
        <v>1028</v>
      </c>
      <c r="X448" s="68" t="s">
        <v>3573</v>
      </c>
      <c r="Y448" s="120" t="s">
        <v>4924</v>
      </c>
      <c r="Z448" s="119" t="s">
        <v>3572</v>
      </c>
    </row>
    <row r="449" spans="2:26" ht="15.75" x14ac:dyDescent="0.25">
      <c r="B449" s="150" t="s">
        <v>2418</v>
      </c>
      <c r="C449" s="62" t="s">
        <v>3554</v>
      </c>
      <c r="D449" s="62" t="str">
        <f t="shared" si="14"/>
        <v>Shivraj.More@ujjivan.com;santosh.karad@ujjivan.com;varun.yadav@ujjivan.com;</v>
      </c>
      <c r="E449" s="62" t="s">
        <v>3762</v>
      </c>
      <c r="F449" s="62" t="s">
        <v>4477</v>
      </c>
      <c r="G449" s="62" t="s">
        <v>978</v>
      </c>
      <c r="J449" s="67" t="s">
        <v>4401</v>
      </c>
      <c r="K449" s="62" t="str">
        <f>VLOOKUP(B449,Sheet5!$A$1:$H$471,8,0)</f>
        <v>abhijeet.shinde@ujjivan.com;santosh.karad@ujjivan.com;shrikant.walunj@ujjivan.com;varun.yadav@ujjivan.com;west-punenorth-branch@ujjivan.com;ccr-punenorth@ujjivan.com; arun.pawar@ujjivan.com;kailas.isale@ujjivan.com;shrikant.walunj@ujjivan.com;himanshu.mittal@ujjivan.com;hemant.awade@ujjivan.com;sameer.shaikh@ujjivan.com;sunil.khanekar@ujjivan.com;yogesh.vankar@ujjivan.com;abhijeet.bhadange@ujjivan.com;mangesh.waikar@ujjivan.com;;;</v>
      </c>
      <c r="L449" s="62" t="str">
        <f>VLOOKUP($B449,Sheet4!$B:$E,4,0)</f>
        <v xml:space="preserve">west-punenorth-branch@ujjivan.com;ccr-punenorth@ujjivan.com;aniket.adhikari@ujjivan.com;amar.adiwarekar@ujjivan.com;helpdeskwest@ujjivan.com; </v>
      </c>
      <c r="M449" s="68" t="s">
        <v>2660</v>
      </c>
      <c r="N449" s="68" t="str">
        <f t="shared" si="13"/>
        <v xml:space="preserve">Dear Team, Please find attached list of prospect clients for REPEAT GL-LOANS (clients who have taken earlier an GL Loan) for you branch.
Thanks &amp; Regards,
MIS Team
</v>
      </c>
      <c r="O449" s="48" t="s">
        <v>1028</v>
      </c>
      <c r="X449" s="68" t="s">
        <v>3573</v>
      </c>
      <c r="Y449" s="120" t="s">
        <v>4924</v>
      </c>
      <c r="Z449" s="119" t="s">
        <v>3572</v>
      </c>
    </row>
    <row r="450" spans="2:26" ht="15.75" x14ac:dyDescent="0.25">
      <c r="B450" s="150" t="s">
        <v>2425</v>
      </c>
      <c r="C450" s="62" t="s">
        <v>3555</v>
      </c>
      <c r="D450" s="62" t="str">
        <f t="shared" si="14"/>
        <v>tushar.mali@ujjivan.com;swapnil.vibhute@ujjivan.com;varun.yadav@ujjivan.com;</v>
      </c>
      <c r="E450" s="62" t="s">
        <v>3763</v>
      </c>
      <c r="F450" s="62" t="s">
        <v>4141</v>
      </c>
      <c r="G450" s="62" t="s">
        <v>978</v>
      </c>
      <c r="J450" s="67" t="s">
        <v>4401</v>
      </c>
      <c r="K450" s="62" t="str">
        <f>VLOOKUP(B450,Sheet5!$A$1:$H$471,8,0)</f>
        <v>;swapnil.vibhute@ujjivan.com;shrikant.walunj@ujjivan.com;varun.yadav@ujjivan.com;west-akurdi-branch@ujjivan.com;ccr-akurdi@ujjivan.com;gajanan.bande@ujjivan.com;tushar.mali@ujjivan.com;anil.patil@ujjivan.com;himanshu.mittal@ujjivan.com;hemant.awade@ujjivan.com;ramesh.kamble@ujjivan.com;dinesh.bidkar@ujjivan.com;ravi.arkal@ujjivan.com;nikhil.patil@ujjivan.com;abhijeet.bhadange@ujjivan.com;rajesh.patil@ujjivan.com;;</v>
      </c>
      <c r="L450" s="62" t="str">
        <f>VLOOKUP($B450,Sheet4!$B:$E,4,0)</f>
        <v xml:space="preserve">ccr-akurdi@ujjivan.com;west-akurdi-branch@ujjivan.com;dinesh.bidkar@ujjivan.com;tushar.mali@ujjivan.com;anil.patil@ujjivan.com;amar.adiwarekar@ujjivan.com;helpdeskwest@ujjivan.com; </v>
      </c>
      <c r="M450" s="68" t="s">
        <v>2661</v>
      </c>
      <c r="N450" s="68" t="str">
        <f t="shared" si="13"/>
        <v xml:space="preserve">Dear Team, Please find attached list of prospect clients for REPEAT GL-LOANS (clients who have taken earlier an GL Loan) for you branch.
Thanks &amp; Regards,
MIS Team
</v>
      </c>
      <c r="O450" s="48" t="s">
        <v>1028</v>
      </c>
      <c r="X450" s="68" t="s">
        <v>3573</v>
      </c>
      <c r="Y450" s="120" t="s">
        <v>4924</v>
      </c>
      <c r="Z450" s="119" t="s">
        <v>3572</v>
      </c>
    </row>
    <row r="451" spans="2:26" ht="15.75" x14ac:dyDescent="0.25">
      <c r="B451" s="150" t="s">
        <v>2436</v>
      </c>
      <c r="C451" s="62" t="s">
        <v>3556</v>
      </c>
      <c r="D451" s="62" t="str">
        <f t="shared" si="14"/>
        <v>bhushan.belwale@ujjivan.com;ravi.kakade@ujjivan.com;nirav.vahalia@ujjivan.com;</v>
      </c>
      <c r="E451" s="62" t="s">
        <v>782</v>
      </c>
      <c r="F451" s="62" t="s">
        <v>4146</v>
      </c>
      <c r="G451" s="62" t="s">
        <v>2756</v>
      </c>
      <c r="J451" s="67" t="s">
        <v>4401</v>
      </c>
      <c r="K451" s="62" t="str">
        <f>VLOOKUP(B451,Sheet5!$A$1:$H$471,8,0)</f>
        <v>bhushan.belwale@ujjivan.com;ravi.kakade@ujjivan.com;gaurav.oberoi@ujjivan.com;nirav.vahalia@ujjivan.com;west-thane-branch@ujjivan.com;ccr-thane@ujjivan.com;bhushan.belwale@ujjivan.com;gupta.mahesh@ujjivan.com;prashant.jadhav@ujjivan.com;gaurav.pawar@ujjivan.com;gaurav.oberoi@ujjivan.com;jitendra.sodhi@ujjivan.com;sagar.chavan@ujjivan.com;shekhar.jagtap@ujjivan.com;shekhar.jagtap@ujjivan.com;anil.gupta@ujjivan.com;sunil.parab@ujjivan.com;;;</v>
      </c>
      <c r="L451" s="62" t="str">
        <f>VLOOKUP($B451,Sheet4!$B:$E,4,0)</f>
        <v xml:space="preserve">west-thane-branch@ujjivan.com;ccr-thane@ujjivan.com;utkarsh.tawade@ujjivan.com;pramod.shinde@ujjivan.com;vijay.bhalerao@ujjivan.com;helpdeskwest@ujjivan.com; </v>
      </c>
      <c r="M451" s="68" t="s">
        <v>2662</v>
      </c>
      <c r="N451" s="68" t="str">
        <f t="shared" si="13"/>
        <v xml:space="preserve">Dear Team, Please find attached list of prospect clients for REPEAT GL-LOANS (clients who have taken earlier an GL Loan) for you branch.
Thanks &amp; Regards,
MIS Team
</v>
      </c>
      <c r="O451" s="48" t="s">
        <v>1028</v>
      </c>
      <c r="X451" s="68" t="s">
        <v>3573</v>
      </c>
      <c r="Y451" s="120" t="s">
        <v>4924</v>
      </c>
      <c r="Z451" s="119" t="s">
        <v>3572</v>
      </c>
    </row>
    <row r="452" spans="2:26" ht="15.75" x14ac:dyDescent="0.25">
      <c r="B452" s="150" t="s">
        <v>2441</v>
      </c>
      <c r="C452" s="62" t="s">
        <v>3557</v>
      </c>
      <c r="D452" s="62" t="str">
        <f t="shared" si="14"/>
        <v>sachin.rewale@ujjivan.com;pappu.saroj@ujjivan.com;nirav.vahalia@ujjivan.com;</v>
      </c>
      <c r="E452" s="62" t="s">
        <v>2751</v>
      </c>
      <c r="F452" s="62" t="s">
        <v>4148</v>
      </c>
      <c r="G452" s="62" t="s">
        <v>2756</v>
      </c>
      <c r="J452" s="67" t="s">
        <v>4401</v>
      </c>
      <c r="K452" s="62" t="str">
        <f>VLOOKUP(B452,Sheet5!$A$1:$H$471,8,0)</f>
        <v>sachin.rewale@ujjivan.com;pappu.saroj@ujjivan.com;gaurav.oberoi@ujjivan.com;nirav.vahalia@ujjivan.com;west-govandi-branch@ujjivan.com;ccr-mankhurd@ujjivan.com;pappu.saroj@ujjivan.com;gupta.mahesh@ujjivan.com;rajesh.gurav@ujjivan.com;prashant.jadhav@ujjivan.com;jitendra.sodhi@ujjivan.com;mahesh.rane@ujjivan.com;Sanjay.kalwar@ujjivan.com;sandeep.yadav@ujjivan.com;gaurav.oberoi@ujjivan.com; kanchan.dalvi@ujjivan.com;akshay.gurav@ujjivan.com;sunil.parab@ujjivan.com;sachin.rewale@ujjivan.com;;;</v>
      </c>
      <c r="L452" s="62" t="str">
        <f>VLOOKUP($B452,Sheet4!$B:$E,4,0)</f>
        <v xml:space="preserve">west-govandi-branch@ujjivan.com;ccr-mankhurd@ujjivan.com;hitesh.rohra@ujjivan.com;anil.salve@ujjivan.com;kaveri.pawar@ujjivan.com;helpdeskwest@ujjivan.com; </v>
      </c>
      <c r="M452" s="68" t="s">
        <v>2663</v>
      </c>
      <c r="N452" s="68" t="str">
        <f t="shared" si="13"/>
        <v xml:space="preserve">Dear Team, Please find attached list of prospect clients for REPEAT GL-LOANS (clients who have taken earlier an GL Loan) for you branch.
Thanks &amp; Regards,
MIS Team
</v>
      </c>
      <c r="O452" s="48" t="s">
        <v>1028</v>
      </c>
      <c r="X452" s="68" t="s">
        <v>3573</v>
      </c>
      <c r="Y452" s="120" t="s">
        <v>4924</v>
      </c>
      <c r="Z452" s="119" t="s">
        <v>3572</v>
      </c>
    </row>
    <row r="453" spans="2:26" ht="15.75" x14ac:dyDescent="0.25">
      <c r="B453" s="150" t="s">
        <v>2457</v>
      </c>
      <c r="C453" s="62" t="s">
        <v>4558</v>
      </c>
      <c r="D453" s="62" t="e">
        <f t="shared" si="14"/>
        <v>#N/A</v>
      </c>
      <c r="E453" s="62">
        <v>0</v>
      </c>
      <c r="F453" s="62" t="e">
        <v>#N/A</v>
      </c>
      <c r="G453" s="62" t="e">
        <v>#N/A</v>
      </c>
      <c r="J453" s="67" t="s">
        <v>4401</v>
      </c>
      <c r="K453" s="62" t="str">
        <f>VLOOKUP(B453,Sheet5!$A$1:$H$471,8,0)</f>
        <v>;;;;;;</v>
      </c>
      <c r="L453" s="62" t="str">
        <f>VLOOKUP($B453,Sheet4!$B:$E,4,0)</f>
        <v xml:space="preserve">west-bhandup-branch@ujjivan.com;ccr.bhandup@ujjivan.com;shankar.jadhav@ujjivan.com;ankur.verma@ujjivan.com;priya.gaikwad@ujjivan.com;helpdeskwest@ujjivan.com; </v>
      </c>
      <c r="M453" s="68" t="s">
        <v>2664</v>
      </c>
      <c r="N453" s="68"/>
      <c r="O453" s="48" t="s">
        <v>1028</v>
      </c>
      <c r="X453" s="68" t="s">
        <v>3573</v>
      </c>
      <c r="Y453" s="120" t="s">
        <v>4924</v>
      </c>
      <c r="Z453" s="119" t="s">
        <v>3572</v>
      </c>
    </row>
    <row r="454" spans="2:26" ht="15.75" x14ac:dyDescent="0.25">
      <c r="B454" s="150" t="s">
        <v>2460</v>
      </c>
      <c r="C454" s="62" t="s">
        <v>3558</v>
      </c>
      <c r="D454" s="62" t="str">
        <f t="shared" ref="D454:D477" si="15">CONCATENATE(E454,";",F454,";",G454,";")</f>
        <v>amol.pawar@ujjivan.com;meena.jangate@ujjivan.com;nirav.vahalia@ujjivan.com;</v>
      </c>
      <c r="E454" s="62" t="s">
        <v>3764</v>
      </c>
      <c r="F454" s="62" t="s">
        <v>4484</v>
      </c>
      <c r="G454" s="62" t="s">
        <v>2756</v>
      </c>
      <c r="J454" s="67" t="s">
        <v>4401</v>
      </c>
      <c r="K454" s="62" t="str">
        <f>VLOOKUP(B454,Sheet5!$A$1:$H$471,8,0)</f>
        <v>amol.pawar@ujjivan.com;meena.jangate@ujjivan.com;gaurav.pawar@ujjivan.com;nirav.vahalia@ujjivan.com;west-mulund-branch@ujjivan.com;ccr.mulund@ujjivan.com;darshana.kumbhar@ujjivan.com;jayesh.vesvikar@ujjivan.com;sachin.mandavkar@ujjivan.com;hiren.karolia@ujjivan.com;yogesh.shinde@ujjivan.com;prashant.jadhav@ujjivan.com;tanveer.khan@ujjivan.com;jitendra.sodhi@ujjivan.com;mahesh.gupta@ujjivan.com;Sanjay.kalwar@ujjivan.com;nikul.bhandari@ujjivan.com;sandeep.yadav@ujjivan.com;Dilip.yadav@ujjivan.com;kaveri.pawar@ujjivan.com;shankar.jadhav@ujjivan.com;dipali.bhurke@ujjivan.com;sunil.parab@ujjivan.com;omkar.malwade@ujjivan.com;;;</v>
      </c>
      <c r="L454" s="62" t="str">
        <f>VLOOKUP($B454,Sheet4!$B:$E,4,0)</f>
        <v xml:space="preserve">west-mulund-branch@ujjivan.com;ccr.mulund@ujjivan.com;Jayesh.Vesvikar@ujjivan.com;sachin.mandavkar@ujjivan.com;priya.gaikwad@ujjivan.com;helpdeskwest@ujjivan.com; </v>
      </c>
      <c r="M454" s="68" t="s">
        <v>2665</v>
      </c>
      <c r="N454" s="68" t="str">
        <f t="shared" ref="N454:N475" si="16">X454&amp;" "&amp; Y454&amp;", "&amp;Z454</f>
        <v xml:space="preserve">Dear Team, Please find attached list of prospect clients for REPEAT GL-LOANS (clients who have taken earlier an GL Loan) for you branch.
Thanks &amp; Regards,
MIS Team
</v>
      </c>
      <c r="O454" s="48" t="s">
        <v>1028</v>
      </c>
      <c r="X454" s="68" t="s">
        <v>3573</v>
      </c>
      <c r="Y454" s="120" t="s">
        <v>4924</v>
      </c>
      <c r="Z454" s="119" t="s">
        <v>3572</v>
      </c>
    </row>
    <row r="455" spans="2:26" ht="15.75" x14ac:dyDescent="0.25">
      <c r="B455" s="150" t="s">
        <v>2488</v>
      </c>
      <c r="C455" s="62" t="s">
        <v>3559</v>
      </c>
      <c r="D455" s="62" t="str">
        <f t="shared" si="15"/>
        <v>anil.bhosle@ujjivan.com;bhakti.nena@ujjivan.com;nirav.vahalia@ujjivan.com;</v>
      </c>
      <c r="E455" s="62" t="s">
        <v>2691</v>
      </c>
      <c r="F455" s="62" t="s">
        <v>4161</v>
      </c>
      <c r="G455" s="62" t="s">
        <v>2756</v>
      </c>
      <c r="J455" s="67" t="s">
        <v>4401</v>
      </c>
      <c r="K455" s="62" t="str">
        <f>VLOOKUP(B455,Sheet5!$A$1:$H$471,8,0)</f>
        <v>anil.bhosle@ujjivan.com;bhakti.nena@ujjivan.com;deepika.deori@ujjivan.com;nirav.vahalia@ujjivan.com;west-borivali-branch@ujjivan.com;ccr.borivali@ujjivan.com;anil.bhosle@ujjivan.com;kailas.gaikwad@ujjivan.com;amol.pawar@ujjivan.com;prashant.jadhav@ujjivan.com;jitendra.sodhi@ujjivan.com;gupta.mahesh@ujjivan.com;Sanjay.kalwar@ujjivan.com;mahesh.rane@ujjivan.com;abhijeet.das@ujjivan.com;kailash.chaudhari@ujjivan.com ;deepika.deori@ujjivan.com;yogesh.bodke@ujjivan.com;sunil.parab@ujjivan.com;mahesh.gupta@ujjivan.com;;;</v>
      </c>
      <c r="L455" s="62" t="str">
        <f>VLOOKUP($B455,Sheet4!$B:$E,4,0)</f>
        <v xml:space="preserve">west-borivali-branch@ujjivan.com;ccr.borivali@ujjivan.com;anil.bhosle@ujjivan.com;kailas.gaikwad@ujjivan.com;rameshwar.chaudhari@ujjivan.com;helpdeskwest@ujjivan.com; </v>
      </c>
      <c r="M455" s="68" t="s">
        <v>2666</v>
      </c>
      <c r="N455" s="68" t="str">
        <f t="shared" si="16"/>
        <v xml:space="preserve">Dear Team, Please find attached list of prospect clients for REPEAT GL-LOANS (clients who have taken earlier an GL Loan) for you branch.
Thanks &amp; Regards,
MIS Team
</v>
      </c>
      <c r="O455" s="48" t="s">
        <v>1028</v>
      </c>
      <c r="X455" s="68" t="s">
        <v>3573</v>
      </c>
      <c r="Y455" s="120" t="s">
        <v>4924</v>
      </c>
      <c r="Z455" s="119" t="s">
        <v>3572</v>
      </c>
    </row>
    <row r="456" spans="2:26" ht="15.75" x14ac:dyDescent="0.25">
      <c r="B456" s="150" t="s">
        <v>2503</v>
      </c>
      <c r="C456" s="62" t="s">
        <v>3560</v>
      </c>
      <c r="D456" s="62" t="str">
        <f t="shared" si="15"/>
        <v>sandeep.mewara@ujjivan.com;bhoomika.khamkar@ujjivan.com;satish.ankola@ujjivan.com;</v>
      </c>
      <c r="E456" s="62" t="s">
        <v>3765</v>
      </c>
      <c r="F456" s="62" t="s">
        <v>4164</v>
      </c>
      <c r="G456" s="62" t="s">
        <v>829</v>
      </c>
      <c r="J456" s="67" t="s">
        <v>4401</v>
      </c>
      <c r="K456" s="62" t="str">
        <f>VLOOKUP(B456,Sheet5!$A$1:$H$471,8,0)</f>
        <v>alpesh.surti@ujjivan.com;bhoomika.khamkar@ujjivan.com;rajesh.khedkar@ujjivan.com;satish.ankola@ujjivan.com;west-navsari-branch@ujjivan.com;ccr-navsari@ujjivan.com;alpesh.surti@ujjivan.com;bhoomika.khamkar@ujjivan.com;manoj.parekh@ujjivan.com;surendra.rajput@ujjivan.com;ruchira.patel@ujjivan.com;rajesh.khedkar@ujjivan.com;himanshu.chauhan@ujjivan.com;hitarth.trivedi@ujjivan.com;ekta.kanthariya@ujjivan.com;dnyaneshwar.wakadikar@ujjivan.com;dipak.patil@ujjivan.com;manish.rana@ujjivan.com;vivek.mistry@ujjivan.com;;</v>
      </c>
      <c r="L456" s="62" t="str">
        <f>VLOOKUP($B456,Sheet4!$B:$E,4,0)</f>
        <v xml:space="preserve">west-navsari-branch@ujjivan.com;ccr-navsari@ujjivan.com;alpesh.surti@ujjivan.com;ruchira.patel@ujjivan.com;helpdeskwest@ujjivan.com; </v>
      </c>
      <c r="M456" s="68" t="s">
        <v>2667</v>
      </c>
      <c r="N456" s="68" t="str">
        <f t="shared" si="16"/>
        <v xml:space="preserve">Dear Team, Please find attached list of prospect clients for REPEAT GL-LOANS (clients who have taken earlier an GL Loan) for you branch.
Thanks &amp; Regards,
MIS Team
</v>
      </c>
      <c r="O456" s="48" t="s">
        <v>1028</v>
      </c>
      <c r="X456" s="68" t="s">
        <v>3573</v>
      </c>
      <c r="Y456" s="120" t="s">
        <v>4924</v>
      </c>
      <c r="Z456" s="119" t="s">
        <v>3572</v>
      </c>
    </row>
    <row r="457" spans="2:26" ht="15.75" x14ac:dyDescent="0.25">
      <c r="B457" s="150" t="s">
        <v>2511</v>
      </c>
      <c r="C457" s="62" t="s">
        <v>4558</v>
      </c>
      <c r="D457" s="62" t="e">
        <f t="shared" si="15"/>
        <v>#N/A</v>
      </c>
      <c r="E457" s="62">
        <v>0</v>
      </c>
      <c r="F457" s="62" t="e">
        <v>#N/A</v>
      </c>
      <c r="G457" s="62" t="e">
        <v>#N/A</v>
      </c>
      <c r="J457" s="67" t="s">
        <v>4401</v>
      </c>
      <c r="K457" s="62" t="str">
        <f>VLOOKUP(B457,Sheet5!$A$1:$H$471,8,0)</f>
        <v>;;;;west-west.vadodara-branch@ujjivan.com;ccr-baroda-west@ujjivan.com;manish.helaiya@ujjivan.com;kushal.parmar@ujjivan.com;hitesh.gangwani@ujjivan.com;hiten.patel@ujjivan.com;nirav.vahalia@ujjivan.com;vijay.rohit@ujjivan.com;amit.thakur@ujjivan.com;hitarth.trivedi@ujjivan.com;nilesh.parmar@ujjivan.com;daxesh.bariya@ujjivan.com;mayur.dindorkar@ujjivan.com;vijayshankar.rajput@ujjivan.com;manish.rana@ujjivan.com;;</v>
      </c>
      <c r="L457" s="62" t="str">
        <f>VLOOKUP($B457,Sheet4!$B:$E,4,0)</f>
        <v xml:space="preserve">west-west.vadodara-branch@ujjivan.com;ccr-baroda-west@ujjivan.com;kuntal.patel@ujjivan.com;rajay.nikam@ujjivan.com;helpdeskwest@ujjivan.com; </v>
      </c>
      <c r="M457" s="68" t="s">
        <v>2668</v>
      </c>
      <c r="N457" s="68"/>
      <c r="O457" s="48" t="s">
        <v>1028</v>
      </c>
      <c r="X457" s="68" t="s">
        <v>3573</v>
      </c>
      <c r="Y457" s="120" t="s">
        <v>4924</v>
      </c>
      <c r="Z457" s="119" t="s">
        <v>3572</v>
      </c>
    </row>
    <row r="458" spans="2:26" ht="15.75" x14ac:dyDescent="0.25">
      <c r="B458" s="150" t="s">
        <v>2518</v>
      </c>
      <c r="C458" s="62" t="s">
        <v>3561</v>
      </c>
      <c r="D458" s="62" t="str">
        <f t="shared" si="15"/>
        <v>barkatali.vadhvania@ujjivan.com;milan.tarsariya@ujjivan.com;satish.ankola@ujjivan.com;</v>
      </c>
      <c r="E458" s="62" t="s">
        <v>3766</v>
      </c>
      <c r="F458" s="62" t="s">
        <v>4167</v>
      </c>
      <c r="G458" s="62" t="s">
        <v>829</v>
      </c>
      <c r="J458" s="67" t="s">
        <v>4401</v>
      </c>
      <c r="K458" s="62" t="str">
        <f>VLOOKUP(B458,Sheet5!$A$1:$H$471,8,0)</f>
        <v>barkatali.vadhavania@ujjivan.com;;ashok.gosawi@ujjivan.com;satish.ankola@ujjivan.com;west-ankleshwar-branch@ujjivan.com;ccr.ankaleshwar@ujjivan.com;sushil.vijayvargiya@ujjivan.com;barkatali.vadhvania@ujjivan.com;nirav.vahalia@ujjivan.com;vijay.rohit@ujjivan.com;amit.thakur@ujjivan.com;hitarth.trivedi@ujjivan.com;dharmesh.vaghela@ujjivan.com;atul.patel@ujjivan.com;natvar.vasava@ujjivan.com;indrajeet.shirke@ujjivan.com;manish.rana@ujjivan.com;;;</v>
      </c>
      <c r="L458" s="62" t="str">
        <f>VLOOKUP($B458,Sheet4!$B:$E,4,0)</f>
        <v xml:space="preserve">west-ankleshwar-branch@ujjivan.com;ccr.ankaleshwar@ujjivan.com;dharmesh.vaghela@ujjivan.com;barkatali.vadhvania@ujjivan.com;ashok.gosawi@ujjivan.com;helpdeskwest@ujjivan.com; </v>
      </c>
      <c r="M458" s="68" t="s">
        <v>2669</v>
      </c>
      <c r="N458" s="68" t="str">
        <f t="shared" si="16"/>
        <v xml:space="preserve">Dear Team, Please find attached list of prospect clients for REPEAT GL-LOANS (clients who have taken earlier an GL Loan) for you branch.
Thanks &amp; Regards,
MIS Team
</v>
      </c>
      <c r="O458" s="48" t="s">
        <v>1028</v>
      </c>
      <c r="X458" s="68" t="s">
        <v>3573</v>
      </c>
      <c r="Y458" s="120" t="s">
        <v>4924</v>
      </c>
      <c r="Z458" s="119" t="s">
        <v>3572</v>
      </c>
    </row>
    <row r="459" spans="2:26" ht="15.75" x14ac:dyDescent="0.25">
      <c r="B459" s="150" t="s">
        <v>2522</v>
      </c>
      <c r="C459" s="62" t="s">
        <v>3562</v>
      </c>
      <c r="D459" s="62" t="e">
        <f t="shared" si="15"/>
        <v>#N/A</v>
      </c>
      <c r="E459" s="62" t="s">
        <v>2761</v>
      </c>
      <c r="F459" s="62" t="e">
        <v>#N/A</v>
      </c>
      <c r="G459" s="62" t="e">
        <v>#N/A</v>
      </c>
      <c r="J459" s="67" t="s">
        <v>4401</v>
      </c>
      <c r="K459" s="62" t="str">
        <f>VLOOKUP(B459,Sheet5!$A$1:$H$471,8,0)</f>
        <v>sopan.avhad@ujjivan.com;jayant.kulkarni@ujjivan.com;vaibhav.dudhekar@ujjivan.com;;west-ahmednagarcity-branch@ujjivan.com;ccr-ahmednagarcity@ujjivan.com;shrikant.rokade@ujjivan.com;nandkishor.wagh@ujjivan.com;amarpratap.singh@ujjivan.com;nitin.hemade@ujjivan.com;navnath.pendpale@ujjivan.com;jayant.kulkarni@ujjivan.com;santosh.khaire@ujjivan.com;aarti.sanga@ujjivan.com;vaibhav.dudhekar@ujjivan.com;shashi.ghorpade@ujjivan.com;somnath.dhamal@ujjivan.com;mali.ravi@ujjivan.com;amol.sonawane@ujjivan.com;;</v>
      </c>
      <c r="L459" s="62" t="str">
        <f>VLOOKUP($B459,Sheet4!$B:$E,4,0)</f>
        <v xml:space="preserve">west-ahmednagarcity-branch@ujjivan.com;vishal.chougule@ujjivan.com;shrikant.rokade@ujjivan.com;ranjeet.mali@ujjivan.com;helpdeskwest@ujjivan.com; </v>
      </c>
      <c r="M459" s="68" t="s">
        <v>2670</v>
      </c>
      <c r="N459" s="68" t="str">
        <f t="shared" si="16"/>
        <v xml:space="preserve">Dear Team, Please find attached list of prospect clients for REPEAT GL-LOANS (clients who have taken earlier an GL Loan) for you branch.
Thanks &amp; Regards,
MIS Team
</v>
      </c>
      <c r="O459" s="48" t="s">
        <v>1028</v>
      </c>
      <c r="X459" s="68" t="s">
        <v>3573</v>
      </c>
      <c r="Y459" s="120" t="s">
        <v>4924</v>
      </c>
      <c r="Z459" s="119" t="s">
        <v>3572</v>
      </c>
    </row>
    <row r="460" spans="2:26" ht="15.75" x14ac:dyDescent="0.25">
      <c r="B460" s="150" t="s">
        <v>2525</v>
      </c>
      <c r="C460" s="62" t="s">
        <v>4558</v>
      </c>
      <c r="D460" s="62" t="e">
        <f t="shared" si="15"/>
        <v>#N/A</v>
      </c>
      <c r="E460" s="62">
        <v>0</v>
      </c>
      <c r="F460" s="62" t="e">
        <v>#N/A</v>
      </c>
      <c r="G460" s="62" t="e">
        <v>#N/A</v>
      </c>
      <c r="J460" s="67" t="s">
        <v>4401</v>
      </c>
      <c r="K460" s="62" t="str">
        <f>VLOOKUP(B460,Sheet5!$A$1:$H$471,8,0)</f>
        <v>;;;;;;</v>
      </c>
      <c r="L460" s="62" t="str">
        <f>VLOOKUP($B460,Sheet4!$B:$E,4,0)</f>
        <v xml:space="preserve">west-savedi-branch@ujjivan.com;ccr-savedi@ujjivan.com;pravin.singh@ujjivan.com;samadhan.sawant@ujjivan.com;ranjeet.mali@ujjivan.com;helpdeskwest@ujjivan.com; </v>
      </c>
      <c r="M460" s="68" t="s">
        <v>2671</v>
      </c>
      <c r="N460" s="68"/>
      <c r="O460" s="48" t="s">
        <v>1028</v>
      </c>
      <c r="X460" s="68" t="s">
        <v>3573</v>
      </c>
      <c r="Y460" s="120" t="s">
        <v>4924</v>
      </c>
      <c r="Z460" s="119" t="s">
        <v>3572</v>
      </c>
    </row>
    <row r="461" spans="2:26" ht="15.75" x14ac:dyDescent="0.25">
      <c r="B461" s="150" t="s">
        <v>2531</v>
      </c>
      <c r="C461" s="62" t="s">
        <v>3563</v>
      </c>
      <c r="D461" s="62" t="str">
        <f t="shared" si="15"/>
        <v>santosh.bahire@ujjivan.com;sonali.ebitkar@ujjivan.com;varun.yadav@ujjivan.com;</v>
      </c>
      <c r="E461" s="62" t="s">
        <v>3767</v>
      </c>
      <c r="F461" s="62" t="s">
        <v>4171</v>
      </c>
      <c r="G461" s="62" t="s">
        <v>978</v>
      </c>
      <c r="J461" s="67" t="s">
        <v>4401</v>
      </c>
      <c r="K461" s="62" t="str">
        <f>VLOOKUP(B461,Sheet5!$A$1:$H$471,8,0)</f>
        <v>kailash.bhoite@ujjivan.com;sonali.ebitkar@ujjivan.com;vaibhav.dudhekar@ujjivan.com;varun.yadav@ujjivan.com;west-aurangabadcity-branch@ujjivan.com;ccr-aurangabadcity-branch@ujjivan.com;akash.kolshetwar@ujjivan.com;santosh.bahire@ujjivan.com;ranjeet.mali@ujjivan.com;paras.chaudhari@ujjivan.com;vaibhav.dudhekar@ujjivan.com;santosh.bhalerao@ujjivan.com;vinod.deshmukh@ujjivan.com;aditya.das@ujjivan.com;;</v>
      </c>
      <c r="L461" s="62" t="str">
        <f>VLOOKUP($B461,Sheet4!$B:$E,4,0)</f>
        <v xml:space="preserve">west-aurangabadcity-branch@ujjivan.com;ccr-aurangabadcity-branch@ujjivan.com;ranjeet.mali@ujjivan.com;helpdeskwest@ujjivan.com; </v>
      </c>
      <c r="M461" s="68" t="s">
        <v>2672</v>
      </c>
      <c r="N461" s="68" t="str">
        <f t="shared" si="16"/>
        <v xml:space="preserve">Dear Team, Please find attached list of prospect clients for REPEAT GL-LOANS (clients who have taken earlier an GL Loan) for you branch.
Thanks &amp; Regards,
MIS Team
</v>
      </c>
      <c r="O461" s="48" t="s">
        <v>1028</v>
      </c>
      <c r="X461" s="68" t="s">
        <v>3573</v>
      </c>
      <c r="Y461" s="120" t="s">
        <v>4924</v>
      </c>
      <c r="Z461" s="119" t="s">
        <v>3572</v>
      </c>
    </row>
    <row r="462" spans="2:26" ht="15.75" x14ac:dyDescent="0.25">
      <c r="B462" s="150" t="s">
        <v>2544</v>
      </c>
      <c r="C462" s="62" t="s">
        <v>4558</v>
      </c>
      <c r="D462" s="62" t="str">
        <f t="shared" si="15"/>
        <v>0;akram.makandar@ujjivan.com;varun.yadav@ujjivan.com;</v>
      </c>
      <c r="E462" s="62">
        <v>0</v>
      </c>
      <c r="F462" s="62" t="s">
        <v>4176</v>
      </c>
      <c r="G462" s="62" t="s">
        <v>978</v>
      </c>
      <c r="J462" s="67" t="s">
        <v>4401</v>
      </c>
      <c r="K462" s="62" t="str">
        <f>VLOOKUP(B462,Sheet5!$A$1:$H$471,8,0)</f>
        <v>sandip.gavali@ujjivan.com;akram.makandar@ujjivan.com;akshay.joshi@ujjivan.com;varun.yadav@ujjivan.com;west-sangli-branch@ujjivan.com;ccr-sangli@ujjivan.com;kiran.phalke@ujjivan.com;pradnya.waghmare@ujjivan.com;vijay.dudhale@ujjivan.com;riyazahamad.makandar@ujjivan.com;shreeram.walawe@ujjivan.com;amit.salunkhe@ujjivan.com;swarup.patil@ujjivan.com;hemant.awade@ujjivan.com;samadhan.sawant@ujjivan.com;vishal.kamble@ujjivan.com;santosh.suryawanshi@ujjivan.com;mustak.mujawar@ujjivan.com;naganesaurabh@ujjivan.com;;;</v>
      </c>
      <c r="L462" s="62" t="str">
        <f>VLOOKUP($B462,Sheet4!$B:$E,4,0)</f>
        <v xml:space="preserve">west-sangli-branch@ujjivan.com;ccr-sangli@ujjivan.com;anjali.jain@ujjivan.com;pradnya.waghmare@ujjivan.com;sandip.gavali@ujjivan.com;helpdeskwest@ujjivan.com; </v>
      </c>
      <c r="M462" s="68" t="s">
        <v>2673</v>
      </c>
      <c r="N462" s="68"/>
      <c r="O462" s="48" t="s">
        <v>1028</v>
      </c>
      <c r="X462" s="68" t="s">
        <v>3573</v>
      </c>
      <c r="Y462" s="120" t="s">
        <v>4924</v>
      </c>
      <c r="Z462" s="119" t="s">
        <v>3572</v>
      </c>
    </row>
    <row r="463" spans="2:26" ht="15.75" x14ac:dyDescent="0.25">
      <c r="B463" s="150" t="s">
        <v>2579</v>
      </c>
      <c r="C463" s="62" t="s">
        <v>4558</v>
      </c>
      <c r="D463" s="62" t="e">
        <f t="shared" si="15"/>
        <v>#N/A</v>
      </c>
      <c r="E463" s="62">
        <v>0</v>
      </c>
      <c r="F463" s="62" t="e">
        <v>#N/A</v>
      </c>
      <c r="G463" s="62" t="e">
        <v>#N/A</v>
      </c>
      <c r="J463" s="67" t="s">
        <v>4401</v>
      </c>
      <c r="K463" s="62" t="str">
        <f>VLOOKUP(B463,Sheet5!$A$1:$H$471,8,0)</f>
        <v>;;;;west-jalgaon-south@ujjivan.com;ccr-jalgaonsouth@ujjivan.com;mangesh.kulkarni@ujjivan.com;kishor.sonar@ujjivan.com;amit.jadhav@ujjivan.com;kausalya.sirgire@ujjivan.com;paras.chaudhari@ujjivan.com;dinesh.sonar@ujjivan.com;mukesh.chaudhari@ujjivan.com;yadnesh.chaudhari@ujjivan.com;;</v>
      </c>
      <c r="L463" s="62" t="str">
        <f>VLOOKUP($B463,Sheet4!$B:$E,4,0)</f>
        <v xml:space="preserve">west-jalgaon-south@ujjivan.com;kishor.sonar@ujjivan.com;amit.jadhav@ujjivan.com;helpdeskwest@ujjivan.com; </v>
      </c>
      <c r="M463" s="68" t="s">
        <v>2674</v>
      </c>
      <c r="N463" s="68"/>
      <c r="O463" s="48" t="s">
        <v>1028</v>
      </c>
      <c r="X463" s="68" t="s">
        <v>3573</v>
      </c>
      <c r="Y463" s="120" t="s">
        <v>4924</v>
      </c>
      <c r="Z463" s="119" t="s">
        <v>3572</v>
      </c>
    </row>
    <row r="464" spans="2:26" ht="15.75" x14ac:dyDescent="0.25">
      <c r="B464" s="150" t="s">
        <v>2586</v>
      </c>
      <c r="C464" s="62" t="s">
        <v>4558</v>
      </c>
      <c r="D464" s="62" t="e">
        <f t="shared" si="15"/>
        <v>#N/A</v>
      </c>
      <c r="E464" s="62">
        <v>0</v>
      </c>
      <c r="F464" s="62" t="e">
        <v>#N/A</v>
      </c>
      <c r="G464" s="62" t="e">
        <v>#N/A</v>
      </c>
      <c r="J464" s="67" t="s">
        <v>4401</v>
      </c>
      <c r="K464" s="62" t="str">
        <f>VLOOKUP(B464,Sheet5!$A$1:$H$471,8,0)</f>
        <v>;;;;;;</v>
      </c>
      <c r="L464" s="62" t="str">
        <f>VLOOKUP($B464,Sheet4!$B:$E,4,0)</f>
        <v xml:space="preserve">rajkot-west@ujjivan.com;virendra.jadeja@ujjivan.com;natubhai.desai@ujjivan.com;helpdeskwest@ujjivan.com; </v>
      </c>
      <c r="M464" s="68" t="s">
        <v>2675</v>
      </c>
      <c r="N464" s="68"/>
      <c r="O464" s="48" t="s">
        <v>1028</v>
      </c>
      <c r="X464" s="68" t="s">
        <v>3573</v>
      </c>
      <c r="Y464" s="120" t="s">
        <v>4924</v>
      </c>
      <c r="Z464" s="119" t="s">
        <v>3572</v>
      </c>
    </row>
    <row r="465" spans="2:26" ht="15.75" x14ac:dyDescent="0.25">
      <c r="B465" s="150" t="s">
        <v>2595</v>
      </c>
      <c r="C465" s="62" t="s">
        <v>4558</v>
      </c>
      <c r="D465" s="62" t="e">
        <f t="shared" si="15"/>
        <v>#N/A</v>
      </c>
      <c r="E465" s="62">
        <v>0</v>
      </c>
      <c r="F465" s="62" t="e">
        <v>#N/A</v>
      </c>
      <c r="G465" s="62" t="e">
        <v>#N/A</v>
      </c>
      <c r="J465" s="67" t="s">
        <v>4401</v>
      </c>
      <c r="K465" s="62" t="str">
        <f>VLOOKUP(B465,Sheet5!$A$1:$H$471,8,0)</f>
        <v>;;;;west-chikalthana-branch@ujjivan.com;ccr-chikalthana@ujjivan.com;yogesh.bomble@ujjivan.com;sandeep.ugale@ujjivan.com;paras.chaudhari@ujjivan.com;vaibhav.dudhekar@ujjivan.com;dilip.kharde@ujjivan.com;vishal.jagdale@ujjivan.com;krushna.pawar@ujjivan.com;vinod.deshmukh@ujjivan.com;;</v>
      </c>
      <c r="L465" s="62" t="str">
        <f>VLOOKUP($B465,Sheet4!$B:$E,4,0)</f>
        <v xml:space="preserve">west-chikalthana-branch@ujjivan.com;amarpratap.singh@ujjivan.com;ranjeet.mali@ujjivan.com;helpdeskwest@ujjivan.com; </v>
      </c>
      <c r="M465" s="68" t="s">
        <v>2676</v>
      </c>
      <c r="N465" s="68"/>
      <c r="O465" s="48" t="s">
        <v>1028</v>
      </c>
      <c r="X465" s="68" t="s">
        <v>3573</v>
      </c>
      <c r="Y465" s="120" t="s">
        <v>4924</v>
      </c>
      <c r="Z465" s="119" t="s">
        <v>3572</v>
      </c>
    </row>
    <row r="466" spans="2:26" ht="15.75" x14ac:dyDescent="0.25">
      <c r="B466" s="150" t="s">
        <v>2952</v>
      </c>
      <c r="C466" s="62" t="s">
        <v>776</v>
      </c>
      <c r="D466" s="62" t="e">
        <f t="shared" si="15"/>
        <v>#N/A</v>
      </c>
      <c r="E466" s="62" t="s">
        <v>4425</v>
      </c>
      <c r="F466" s="62" t="e">
        <v>#N/A</v>
      </c>
      <c r="G466" s="62" t="e">
        <v>#N/A</v>
      </c>
      <c r="J466" s="67" t="s">
        <v>4401</v>
      </c>
      <c r="K466" s="62" t="str">
        <f>VLOOKUP(B466,Sheet5!$A$1:$H$471,8,0)</f>
        <v>anshul.vishwakrma@ujjivan.com;;ravikant.kumar@ujjivan.com;;;;</v>
      </c>
      <c r="L466" s="62" t="str">
        <f>VLOOKUP($B466,Sheet4!$B:$E,4,0)</f>
        <v>west-rajnandgaon-branch;manish.madre@ujjivan.com;pradnyawant.patode@ujjivan.com;mohit.pilani@ujjivan.com;helpdeskwest@ujjivan.com;vijay.choudhary@ujjivan.com;shiv.thanvi@ujjivan.com</v>
      </c>
      <c r="M466" s="68" t="s">
        <v>2953</v>
      </c>
      <c r="N466" s="68" t="str">
        <f t="shared" si="16"/>
        <v xml:space="preserve">Dear Team, Please find attached list of prospect clients for REPEAT GL-LOANS (clients who have taken earlier an GL Loan) for you branch.
Thanks &amp; Regards,
MIS Team
</v>
      </c>
      <c r="O466" s="48" t="s">
        <v>1028</v>
      </c>
      <c r="X466" s="68" t="s">
        <v>3573</v>
      </c>
      <c r="Y466" s="120" t="s">
        <v>4924</v>
      </c>
      <c r="Z466" s="119" t="s">
        <v>3572</v>
      </c>
    </row>
    <row r="467" spans="2:26" ht="15.75" x14ac:dyDescent="0.25">
      <c r="B467" s="150" t="s">
        <v>2950</v>
      </c>
      <c r="C467" s="62" t="s">
        <v>3564</v>
      </c>
      <c r="D467" s="62" t="str">
        <f t="shared" si="15"/>
        <v>kamlesh.rajpoot@ujjivan.com;lalaramyadav@ujjivan.com;vijay.choudhary@ujjivan.com;</v>
      </c>
      <c r="E467" s="62" t="s">
        <v>3768</v>
      </c>
      <c r="F467" s="62" t="s">
        <v>4193</v>
      </c>
      <c r="G467" s="62" t="s">
        <v>888</v>
      </c>
      <c r="J467" s="67" t="s">
        <v>4401</v>
      </c>
      <c r="K467" s="62" t="str">
        <f>VLOOKUP(B467,Sheet5!$A$1:$H$471,8,0)</f>
        <v>sharvan.kumar@ujjivan.com;lalaramyadav@ujjivan.com;ravikant.kumar@ujjivan.com;vijay.choudhary@ujjivan.com;;;</v>
      </c>
      <c r="L467" s="62" t="str">
        <f>VLOOKUP($B467,Sheet4!$B:$E,4,0)</f>
        <v>west-bilaspur-branch@ujjivan.com;kamlesh.rajpoot@ujjivan.com;aalok.tiwari@ujjivan.com;mohit.pilani@ujjivan.com;helpdeskwest@ujjivan.com;vijay.choudhary@ujjivan.com;shiv.thanvi@ujjivan.com</v>
      </c>
      <c r="M467" s="68" t="s">
        <v>2951</v>
      </c>
      <c r="N467" s="68" t="str">
        <f t="shared" si="16"/>
        <v xml:space="preserve">Dear Team, Please find attached list of prospect clients for REPEAT GL-LOANS (clients who have taken earlier an GL Loan) for you branch.
Thanks &amp; Regards,
MIS Team
</v>
      </c>
      <c r="O467" s="48" t="s">
        <v>1028</v>
      </c>
      <c r="X467" s="68" t="s">
        <v>3573</v>
      </c>
      <c r="Y467" s="120" t="s">
        <v>4924</v>
      </c>
      <c r="Z467" s="119" t="s">
        <v>3572</v>
      </c>
    </row>
    <row r="468" spans="2:26" ht="15.75" x14ac:dyDescent="0.25">
      <c r="B468" s="150" t="s">
        <v>2604</v>
      </c>
      <c r="C468" s="62" t="s">
        <v>3565</v>
      </c>
      <c r="D468" s="62" t="e">
        <f t="shared" si="15"/>
        <v>#N/A</v>
      </c>
      <c r="E468" s="62" t="s">
        <v>3769</v>
      </c>
      <c r="F468" s="62" t="e">
        <v>#N/A</v>
      </c>
      <c r="G468" s="62" t="e">
        <v>#N/A</v>
      </c>
      <c r="J468" s="67" t="s">
        <v>4401</v>
      </c>
      <c r="K468" s="62" t="str">
        <f>VLOOKUP(B468,Sheet5!$A$1:$H$471,8,0)</f>
        <v>sandeep.mewara@ujjivan.com;;ashok.gosawi@ujjivan.com;;west-vyara-branch@ujjivan.com;ccr-vyara@ujjivan.com;mehul.rana@ujjivan.com;ujesh.modi@ujjivan.com;prakash.bhitora@ujjivan.com;rajesh.khedkar@ujjivan.com;himanshu.chauhan@ujjivan.com;vivek.mistry@ujjivan.com;namdeo.patil@ujjivan.com;hitarth.trivedi@ujjivan.com;ccr-vyara@ujjivan.com;bhojraj.prajapati@ujjivan.com;ruchira.patel@ujjivan.com;manish.rana@ujjivan.com;;</v>
      </c>
      <c r="L468" s="62" t="str">
        <f>VLOOKUP($B468,Sheet4!$B:$E,4,0)</f>
        <v xml:space="preserve">west-vyara-branch@ujjivan.com;ujesh.modi@ujjivan.com;jenish.lapsiwala@ujjivan.com;helpdeskwest@ujjivan.com; </v>
      </c>
      <c r="M468" s="68" t="s">
        <v>2677</v>
      </c>
      <c r="N468" s="68" t="str">
        <f t="shared" si="16"/>
        <v xml:space="preserve">Dear Team, Please find attached list of prospect clients for REPEAT GL-LOANS (clients who have taken earlier an GL Loan) for you branch.
Thanks &amp; Regards,
MIS Team
</v>
      </c>
      <c r="O468" s="48" t="s">
        <v>1028</v>
      </c>
      <c r="X468" s="68" t="s">
        <v>3573</v>
      </c>
      <c r="Y468" s="120" t="s">
        <v>4924</v>
      </c>
      <c r="Z468" s="119" t="s">
        <v>3572</v>
      </c>
    </row>
    <row r="469" spans="2:26" ht="15.75" x14ac:dyDescent="0.25">
      <c r="B469" s="150" t="s">
        <v>2607</v>
      </c>
      <c r="C469" s="62" t="s">
        <v>4558</v>
      </c>
      <c r="D469" s="62" t="e">
        <f t="shared" si="15"/>
        <v>#N/A</v>
      </c>
      <c r="E469" s="62">
        <v>0</v>
      </c>
      <c r="F469" s="62" t="e">
        <v>#N/A</v>
      </c>
      <c r="G469" s="62" t="e">
        <v>#N/A</v>
      </c>
      <c r="J469" s="67" t="s">
        <v>4401</v>
      </c>
      <c r="K469" s="62" t="str">
        <f>VLOOKUP(B469,Sheet5!$A$1:$H$471,8,0)</f>
        <v>;;;;;;</v>
      </c>
      <c r="L469" s="62" t="str">
        <f>VLOOKUP($B469,Sheet4!$B:$E,4,0)</f>
        <v xml:space="preserve">west-barshiroad-branch@ujjivan.com;vidya.gandhi@ujjivan.com;sachin.suryawanshi@ujjivan.com;helpdeskwest@ujjivan.com; </v>
      </c>
      <c r="M469" s="68" t="s">
        <v>2678</v>
      </c>
      <c r="N469" s="68"/>
      <c r="O469" s="48" t="s">
        <v>1028</v>
      </c>
      <c r="X469" s="68" t="s">
        <v>3573</v>
      </c>
      <c r="Y469" s="120" t="s">
        <v>4924</v>
      </c>
      <c r="Z469" s="119" t="s">
        <v>3572</v>
      </c>
    </row>
    <row r="470" spans="2:26" ht="15.75" x14ac:dyDescent="0.25">
      <c r="B470" s="150" t="s">
        <v>2610</v>
      </c>
      <c r="C470" s="62" t="s">
        <v>3566</v>
      </c>
      <c r="D470" s="62" t="str">
        <f t="shared" si="15"/>
        <v>shrikant.rokade@ujjivan.com;-;varun.yadav@ujjivan.com;</v>
      </c>
      <c r="E470" s="62" t="s">
        <v>3770</v>
      </c>
      <c r="F470" s="62" t="s">
        <v>3608</v>
      </c>
      <c r="G470" s="62" t="s">
        <v>978</v>
      </c>
      <c r="J470" s="67" t="s">
        <v>4401</v>
      </c>
      <c r="K470" s="62" t="str">
        <f>VLOOKUP(B470,Sheet5!$A$1:$H$471,8,0)</f>
        <v>mahamad.yaquob@ujjivan.com;;vaibhav.dudhekar@ujjivan.com;varun.yadav@ujjivan.com;shahuchowk-latur@ujjivan.com;swarup.dhakne@ujjivan.com;sachin.suryawanshi@ujjivan.com;abhijeet.bhadange@ujjivan.com;Sandeep.deshmukh@ujjivan.com;shreeram.walawe@ujjivan.com;;;</v>
      </c>
      <c r="L470" s="62" t="str">
        <f>VLOOKUP($B470,Sheet4!$B:$E,4,0)</f>
        <v xml:space="preserve">shahuchowklatur@ujjivan.com;swarup.dhakne@ujjivan.com;sachin.suryawanshi@ujjivan.com;helpdeskwest@ujjivan.com; </v>
      </c>
      <c r="M470" s="68" t="s">
        <v>2679</v>
      </c>
      <c r="N470" s="68" t="str">
        <f t="shared" si="16"/>
        <v xml:space="preserve">Dear Team, Please find attached list of prospect clients for REPEAT GL-LOANS (clients who have taken earlier an GL Loan) for you branch.
Thanks &amp; Regards,
MIS Team
</v>
      </c>
      <c r="O470" s="48" t="s">
        <v>1028</v>
      </c>
      <c r="X470" s="68" t="s">
        <v>3573</v>
      </c>
      <c r="Y470" s="120" t="s">
        <v>4924</v>
      </c>
      <c r="Z470" s="119" t="s">
        <v>3572</v>
      </c>
    </row>
    <row r="471" spans="2:26" ht="15.75" x14ac:dyDescent="0.25">
      <c r="B471" s="150" t="s">
        <v>2613</v>
      </c>
      <c r="C471" s="62" t="s">
        <v>4558</v>
      </c>
      <c r="D471" s="62" t="e">
        <f t="shared" si="15"/>
        <v>#N/A</v>
      </c>
      <c r="E471" s="62">
        <v>0</v>
      </c>
      <c r="F471" s="62" t="e">
        <v>#N/A</v>
      </c>
      <c r="G471" s="62" t="e">
        <v>#N/A</v>
      </c>
      <c r="J471" s="67" t="s">
        <v>4401</v>
      </c>
      <c r="K471" s="62" t="str">
        <f>VLOOKUP(B471,Sheet5!$A$1:$H$471,8,0)</f>
        <v>;;;;;;</v>
      </c>
      <c r="L471" s="62" t="str">
        <f>VLOOKUP($B471,Sheet4!$B:$E,4,0)</f>
        <v xml:space="preserve">west-south.nagpur@ujjivan.com;vishal.guntiwar@ujjivan.com;rajendra.chunarkar@ujjivan.com;helpdeskwest@ujjivan.com; </v>
      </c>
      <c r="M471" s="68" t="s">
        <v>2680</v>
      </c>
      <c r="N471" s="68"/>
      <c r="O471" s="48" t="s">
        <v>1028</v>
      </c>
      <c r="X471" s="68" t="s">
        <v>3573</v>
      </c>
      <c r="Y471" s="120" t="s">
        <v>4924</v>
      </c>
      <c r="Z471" s="119" t="s">
        <v>3572</v>
      </c>
    </row>
    <row r="472" spans="2:26" ht="15.75" x14ac:dyDescent="0.25">
      <c r="B472" s="150" t="s">
        <v>2616</v>
      </c>
      <c r="C472" s="62" t="s">
        <v>3567</v>
      </c>
      <c r="D472" s="62" t="e">
        <f t="shared" si="15"/>
        <v>#N/A</v>
      </c>
      <c r="E472" s="62" t="s">
        <v>2695</v>
      </c>
      <c r="F472" s="62" t="e">
        <v>#N/A</v>
      </c>
      <c r="G472" s="62" t="e">
        <v>#N/A</v>
      </c>
      <c r="J472" s="67" t="s">
        <v>4401</v>
      </c>
      <c r="K472" s="62" t="str">
        <f>VLOOKUP(B472,Sheet5!$A$1:$H$471,8,0)</f>
        <v>dilip.kharde@ujjivan.com;;vaibhav.dudhekar@ujjivan.com;;west-north.nagpur@ujjivan.com;harshal.takwale@ujjivan.com;rajendra.chunarkar@ujjivan.com;ashish.kale@ujjivan.com;vaibhav.dudhekar@ujjivan.com;abhijeet.bhadange@ujjivan.com;shama.siddique@ujjivan.com;;;</v>
      </c>
      <c r="L472" s="62" t="str">
        <f>VLOOKUP($B472,Sheet4!$B:$E,4,0)</f>
        <v xml:space="preserve">west-north.nagpur@ujjivan.com;harshal.takwale@ujjivan.com;rajendra.chunarkar@ujjivan.com;helpdeskwest@ujjivan.com; </v>
      </c>
      <c r="M472" s="68" t="s">
        <v>2681</v>
      </c>
      <c r="N472" s="68" t="str">
        <f t="shared" si="16"/>
        <v xml:space="preserve">Dear Team, Please find attached list of prospect clients for REPEAT GL-LOANS (clients who have taken earlier an GL Loan) for you branch.
Thanks &amp; Regards,
MIS Team
</v>
      </c>
      <c r="O472" s="48" t="s">
        <v>1028</v>
      </c>
      <c r="X472" s="68" t="s">
        <v>3573</v>
      </c>
      <c r="Y472" s="120" t="s">
        <v>4924</v>
      </c>
      <c r="Z472" s="119" t="s">
        <v>3572</v>
      </c>
    </row>
    <row r="473" spans="2:26" ht="15.75" x14ac:dyDescent="0.25">
      <c r="B473" s="150" t="s">
        <v>2619</v>
      </c>
      <c r="C473" s="62" t="s">
        <v>3568</v>
      </c>
      <c r="D473" s="62" t="str">
        <f t="shared" si="15"/>
        <v>hitesh.bhoyar@ujjivan.com;banty.pilankar@ujjivan.com;varun.yadav@ujjivan.com;</v>
      </c>
      <c r="E473" s="62" t="s">
        <v>3771</v>
      </c>
      <c r="F473" s="62" t="s">
        <v>4197</v>
      </c>
      <c r="G473" s="62" t="s">
        <v>978</v>
      </c>
      <c r="J473" s="67" t="s">
        <v>4401</v>
      </c>
      <c r="K473" s="62" t="str">
        <f>VLOOKUP(B473,Sheet5!$A$1:$H$471,8,0)</f>
        <v>hitesh.bhoyar@ujjivan.com;;vaibhav.dudhekar@ujjivan.com;varun.yadav@ujjivan.com;west-east.nagpur@ujjivan.com;hitesh.bhoyar@ujjivan.com;rajendra.chunarkar@ujjivan.com;ashish.kale@ujjivan.com;vaibhav.dudhekar@ujjivan.com;abhijeet.bhadange@ujjivan.com;;</v>
      </c>
      <c r="L473" s="62" t="str">
        <f>VLOOKUP($B473,Sheet4!$B:$E,4,0)</f>
        <v xml:space="preserve">west-east.nagpur@ujjivan.com;rohan.masar@ujjivan.com;rajendra.chunarkar@ujjivan.com;helpdeskwest@ujjivan.com; </v>
      </c>
      <c r="M473" s="68" t="s">
        <v>2682</v>
      </c>
      <c r="N473" s="68" t="str">
        <f t="shared" si="16"/>
        <v xml:space="preserve">Dear Team, Please find attached list of prospect clients for REPEAT GL-LOANS (clients who have taken earlier an GL Loan) for you branch.
Thanks &amp; Regards,
MIS Team
</v>
      </c>
      <c r="O473" s="48" t="s">
        <v>1028</v>
      </c>
      <c r="X473" s="68" t="s">
        <v>3573</v>
      </c>
      <c r="Y473" s="120" t="s">
        <v>4924</v>
      </c>
      <c r="Z473" s="119" t="s">
        <v>3572</v>
      </c>
    </row>
    <row r="474" spans="2:26" ht="15.75" x14ac:dyDescent="0.25">
      <c r="B474" s="150" t="s">
        <v>2622</v>
      </c>
      <c r="C474" s="62" t="s">
        <v>4558</v>
      </c>
      <c r="D474" s="62" t="e">
        <f t="shared" si="15"/>
        <v>#N/A</v>
      </c>
      <c r="E474" s="62">
        <v>0</v>
      </c>
      <c r="F474" s="62" t="e">
        <v>#N/A</v>
      </c>
      <c r="G474" s="62" t="e">
        <v>#N/A</v>
      </c>
      <c r="J474" s="67" t="s">
        <v>4401</v>
      </c>
      <c r="K474" s="62" t="str">
        <f>VLOOKUP(B474,Sheet5!$A$1:$H$471,8,0)</f>
        <v>;;;;;;</v>
      </c>
      <c r="L474" s="62" t="str">
        <f>VLOOKUP($B474,Sheet4!$B:$E,4,0)</f>
        <v xml:space="preserve">west-east.bhavnagar-branch@ujjivan.com;brij.kothadiya@ujjivan.com;dinesh.sonawane@ujjivan.com;helpdeskwest@ujjivan.com; </v>
      </c>
      <c r="M474" s="68" t="s">
        <v>2683</v>
      </c>
      <c r="N474" s="68"/>
      <c r="O474" s="48" t="s">
        <v>1028</v>
      </c>
      <c r="X474" s="68" t="s">
        <v>3573</v>
      </c>
      <c r="Y474" s="120" t="s">
        <v>4924</v>
      </c>
      <c r="Z474" s="119" t="s">
        <v>3572</v>
      </c>
    </row>
    <row r="475" spans="2:26" ht="15.75" x14ac:dyDescent="0.25">
      <c r="B475" s="150" t="s">
        <v>2625</v>
      </c>
      <c r="C475" s="62" t="s">
        <v>3569</v>
      </c>
      <c r="D475" s="62" t="str">
        <f t="shared" si="15"/>
        <v>jaydeepsinh.bagsadiya@ujjivan.com;ghanshyambhai.parmar@ujjivan.com;satish.ankola@ujjivan.com;</v>
      </c>
      <c r="E475" s="62" t="s">
        <v>3772</v>
      </c>
      <c r="F475" s="62" t="s">
        <v>4198</v>
      </c>
      <c r="G475" s="62" t="s">
        <v>829</v>
      </c>
      <c r="J475" s="67" t="s">
        <v>4401</v>
      </c>
      <c r="K475" s="62" t="str">
        <f>VLOOKUP(B475,Sheet5!$A$1:$H$471,8,0)</f>
        <v>jaydeepsinh.bagsadiya@ujjivan.com;ghanshyambhai.parmar@ujjivan.com;hitarth.trivedi@ujjivan.com;satish.ankola@ujjivan.com;west-west.bhavnagar-branch@ujjivan.com;rajesh.rupala@ujjivan.com;dinesh.sonawane@ujjivan.com;rushabh.mehta@ujjivan.com;hitarth.trivedi@ujjivan.com;brij.kothadiya@ujjivan.com;dinesh.sonawane@ujjivan.com;parth.rajyaguru@ujjivan.com;rushabh.mehta@ujjivan.com;jaydeepsinh.bagsadiya@ujjivan.com;jigna.pandit@ujjivan.com;vikrambhai.aalgotar@ujjivan.com;;</v>
      </c>
      <c r="L475" s="62" t="str">
        <f>VLOOKUP($B475,Sheet4!$B:$E,4,0)</f>
        <v xml:space="preserve">west-west.bhavnagar-branch@ujjivan.com;rajesh.rupala@ujjivan.com;dinesh.sonawane@ujjivan.com;helpdeskwest@ujjivan.com; </v>
      </c>
      <c r="M475" s="68" t="s">
        <v>2684</v>
      </c>
      <c r="N475" s="68" t="str">
        <f t="shared" si="16"/>
        <v xml:space="preserve">Dear Team, Please find attached list of prospect clients for REPEAT GL-LOANS (clients who have taken earlier an GL Loan) for you branch.
Thanks &amp; Regards,
MIS Team
</v>
      </c>
      <c r="O475" s="48" t="s">
        <v>1028</v>
      </c>
      <c r="X475" s="68" t="s">
        <v>3573</v>
      </c>
      <c r="Y475" s="120" t="s">
        <v>4924</v>
      </c>
      <c r="Z475" s="119" t="s">
        <v>3572</v>
      </c>
    </row>
    <row r="476" spans="2:26" ht="15.75" x14ac:dyDescent="0.25">
      <c r="B476" s="150" t="s">
        <v>2628</v>
      </c>
      <c r="C476" s="62" t="s">
        <v>3570</v>
      </c>
      <c r="D476" s="62" t="str">
        <f t="shared" si="15"/>
        <v>gopal.muliya@ujjivan.com;yuvrajsinh.vaghela@ujjivan.com;satish.ankola@ujjivan.com;</v>
      </c>
      <c r="E476" s="62" t="s">
        <v>2694</v>
      </c>
      <c r="F476" s="62" t="s">
        <v>4199</v>
      </c>
      <c r="G476" s="62" t="s">
        <v>829</v>
      </c>
      <c r="J476" s="67" t="s">
        <v>4401</v>
      </c>
      <c r="K476" s="62" t="str">
        <f>VLOOKUP(B476,Sheet5!$A$1:$H$471,8,0)</f>
        <v>bhargav.devmurari@ujjivan.com;yuvrajsinh.vaghela@ujjivan.com;hitarth.trivedi@ujjivan.com;satish.ankola@ujjivan.com;west-botad-branch@ujjivan.com;gopal.muliya@ujjivan.com;dinesh.sonawane@ujjivan.com;rushabh.mehta@ujjivan.com;hitarth.trivedi@ujjivan.com;parth.rajyaguru@ujjivan.com;;</v>
      </c>
      <c r="L476" s="62" t="str">
        <f>VLOOKUP($B476,Sheet4!$B:$E,4,0)</f>
        <v xml:space="preserve">west-botad-branch@ujjivan.com;gopal.muliya@ujjivan.com;dinesh.sonawane@ujjivan.com;helpdeskwest@ujjivan.com; </v>
      </c>
      <c r="M476" s="68" t="s">
        <v>2685</v>
      </c>
      <c r="N476" s="68" t="str">
        <f t="shared" ref="N476:N477" si="17">X476&amp;" "&amp; Y476&amp;", "&amp;Z476</f>
        <v xml:space="preserve">Dear Team, Please find attached list of prospect clients for REPEAT GL-LOANS (clients who have taken earlier an GL Loan) for you branch.
Thanks &amp; Regards,
MIS Team
</v>
      </c>
      <c r="O476" s="48" t="s">
        <v>1028</v>
      </c>
      <c r="X476" s="68" t="s">
        <v>3573</v>
      </c>
      <c r="Y476" s="120" t="s">
        <v>4924</v>
      </c>
      <c r="Z476" s="119" t="s">
        <v>3572</v>
      </c>
    </row>
    <row r="477" spans="2:26" ht="15.75" x14ac:dyDescent="0.25">
      <c r="B477" s="150" t="s">
        <v>2080</v>
      </c>
      <c r="C477" s="62" t="s">
        <v>3571</v>
      </c>
      <c r="D477" s="62" t="str">
        <f t="shared" si="15"/>
        <v>banta.singh@ujjivan.com;fatehsingh.yogi@ujjivan.com;rohit.parashar@ujjivan.com;</v>
      </c>
      <c r="E477" s="62" t="s">
        <v>2855</v>
      </c>
      <c r="F477" s="62" t="s">
        <v>4283</v>
      </c>
      <c r="G477" s="62" t="s">
        <v>955</v>
      </c>
      <c r="J477" s="67" t="s">
        <v>4401</v>
      </c>
      <c r="K477" s="62" t="str">
        <f>VLOOKUP(B477,Sheet5!$A$1:$H$471,8,0)</f>
        <v>banta.singh@ujjivan.com;fatehsingh.yogi@ujjivan.com;rajesh.kr@ujjivan.com;rohit.parashar@ujjivan.com;;;</v>
      </c>
      <c r="L477" s="62" t="str">
        <f>VLOOKUP($B477,Sheet4!$B:$E,4,0)</f>
        <v xml:space="preserve">raj-kathumar-branch@ujjivan.com;helpdeskdelhi@ujjivan.com; </v>
      </c>
      <c r="M477" t="s">
        <v>2940</v>
      </c>
      <c r="N477" s="68" t="str">
        <f t="shared" si="17"/>
        <v xml:space="preserve">Dear Team, Please find attached list of prospect clients for REPEAT GL-LOANS (clients who have taken earlier an GL Loan) for you branch.
Thanks &amp; Regards,
MIS Team
</v>
      </c>
      <c r="O477" s="48" t="s">
        <v>1028</v>
      </c>
      <c r="X477" s="68" t="s">
        <v>3573</v>
      </c>
      <c r="Y477" s="120" t="s">
        <v>4924</v>
      </c>
      <c r="Z477" s="119" t="s">
        <v>3572</v>
      </c>
    </row>
    <row r="487" spans="3:5" x14ac:dyDescent="0.25">
      <c r="C487" s="68"/>
      <c r="D487" s="68"/>
      <c r="E487" s="68"/>
    </row>
  </sheetData>
  <hyperlinks>
    <hyperlink ref="J5" display="ravichandra@ujjivan.com" xr:uid="{00000000-0004-0000-0100-000000000000}"/>
    <hyperlink ref="J6:J477" display="ravichandra@ujjivan.com" xr:uid="{00000000-0004-0000-0100-000001000000}"/>
  </hyperlink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00000000-0002-0000-0100-000000000000}">
          <x14:formula1>
            <xm:f>'Program Data'!B1:B31</xm:f>
          </x14:formula1>
          <xm:sqref>C3</xm:sqref>
        </x14:dataValidation>
        <x14:dataValidation type="list" allowBlank="1" showInputMessage="1" showErrorMessage="1" xr:uid="{00000000-0002-0000-0100-000001000000}">
          <x14:formula1>
            <xm:f>'Program Data'!A1:A12</xm:f>
          </x14:formula1>
          <xm:sqref>D3</xm:sqref>
        </x14:dataValidation>
        <x14:dataValidation type="list" allowBlank="1" showInputMessage="1" showErrorMessage="1" xr:uid="{00000000-0002-0000-0100-000002000000}">
          <x14:formula1>
            <xm:f>'Program Data'!C1:C34</xm:f>
          </x14:formula1>
          <xm:sqref>E3</xm:sqref>
        </x14:dataValidation>
        <x14:dataValidation type="list" allowBlank="1" showInputMessage="1" showErrorMessage="1" xr:uid="{00000000-0002-0000-0100-000003000000}">
          <x14:formula1>
            <xm:f>'Program Data'!B1:B31</xm:f>
          </x14:formula1>
          <xm:sqref>C2</xm:sqref>
        </x14:dataValidation>
        <x14:dataValidation type="list" allowBlank="1" showInputMessage="1" showErrorMessage="1" xr:uid="{00000000-0002-0000-0100-000004000000}">
          <x14:formula1>
            <xm:f>'Program Data'!A1:A12</xm:f>
          </x14:formula1>
          <xm:sqref>D2</xm:sqref>
        </x14:dataValidation>
        <x14:dataValidation type="list" allowBlank="1" showInputMessage="1" showErrorMessage="1" xr:uid="{00000000-0002-0000-0100-000005000000}">
          <x14:formula1>
            <xm:f>'Program Data'!C1:C34</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34"/>
  <sheetViews>
    <sheetView topLeftCell="A7" workbookViewId="0">
      <selection activeCell="D1" sqref="D1"/>
    </sheetView>
  </sheetViews>
  <sheetFormatPr defaultRowHeight="15" x14ac:dyDescent="0.25"/>
  <cols>
    <col min="1" max="1" width="10.85546875" bestFit="1" customWidth="1"/>
  </cols>
  <sheetData>
    <row r="1" spans="1:3" x14ac:dyDescent="0.25">
      <c r="A1" t="s">
        <v>1</v>
      </c>
      <c r="B1">
        <v>1</v>
      </c>
      <c r="C1">
        <f>1990</f>
        <v>1990</v>
      </c>
    </row>
    <row r="2" spans="1:3" x14ac:dyDescent="0.25">
      <c r="A2" t="s">
        <v>2</v>
      </c>
      <c r="B2">
        <f>B1+1</f>
        <v>2</v>
      </c>
      <c r="C2">
        <f>C1+1</f>
        <v>1991</v>
      </c>
    </row>
    <row r="3" spans="1:3" x14ac:dyDescent="0.25">
      <c r="A3" t="s">
        <v>3</v>
      </c>
      <c r="B3">
        <f t="shared" ref="B3:B31" si="0">B2+1</f>
        <v>3</v>
      </c>
      <c r="C3">
        <f t="shared" ref="C3:C34" si="1">C2+1</f>
        <v>1992</v>
      </c>
    </row>
    <row r="4" spans="1:3" x14ac:dyDescent="0.25">
      <c r="A4" t="s">
        <v>4</v>
      </c>
      <c r="B4">
        <f t="shared" si="0"/>
        <v>4</v>
      </c>
      <c r="C4">
        <f t="shared" si="1"/>
        <v>1993</v>
      </c>
    </row>
    <row r="5" spans="1:3" x14ac:dyDescent="0.25">
      <c r="A5" t="s">
        <v>0</v>
      </c>
      <c r="B5">
        <f t="shared" si="0"/>
        <v>5</v>
      </c>
      <c r="C5">
        <f t="shared" si="1"/>
        <v>1994</v>
      </c>
    </row>
    <row r="6" spans="1:3" x14ac:dyDescent="0.25">
      <c r="A6" t="s">
        <v>5</v>
      </c>
      <c r="B6">
        <f t="shared" si="0"/>
        <v>6</v>
      </c>
      <c r="C6">
        <f t="shared" si="1"/>
        <v>1995</v>
      </c>
    </row>
    <row r="7" spans="1:3" x14ac:dyDescent="0.25">
      <c r="A7" t="s">
        <v>6</v>
      </c>
      <c r="B7">
        <f t="shared" si="0"/>
        <v>7</v>
      </c>
      <c r="C7">
        <f t="shared" si="1"/>
        <v>1996</v>
      </c>
    </row>
    <row r="8" spans="1:3" x14ac:dyDescent="0.25">
      <c r="A8" t="s">
        <v>7</v>
      </c>
      <c r="B8">
        <f t="shared" si="0"/>
        <v>8</v>
      </c>
      <c r="C8">
        <f t="shared" si="1"/>
        <v>1997</v>
      </c>
    </row>
    <row r="9" spans="1:3" x14ac:dyDescent="0.25">
      <c r="A9" t="s">
        <v>8</v>
      </c>
      <c r="B9">
        <f t="shared" si="0"/>
        <v>9</v>
      </c>
      <c r="C9">
        <f t="shared" si="1"/>
        <v>1998</v>
      </c>
    </row>
    <row r="10" spans="1:3" x14ac:dyDescent="0.25">
      <c r="A10" t="s">
        <v>9</v>
      </c>
      <c r="B10">
        <f t="shared" si="0"/>
        <v>10</v>
      </c>
      <c r="C10">
        <f t="shared" si="1"/>
        <v>1999</v>
      </c>
    </row>
    <row r="11" spans="1:3" x14ac:dyDescent="0.25">
      <c r="A11" t="s">
        <v>10</v>
      </c>
      <c r="B11">
        <f t="shared" si="0"/>
        <v>11</v>
      </c>
      <c r="C11">
        <f t="shared" si="1"/>
        <v>2000</v>
      </c>
    </row>
    <row r="12" spans="1:3" x14ac:dyDescent="0.25">
      <c r="A12" t="s">
        <v>11</v>
      </c>
      <c r="B12">
        <f t="shared" si="0"/>
        <v>12</v>
      </c>
      <c r="C12">
        <f t="shared" si="1"/>
        <v>2001</v>
      </c>
    </row>
    <row r="13" spans="1:3" x14ac:dyDescent="0.25">
      <c r="B13">
        <f t="shared" si="0"/>
        <v>13</v>
      </c>
      <c r="C13">
        <f t="shared" si="1"/>
        <v>2002</v>
      </c>
    </row>
    <row r="14" spans="1:3" x14ac:dyDescent="0.25">
      <c r="B14">
        <f t="shared" si="0"/>
        <v>14</v>
      </c>
      <c r="C14">
        <f t="shared" si="1"/>
        <v>2003</v>
      </c>
    </row>
    <row r="15" spans="1:3" x14ac:dyDescent="0.25">
      <c r="B15">
        <f t="shared" si="0"/>
        <v>15</v>
      </c>
      <c r="C15">
        <f t="shared" si="1"/>
        <v>2004</v>
      </c>
    </row>
    <row r="16" spans="1:3" x14ac:dyDescent="0.25">
      <c r="B16">
        <f t="shared" si="0"/>
        <v>16</v>
      </c>
      <c r="C16">
        <f t="shared" si="1"/>
        <v>2005</v>
      </c>
    </row>
    <row r="17" spans="2:3" x14ac:dyDescent="0.25">
      <c r="B17">
        <f t="shared" si="0"/>
        <v>17</v>
      </c>
      <c r="C17">
        <f t="shared" si="1"/>
        <v>2006</v>
      </c>
    </row>
    <row r="18" spans="2:3" x14ac:dyDescent="0.25">
      <c r="B18">
        <f t="shared" si="0"/>
        <v>18</v>
      </c>
      <c r="C18">
        <f t="shared" si="1"/>
        <v>2007</v>
      </c>
    </row>
    <row r="19" spans="2:3" x14ac:dyDescent="0.25">
      <c r="B19">
        <f t="shared" si="0"/>
        <v>19</v>
      </c>
      <c r="C19">
        <f t="shared" si="1"/>
        <v>2008</v>
      </c>
    </row>
    <row r="20" spans="2:3" x14ac:dyDescent="0.25">
      <c r="B20">
        <f t="shared" si="0"/>
        <v>20</v>
      </c>
      <c r="C20">
        <f t="shared" si="1"/>
        <v>2009</v>
      </c>
    </row>
    <row r="21" spans="2:3" x14ac:dyDescent="0.25">
      <c r="B21">
        <f t="shared" si="0"/>
        <v>21</v>
      </c>
      <c r="C21">
        <f t="shared" si="1"/>
        <v>2010</v>
      </c>
    </row>
    <row r="22" spans="2:3" x14ac:dyDescent="0.25">
      <c r="B22">
        <f t="shared" si="0"/>
        <v>22</v>
      </c>
      <c r="C22">
        <f t="shared" si="1"/>
        <v>2011</v>
      </c>
    </row>
    <row r="23" spans="2:3" x14ac:dyDescent="0.25">
      <c r="B23">
        <f t="shared" si="0"/>
        <v>23</v>
      </c>
      <c r="C23">
        <f t="shared" si="1"/>
        <v>2012</v>
      </c>
    </row>
    <row r="24" spans="2:3" x14ac:dyDescent="0.25">
      <c r="B24">
        <f t="shared" si="0"/>
        <v>24</v>
      </c>
      <c r="C24">
        <f t="shared" si="1"/>
        <v>2013</v>
      </c>
    </row>
    <row r="25" spans="2:3" x14ac:dyDescent="0.25">
      <c r="B25">
        <f t="shared" si="0"/>
        <v>25</v>
      </c>
      <c r="C25">
        <f t="shared" si="1"/>
        <v>2014</v>
      </c>
    </row>
    <row r="26" spans="2:3" x14ac:dyDescent="0.25">
      <c r="B26">
        <f t="shared" si="0"/>
        <v>26</v>
      </c>
      <c r="C26">
        <f t="shared" si="1"/>
        <v>2015</v>
      </c>
    </row>
    <row r="27" spans="2:3" x14ac:dyDescent="0.25">
      <c r="B27">
        <f t="shared" si="0"/>
        <v>27</v>
      </c>
      <c r="C27">
        <f t="shared" si="1"/>
        <v>2016</v>
      </c>
    </row>
    <row r="28" spans="2:3" x14ac:dyDescent="0.25">
      <c r="B28">
        <f t="shared" si="0"/>
        <v>28</v>
      </c>
      <c r="C28">
        <f t="shared" si="1"/>
        <v>2017</v>
      </c>
    </row>
    <row r="29" spans="2:3" x14ac:dyDescent="0.25">
      <c r="B29">
        <f t="shared" si="0"/>
        <v>29</v>
      </c>
      <c r="C29">
        <f t="shared" si="1"/>
        <v>2018</v>
      </c>
    </row>
    <row r="30" spans="2:3" x14ac:dyDescent="0.25">
      <c r="B30">
        <f t="shared" si="0"/>
        <v>30</v>
      </c>
      <c r="C30">
        <f t="shared" si="1"/>
        <v>2019</v>
      </c>
    </row>
    <row r="31" spans="2:3" x14ac:dyDescent="0.25">
      <c r="B31">
        <f t="shared" si="0"/>
        <v>31</v>
      </c>
      <c r="C31">
        <f t="shared" si="1"/>
        <v>2020</v>
      </c>
    </row>
    <row r="32" spans="2:3" x14ac:dyDescent="0.25">
      <c r="C32">
        <f t="shared" si="1"/>
        <v>2021</v>
      </c>
    </row>
    <row r="33" spans="3:3" x14ac:dyDescent="0.25">
      <c r="C33">
        <f t="shared" si="1"/>
        <v>2022</v>
      </c>
    </row>
    <row r="34" spans="3:3" x14ac:dyDescent="0.25">
      <c r="C34">
        <f t="shared" si="1"/>
        <v>2023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317"/>
  <sheetViews>
    <sheetView topLeftCell="A100" workbookViewId="0">
      <selection sqref="A1:C112"/>
    </sheetView>
  </sheetViews>
  <sheetFormatPr defaultRowHeight="15" x14ac:dyDescent="0.25"/>
  <cols>
    <col min="1" max="1" width="44" bestFit="1" customWidth="1"/>
    <col min="2" max="2" width="20" style="18" bestFit="1" customWidth="1"/>
    <col min="3" max="3" width="69.42578125" bestFit="1" customWidth="1"/>
    <col min="4" max="4" width="20" bestFit="1" customWidth="1"/>
  </cols>
  <sheetData>
    <row r="1" spans="1:16" ht="15.75" thickTop="1" x14ac:dyDescent="0.25">
      <c r="A1" s="13" t="s">
        <v>227</v>
      </c>
      <c r="B1" s="16">
        <v>41764.486377314817</v>
      </c>
      <c r="C1" s="14" t="s">
        <v>228</v>
      </c>
      <c r="E1" s="5"/>
      <c r="F1" s="6"/>
      <c r="H1" s="3"/>
      <c r="I1" s="3"/>
      <c r="J1" s="3"/>
      <c r="K1" s="3"/>
      <c r="L1" s="3"/>
      <c r="M1" s="3"/>
      <c r="N1" s="3"/>
      <c r="O1" s="3"/>
      <c r="P1" s="4"/>
    </row>
    <row r="2" spans="1:16" x14ac:dyDescent="0.25">
      <c r="A2" s="21" t="s">
        <v>199</v>
      </c>
      <c r="B2" s="22">
        <v>41763.529560185183</v>
      </c>
      <c r="C2" s="24" t="s">
        <v>200</v>
      </c>
      <c r="E2" s="7"/>
      <c r="F2" s="8"/>
      <c r="H2" s="1"/>
      <c r="I2" s="1"/>
      <c r="J2" s="1"/>
      <c r="K2" s="1"/>
      <c r="L2" s="1"/>
      <c r="M2" s="1"/>
      <c r="N2" s="1"/>
      <c r="O2" s="1"/>
      <c r="P2" s="2"/>
    </row>
    <row r="3" spans="1:16" x14ac:dyDescent="0.25">
      <c r="A3" t="s">
        <v>225</v>
      </c>
      <c r="B3" s="17">
        <v>41763.470995370371</v>
      </c>
      <c r="C3" s="15" t="s">
        <v>226</v>
      </c>
      <c r="E3" s="7"/>
      <c r="F3" s="8"/>
      <c r="H3" s="1"/>
      <c r="I3" s="1"/>
      <c r="J3" s="1"/>
      <c r="K3" s="1"/>
      <c r="L3" s="1"/>
      <c r="M3" s="1"/>
      <c r="N3" s="1"/>
      <c r="O3" s="1"/>
      <c r="P3" s="2"/>
    </row>
    <row r="4" spans="1:16" x14ac:dyDescent="0.25">
      <c r="A4" t="s">
        <v>223</v>
      </c>
      <c r="B4" s="17">
        <v>41761.790185185186</v>
      </c>
      <c r="C4" s="15" t="s">
        <v>224</v>
      </c>
      <c r="E4" s="7"/>
      <c r="F4" s="8"/>
      <c r="H4" s="1"/>
      <c r="I4" s="1"/>
      <c r="J4" s="1"/>
      <c r="K4" s="1"/>
      <c r="L4" s="1"/>
      <c r="M4" s="1"/>
      <c r="N4" s="1"/>
      <c r="O4" s="1"/>
      <c r="P4" s="2"/>
    </row>
    <row r="5" spans="1:16" x14ac:dyDescent="0.25">
      <c r="A5" t="s">
        <v>221</v>
      </c>
      <c r="B5" s="17">
        <v>41761.764768518522</v>
      </c>
      <c r="C5" s="15" t="s">
        <v>222</v>
      </c>
      <c r="E5" s="7"/>
      <c r="F5" s="8"/>
      <c r="H5" s="1"/>
      <c r="I5" s="1"/>
      <c r="J5" s="1"/>
      <c r="K5" s="1"/>
      <c r="L5" s="1"/>
      <c r="M5" s="1"/>
      <c r="N5" s="1"/>
      <c r="O5" s="1"/>
      <c r="P5" s="2"/>
    </row>
    <row r="6" spans="1:16" x14ac:dyDescent="0.25">
      <c r="A6" t="s">
        <v>219</v>
      </c>
      <c r="B6" s="17">
        <v>41761.503171296295</v>
      </c>
      <c r="C6" s="15" t="s">
        <v>220</v>
      </c>
      <c r="E6" s="7"/>
      <c r="F6" s="8"/>
      <c r="H6" s="1"/>
      <c r="I6" s="1"/>
      <c r="J6" s="1"/>
      <c r="K6" s="1"/>
      <c r="L6" s="1"/>
      <c r="M6" s="1"/>
      <c r="N6" s="1"/>
      <c r="O6" s="1"/>
      <c r="P6" s="2"/>
    </row>
    <row r="7" spans="1:16" x14ac:dyDescent="0.25">
      <c r="A7" t="s">
        <v>217</v>
      </c>
      <c r="B7" s="17">
        <v>41761.439409722225</v>
      </c>
      <c r="C7" s="15" t="s">
        <v>218</v>
      </c>
      <c r="E7" s="7"/>
      <c r="F7" s="8"/>
      <c r="H7" s="1"/>
      <c r="I7" s="1"/>
      <c r="J7" s="1"/>
      <c r="K7" s="1"/>
      <c r="L7" s="1"/>
      <c r="M7" s="1"/>
      <c r="N7" s="1"/>
      <c r="O7" s="1"/>
      <c r="P7" s="2"/>
    </row>
    <row r="8" spans="1:16" x14ac:dyDescent="0.25">
      <c r="A8" t="s">
        <v>215</v>
      </c>
      <c r="B8" s="17">
        <v>41761.439293981479</v>
      </c>
      <c r="C8" s="15" t="s">
        <v>216</v>
      </c>
      <c r="E8" s="7"/>
      <c r="F8" s="8"/>
      <c r="H8" s="1"/>
      <c r="I8" s="1"/>
      <c r="J8" s="1"/>
      <c r="K8" s="1"/>
      <c r="L8" s="1"/>
      <c r="M8" s="1"/>
      <c r="N8" s="1"/>
      <c r="O8" s="1"/>
      <c r="P8" s="2"/>
    </row>
    <row r="9" spans="1:16" x14ac:dyDescent="0.25">
      <c r="A9" s="25" t="s">
        <v>63</v>
      </c>
      <c r="B9" s="22">
        <v>41761.439155092594</v>
      </c>
      <c r="C9" s="24" t="s">
        <v>214</v>
      </c>
      <c r="E9" s="7"/>
      <c r="F9" s="8"/>
      <c r="H9" s="1"/>
      <c r="I9" s="1"/>
      <c r="J9" s="1"/>
      <c r="K9" s="1"/>
      <c r="L9" s="1"/>
      <c r="M9" s="1"/>
      <c r="N9" s="1"/>
      <c r="O9" s="1"/>
      <c r="P9" s="2"/>
    </row>
    <row r="10" spans="1:16" x14ac:dyDescent="0.25">
      <c r="A10" t="s">
        <v>62</v>
      </c>
      <c r="B10" s="17">
        <v>41761.434594907405</v>
      </c>
      <c r="C10" s="15" t="s">
        <v>213</v>
      </c>
      <c r="E10" s="7"/>
      <c r="F10" s="8"/>
      <c r="H10" s="1"/>
      <c r="I10" s="1"/>
      <c r="J10" s="1"/>
      <c r="K10" s="1"/>
      <c r="L10" s="1"/>
      <c r="M10" s="1"/>
      <c r="N10" s="1"/>
      <c r="O10" s="1"/>
      <c r="P10" s="2"/>
    </row>
    <row r="11" spans="1:16" x14ac:dyDescent="0.25">
      <c r="A11" t="s">
        <v>61</v>
      </c>
      <c r="B11" s="17">
        <v>41760.827199074076</v>
      </c>
      <c r="C11" s="15" t="s">
        <v>212</v>
      </c>
      <c r="E11" s="7"/>
      <c r="F11" s="8"/>
      <c r="H11" s="1"/>
      <c r="I11" s="1"/>
      <c r="J11" s="1"/>
      <c r="K11" s="1"/>
      <c r="L11" s="1"/>
      <c r="M11" s="1"/>
      <c r="N11" s="1"/>
      <c r="O11" s="1"/>
      <c r="P11" s="2"/>
    </row>
    <row r="12" spans="1:16" x14ac:dyDescent="0.25">
      <c r="A12" t="s">
        <v>60</v>
      </c>
      <c r="B12" s="20">
        <v>41760.767418981479</v>
      </c>
      <c r="C12" s="19" t="s">
        <v>211</v>
      </c>
    </row>
    <row r="13" spans="1:16" x14ac:dyDescent="0.25">
      <c r="A13" t="s">
        <v>59</v>
      </c>
      <c r="B13" s="20">
        <v>41759.985983796294</v>
      </c>
      <c r="C13" s="19" t="s">
        <v>210</v>
      </c>
    </row>
    <row r="14" spans="1:16" x14ac:dyDescent="0.25">
      <c r="A14" t="s">
        <v>58</v>
      </c>
      <c r="B14" s="20">
        <v>41759.675474537034</v>
      </c>
      <c r="C14" s="19" t="s">
        <v>209</v>
      </c>
    </row>
    <row r="15" spans="1:16" x14ac:dyDescent="0.25">
      <c r="A15" s="19" t="s">
        <v>57</v>
      </c>
      <c r="B15" s="20">
        <v>41759.673831018517</v>
      </c>
      <c r="C15" s="19" t="s">
        <v>208</v>
      </c>
    </row>
    <row r="16" spans="1:16" x14ac:dyDescent="0.25">
      <c r="A16" t="s">
        <v>50</v>
      </c>
      <c r="B16" s="20">
        <v>41759.673113425924</v>
      </c>
      <c r="C16" s="19" t="s">
        <v>207</v>
      </c>
    </row>
    <row r="17" spans="1:3" x14ac:dyDescent="0.25">
      <c r="A17" t="s">
        <v>49</v>
      </c>
      <c r="B17" s="18">
        <v>41759.672893518517</v>
      </c>
      <c r="C17" t="s">
        <v>206</v>
      </c>
    </row>
    <row r="18" spans="1:3" x14ac:dyDescent="0.25">
      <c r="A18" t="s">
        <v>48</v>
      </c>
      <c r="B18" s="18">
        <v>41759.506631944445</v>
      </c>
      <c r="C18" t="s">
        <v>205</v>
      </c>
    </row>
    <row r="19" spans="1:3" x14ac:dyDescent="0.25">
      <c r="A19" t="s">
        <v>47</v>
      </c>
      <c r="B19" s="18">
        <v>41759.437777777777</v>
      </c>
      <c r="C19" t="s">
        <v>204</v>
      </c>
    </row>
    <row r="20" spans="1:3" x14ac:dyDescent="0.25">
      <c r="A20" s="21" t="s">
        <v>46</v>
      </c>
      <c r="B20" s="23">
        <v>41759.437303240738</v>
      </c>
      <c r="C20" s="21" t="s">
        <v>203</v>
      </c>
    </row>
    <row r="21" spans="1:3" x14ac:dyDescent="0.25">
      <c r="A21" t="s">
        <v>45</v>
      </c>
      <c r="B21" s="18">
        <v>41758.706006944441</v>
      </c>
      <c r="C21" t="s">
        <v>202</v>
      </c>
    </row>
    <row r="22" spans="1:3" x14ac:dyDescent="0.25">
      <c r="A22" t="s">
        <v>44</v>
      </c>
      <c r="B22" s="18">
        <v>41758.704976851855</v>
      </c>
      <c r="C22" t="s">
        <v>201</v>
      </c>
    </row>
    <row r="23" spans="1:3" x14ac:dyDescent="0.25">
      <c r="A23" t="s">
        <v>64</v>
      </c>
      <c r="B23" s="20">
        <v>41758.489386574074</v>
      </c>
      <c r="C23" s="19" t="s">
        <v>233</v>
      </c>
    </row>
    <row r="24" spans="1:3" x14ac:dyDescent="0.25">
      <c r="A24" s="25" t="s">
        <v>56</v>
      </c>
      <c r="B24" s="23">
        <v>41758.446076388886</v>
      </c>
      <c r="C24" s="21" t="s">
        <v>232</v>
      </c>
    </row>
    <row r="25" spans="1:3" x14ac:dyDescent="0.25">
      <c r="A25" t="s">
        <v>55</v>
      </c>
      <c r="B25" s="20">
        <v>41758.005601851852</v>
      </c>
      <c r="C25" s="19" t="s">
        <v>231</v>
      </c>
    </row>
    <row r="26" spans="1:3" x14ac:dyDescent="0.25">
      <c r="A26" t="s">
        <v>54</v>
      </c>
      <c r="B26" s="20">
        <v>41758.00476851852</v>
      </c>
      <c r="C26" s="19" t="s">
        <v>230</v>
      </c>
    </row>
    <row r="27" spans="1:3" x14ac:dyDescent="0.25">
      <c r="A27" t="s">
        <v>53</v>
      </c>
      <c r="B27" s="20">
        <v>41758.000659722224</v>
      </c>
      <c r="C27" s="19" t="s">
        <v>229</v>
      </c>
    </row>
    <row r="28" spans="1:3" x14ac:dyDescent="0.25">
      <c r="A28" t="s">
        <v>236</v>
      </c>
      <c r="B28" s="20">
        <v>41732.413553240738</v>
      </c>
      <c r="C28" s="19" t="s">
        <v>237</v>
      </c>
    </row>
    <row r="29" spans="1:3" x14ac:dyDescent="0.25">
      <c r="A29" s="19" t="s">
        <v>234</v>
      </c>
      <c r="B29" s="20">
        <v>41732.41337962963</v>
      </c>
      <c r="C29" s="19" t="s">
        <v>235</v>
      </c>
    </row>
    <row r="30" spans="1:3" x14ac:dyDescent="0.25">
      <c r="A30" t="s">
        <v>238</v>
      </c>
      <c r="B30" s="20">
        <v>41732.41337962963</v>
      </c>
      <c r="C30" s="19" t="s">
        <v>239</v>
      </c>
    </row>
    <row r="31" spans="1:3" x14ac:dyDescent="0.25">
      <c r="A31" t="s">
        <v>21</v>
      </c>
      <c r="B31" s="18">
        <v>41710.474143518521</v>
      </c>
      <c r="C31" t="s">
        <v>198</v>
      </c>
    </row>
    <row r="32" spans="1:3" x14ac:dyDescent="0.25">
      <c r="A32" t="s">
        <v>17</v>
      </c>
      <c r="B32" s="18">
        <v>41710.473900462966</v>
      </c>
      <c r="C32" t="s">
        <v>197</v>
      </c>
    </row>
    <row r="33" spans="1:3" x14ac:dyDescent="0.25">
      <c r="A33" t="s">
        <v>53</v>
      </c>
      <c r="B33" s="18">
        <v>41708.871504629627</v>
      </c>
      <c r="C33" t="s">
        <v>196</v>
      </c>
    </row>
    <row r="34" spans="1:3" x14ac:dyDescent="0.25">
      <c r="A34" t="s">
        <v>52</v>
      </c>
      <c r="B34" s="18">
        <v>41708.870451388888</v>
      </c>
      <c r="C34" t="s">
        <v>195</v>
      </c>
    </row>
    <row r="35" spans="1:3" x14ac:dyDescent="0.25">
      <c r="A35" t="s">
        <v>51</v>
      </c>
      <c r="B35" s="18">
        <v>41708.869942129626</v>
      </c>
      <c r="C35" t="s">
        <v>194</v>
      </c>
    </row>
    <row r="36" spans="1:3" x14ac:dyDescent="0.25">
      <c r="A36" t="s">
        <v>21</v>
      </c>
      <c r="B36" s="20">
        <v>41708.867604166669</v>
      </c>
      <c r="C36" s="19" t="s">
        <v>193</v>
      </c>
    </row>
    <row r="37" spans="1:3" x14ac:dyDescent="0.25">
      <c r="A37" t="s">
        <v>17</v>
      </c>
      <c r="B37" s="20">
        <v>41708.863969907405</v>
      </c>
      <c r="C37" s="19" t="s">
        <v>192</v>
      </c>
    </row>
    <row r="38" spans="1:3" x14ac:dyDescent="0.25">
      <c r="A38" t="s">
        <v>186</v>
      </c>
      <c r="B38" s="20">
        <v>41708.823275462964</v>
      </c>
      <c r="C38" s="19" t="s">
        <v>187</v>
      </c>
    </row>
    <row r="39" spans="1:3" x14ac:dyDescent="0.25">
      <c r="A39" t="s">
        <v>182</v>
      </c>
      <c r="B39" s="20">
        <v>41708.821967592594</v>
      </c>
      <c r="C39" s="19" t="s">
        <v>183</v>
      </c>
    </row>
    <row r="40" spans="1:3" x14ac:dyDescent="0.25">
      <c r="A40" t="s">
        <v>188</v>
      </c>
      <c r="B40" s="20">
        <v>41708.819039351853</v>
      </c>
      <c r="C40" s="19" t="s">
        <v>189</v>
      </c>
    </row>
    <row r="41" spans="1:3" x14ac:dyDescent="0.25">
      <c r="A41" t="s">
        <v>190</v>
      </c>
      <c r="B41" s="20">
        <v>41708.818252314813</v>
      </c>
      <c r="C41" s="19" t="s">
        <v>191</v>
      </c>
    </row>
    <row r="42" spans="1:3" x14ac:dyDescent="0.25">
      <c r="A42" t="s">
        <v>184</v>
      </c>
      <c r="B42" s="20">
        <v>41708.814386574071</v>
      </c>
      <c r="C42" s="19" t="s">
        <v>185</v>
      </c>
    </row>
    <row r="43" spans="1:3" x14ac:dyDescent="0.25">
      <c r="A43" s="19" t="s">
        <v>176</v>
      </c>
      <c r="B43" s="20">
        <v>41707.505601851852</v>
      </c>
      <c r="C43" s="19" t="s">
        <v>177</v>
      </c>
    </row>
    <row r="44" spans="1:3" x14ac:dyDescent="0.25">
      <c r="A44" s="19" t="s">
        <v>51</v>
      </c>
      <c r="B44" s="20">
        <v>41707.50172453704</v>
      </c>
      <c r="C44" s="19" t="s">
        <v>179</v>
      </c>
    </row>
    <row r="45" spans="1:3" x14ac:dyDescent="0.25">
      <c r="A45" s="21" t="s">
        <v>21</v>
      </c>
      <c r="B45" s="23">
        <v>41707.501192129632</v>
      </c>
      <c r="C45" s="21" t="s">
        <v>178</v>
      </c>
    </row>
    <row r="46" spans="1:3" x14ac:dyDescent="0.25">
      <c r="A46" s="25" t="s">
        <v>180</v>
      </c>
      <c r="B46" s="23">
        <v>41707.496932870374</v>
      </c>
      <c r="C46" s="21" t="s">
        <v>181</v>
      </c>
    </row>
    <row r="47" spans="1:3" x14ac:dyDescent="0.25">
      <c r="A47" t="s">
        <v>336</v>
      </c>
      <c r="B47" s="18">
        <v>41691.55982638889</v>
      </c>
      <c r="C47" t="s">
        <v>337</v>
      </c>
    </row>
    <row r="48" spans="1:3" x14ac:dyDescent="0.25">
      <c r="A48" t="s">
        <v>334</v>
      </c>
      <c r="B48" s="18">
        <v>41691.55541666667</v>
      </c>
      <c r="C48" t="s">
        <v>335</v>
      </c>
    </row>
    <row r="49" spans="1:3" x14ac:dyDescent="0.25">
      <c r="A49" t="s">
        <v>332</v>
      </c>
      <c r="B49" s="18">
        <v>41691.545405092591</v>
      </c>
      <c r="C49" t="s">
        <v>333</v>
      </c>
    </row>
    <row r="50" spans="1:3" x14ac:dyDescent="0.25">
      <c r="A50" t="s">
        <v>330</v>
      </c>
      <c r="B50" s="18">
        <v>41691.542604166665</v>
      </c>
      <c r="C50" t="s">
        <v>331</v>
      </c>
    </row>
    <row r="51" spans="1:3" x14ac:dyDescent="0.25">
      <c r="A51" t="s">
        <v>325</v>
      </c>
      <c r="B51" s="18">
        <v>41691.526759259257</v>
      </c>
      <c r="C51" t="s">
        <v>326</v>
      </c>
    </row>
    <row r="52" spans="1:3" x14ac:dyDescent="0.25">
      <c r="A52" t="s">
        <v>262</v>
      </c>
      <c r="B52" s="18">
        <v>41691.094756944447</v>
      </c>
      <c r="C52" t="s">
        <v>263</v>
      </c>
    </row>
    <row r="53" spans="1:3" x14ac:dyDescent="0.25">
      <c r="A53" t="s">
        <v>348</v>
      </c>
      <c r="B53" s="18">
        <v>41690.876342592594</v>
      </c>
      <c r="C53" t="s">
        <v>349</v>
      </c>
    </row>
    <row r="54" spans="1:3" x14ac:dyDescent="0.25">
      <c r="A54" t="s">
        <v>240</v>
      </c>
      <c r="B54" s="18">
        <v>41690.876006944447</v>
      </c>
      <c r="C54" t="s">
        <v>347</v>
      </c>
    </row>
    <row r="55" spans="1:3" x14ac:dyDescent="0.25">
      <c r="A55" t="s">
        <v>240</v>
      </c>
      <c r="B55" s="20">
        <v>41690.871296296296</v>
      </c>
      <c r="C55" s="19" t="s">
        <v>344</v>
      </c>
    </row>
    <row r="56" spans="1:3" x14ac:dyDescent="0.25">
      <c r="A56" t="s">
        <v>338</v>
      </c>
      <c r="B56" s="18">
        <v>41690.810173611113</v>
      </c>
      <c r="C56" t="s">
        <v>339</v>
      </c>
    </row>
    <row r="57" spans="1:3" x14ac:dyDescent="0.25">
      <c r="A57" t="s">
        <v>340</v>
      </c>
      <c r="B57" s="18">
        <v>41690.802731481483</v>
      </c>
      <c r="C57" t="s">
        <v>341</v>
      </c>
    </row>
    <row r="58" spans="1:3" x14ac:dyDescent="0.25">
      <c r="A58" t="s">
        <v>342</v>
      </c>
      <c r="B58" s="18">
        <v>41690.801921296297</v>
      </c>
      <c r="C58" t="s">
        <v>343</v>
      </c>
    </row>
    <row r="59" spans="1:3" x14ac:dyDescent="0.25">
      <c r="A59" t="s">
        <v>276</v>
      </c>
      <c r="B59" s="18">
        <v>41690.735879629632</v>
      </c>
      <c r="C59" t="s">
        <v>277</v>
      </c>
    </row>
    <row r="60" spans="1:3" x14ac:dyDescent="0.25">
      <c r="A60" t="s">
        <v>314</v>
      </c>
      <c r="B60" s="18">
        <v>41690.732499999998</v>
      </c>
      <c r="C60" t="s">
        <v>315</v>
      </c>
    </row>
    <row r="61" spans="1:3" x14ac:dyDescent="0.25">
      <c r="A61" t="s">
        <v>284</v>
      </c>
      <c r="B61" s="18">
        <v>41690.732476851852</v>
      </c>
      <c r="C61" t="s">
        <v>285</v>
      </c>
    </row>
    <row r="62" spans="1:3" x14ac:dyDescent="0.25">
      <c r="A62" t="s">
        <v>278</v>
      </c>
      <c r="B62" s="18">
        <v>41690.732291666667</v>
      </c>
      <c r="C62" t="s">
        <v>279</v>
      </c>
    </row>
    <row r="63" spans="1:3" x14ac:dyDescent="0.25">
      <c r="A63" t="s">
        <v>282</v>
      </c>
      <c r="B63" s="18">
        <v>41690.732291666667</v>
      </c>
      <c r="C63" t="s">
        <v>283</v>
      </c>
    </row>
    <row r="64" spans="1:3" x14ac:dyDescent="0.25">
      <c r="A64" t="s">
        <v>290</v>
      </c>
      <c r="B64" s="18">
        <v>41690.732291666667</v>
      </c>
      <c r="C64" t="s">
        <v>291</v>
      </c>
    </row>
    <row r="65" spans="1:3" x14ac:dyDescent="0.25">
      <c r="A65" t="s">
        <v>278</v>
      </c>
      <c r="B65" s="18">
        <v>41690.732291666667</v>
      </c>
      <c r="C65" t="s">
        <v>308</v>
      </c>
    </row>
    <row r="66" spans="1:3" x14ac:dyDescent="0.25">
      <c r="A66" t="s">
        <v>282</v>
      </c>
      <c r="B66" s="18">
        <v>41690.732291666667</v>
      </c>
      <c r="C66" t="s">
        <v>311</v>
      </c>
    </row>
    <row r="67" spans="1:3" x14ac:dyDescent="0.25">
      <c r="A67" t="s">
        <v>290</v>
      </c>
      <c r="B67" s="18">
        <v>41690.732291666667</v>
      </c>
      <c r="C67" t="s">
        <v>318</v>
      </c>
    </row>
    <row r="68" spans="1:3" x14ac:dyDescent="0.25">
      <c r="A68" t="s">
        <v>321</v>
      </c>
      <c r="B68" s="18">
        <v>41690.732291666667</v>
      </c>
      <c r="C68" t="s">
        <v>322</v>
      </c>
    </row>
    <row r="69" spans="1:3" x14ac:dyDescent="0.25">
      <c r="A69" t="s">
        <v>246</v>
      </c>
      <c r="B69" s="18">
        <v>41690.692627314813</v>
      </c>
      <c r="C69" t="s">
        <v>247</v>
      </c>
    </row>
    <row r="70" spans="1:3" x14ac:dyDescent="0.25">
      <c r="A70" t="s">
        <v>242</v>
      </c>
      <c r="B70" s="18">
        <v>41690.688020833331</v>
      </c>
      <c r="C70" t="s">
        <v>243</v>
      </c>
    </row>
    <row r="71" spans="1:3" x14ac:dyDescent="0.25">
      <c r="A71" t="s">
        <v>244</v>
      </c>
      <c r="B71" s="18">
        <v>41690.661400462966</v>
      </c>
      <c r="C71" t="s">
        <v>245</v>
      </c>
    </row>
    <row r="72" spans="1:3" x14ac:dyDescent="0.25">
      <c r="A72" t="s">
        <v>248</v>
      </c>
      <c r="B72" s="18">
        <v>41690.661319444444</v>
      </c>
      <c r="C72" t="s">
        <v>249</v>
      </c>
    </row>
    <row r="73" spans="1:3" x14ac:dyDescent="0.25">
      <c r="A73" t="s">
        <v>250</v>
      </c>
      <c r="B73" s="18">
        <v>41690.661319444444</v>
      </c>
      <c r="C73" t="s">
        <v>251</v>
      </c>
    </row>
    <row r="74" spans="1:3" x14ac:dyDescent="0.25">
      <c r="A74" t="s">
        <v>17</v>
      </c>
      <c r="B74" s="18">
        <v>41690.650925925926</v>
      </c>
      <c r="C74" t="s">
        <v>327</v>
      </c>
    </row>
    <row r="75" spans="1:3" x14ac:dyDescent="0.25">
      <c r="A75" t="s">
        <v>51</v>
      </c>
      <c r="B75" s="18">
        <v>41690.650740740741</v>
      </c>
      <c r="C75" t="s">
        <v>329</v>
      </c>
    </row>
    <row r="76" spans="1:3" x14ac:dyDescent="0.25">
      <c r="A76" t="s">
        <v>21</v>
      </c>
      <c r="B76" s="18">
        <v>41690.650243055556</v>
      </c>
      <c r="C76" t="s">
        <v>328</v>
      </c>
    </row>
    <row r="77" spans="1:3" x14ac:dyDescent="0.25">
      <c r="A77" t="s">
        <v>345</v>
      </c>
      <c r="B77" s="18">
        <v>41690.572372685187</v>
      </c>
      <c r="C77" t="s">
        <v>346</v>
      </c>
    </row>
    <row r="78" spans="1:3" x14ac:dyDescent="0.25">
      <c r="A78" t="s">
        <v>256</v>
      </c>
      <c r="B78" s="18">
        <v>41690.56659722222</v>
      </c>
      <c r="C78" t="s">
        <v>257</v>
      </c>
    </row>
    <row r="79" spans="1:3" x14ac:dyDescent="0.25">
      <c r="A79" t="s">
        <v>254</v>
      </c>
      <c r="B79" s="20">
        <v>41690.565925925926</v>
      </c>
      <c r="C79" s="19" t="s">
        <v>255</v>
      </c>
    </row>
    <row r="80" spans="1:3" x14ac:dyDescent="0.25">
      <c r="A80" t="s">
        <v>254</v>
      </c>
      <c r="B80" s="18">
        <v>41690.556157407409</v>
      </c>
      <c r="C80" t="s">
        <v>260</v>
      </c>
    </row>
    <row r="81" spans="1:3" x14ac:dyDescent="0.25">
      <c r="A81" t="s">
        <v>258</v>
      </c>
      <c r="B81" s="18">
        <v>41690.555752314816</v>
      </c>
      <c r="C81" t="s">
        <v>261</v>
      </c>
    </row>
    <row r="82" spans="1:3" x14ac:dyDescent="0.25">
      <c r="A82" t="s">
        <v>252</v>
      </c>
      <c r="B82" s="18">
        <v>41690.550428240742</v>
      </c>
      <c r="C82" t="s">
        <v>253</v>
      </c>
    </row>
    <row r="83" spans="1:3" x14ac:dyDescent="0.25">
      <c r="A83" t="s">
        <v>172</v>
      </c>
      <c r="B83" s="18">
        <v>41689.857152777775</v>
      </c>
      <c r="C83" t="s">
        <v>358</v>
      </c>
    </row>
    <row r="84" spans="1:3" x14ac:dyDescent="0.25">
      <c r="A84" t="s">
        <v>258</v>
      </c>
      <c r="B84" s="18">
        <v>41689.846273148149</v>
      </c>
      <c r="C84" t="s">
        <v>259</v>
      </c>
    </row>
    <row r="85" spans="1:3" x14ac:dyDescent="0.25">
      <c r="A85" t="s">
        <v>240</v>
      </c>
      <c r="B85" s="20">
        <v>41689.823946759258</v>
      </c>
      <c r="C85" s="19" t="s">
        <v>241</v>
      </c>
    </row>
    <row r="86" spans="1:3" x14ac:dyDescent="0.25">
      <c r="A86" t="s">
        <v>350</v>
      </c>
      <c r="B86" s="18">
        <v>41689.525752314818</v>
      </c>
      <c r="C86" t="s">
        <v>351</v>
      </c>
    </row>
    <row r="87" spans="1:3" x14ac:dyDescent="0.25">
      <c r="A87" t="s">
        <v>266</v>
      </c>
      <c r="B87" s="18">
        <v>41688.704444444447</v>
      </c>
      <c r="C87" t="s">
        <v>267</v>
      </c>
    </row>
    <row r="88" spans="1:3" x14ac:dyDescent="0.25">
      <c r="A88" t="s">
        <v>356</v>
      </c>
      <c r="B88" s="18">
        <v>41688.239722222221</v>
      </c>
      <c r="C88" t="s">
        <v>357</v>
      </c>
    </row>
    <row r="89" spans="1:3" x14ac:dyDescent="0.25">
      <c r="A89" t="s">
        <v>354</v>
      </c>
      <c r="B89" s="18">
        <v>41687.513888888891</v>
      </c>
      <c r="C89" t="s">
        <v>355</v>
      </c>
    </row>
    <row r="90" spans="1:3" x14ac:dyDescent="0.25">
      <c r="A90" t="s">
        <v>352</v>
      </c>
      <c r="B90" s="18">
        <v>41687.513101851851</v>
      </c>
      <c r="C90" t="s">
        <v>353</v>
      </c>
    </row>
    <row r="91" spans="1:3" x14ac:dyDescent="0.25">
      <c r="A91" t="s">
        <v>272</v>
      </c>
      <c r="B91" s="18">
        <v>41683.670671296299</v>
      </c>
      <c r="C91" t="s">
        <v>273</v>
      </c>
    </row>
    <row r="92" spans="1:3" x14ac:dyDescent="0.25">
      <c r="A92" t="s">
        <v>274</v>
      </c>
      <c r="B92" s="18">
        <v>41683.670671296299</v>
      </c>
      <c r="C92" t="s">
        <v>275</v>
      </c>
    </row>
    <row r="93" spans="1:3" x14ac:dyDescent="0.25">
      <c r="A93" t="s">
        <v>309</v>
      </c>
      <c r="B93" s="18">
        <v>41683.670671296299</v>
      </c>
      <c r="C93" t="s">
        <v>310</v>
      </c>
    </row>
    <row r="94" spans="1:3" x14ac:dyDescent="0.25">
      <c r="A94" t="s">
        <v>316</v>
      </c>
      <c r="B94" s="18">
        <v>41683.670671296299</v>
      </c>
      <c r="C94" t="s">
        <v>317</v>
      </c>
    </row>
    <row r="95" spans="1:3" x14ac:dyDescent="0.25">
      <c r="A95" t="s">
        <v>270</v>
      </c>
      <c r="B95" s="18">
        <v>41683.665601851855</v>
      </c>
      <c r="C95" t="s">
        <v>271</v>
      </c>
    </row>
    <row r="96" spans="1:3" x14ac:dyDescent="0.25">
      <c r="A96" t="s">
        <v>312</v>
      </c>
      <c r="B96" s="18">
        <v>41683.665601851855</v>
      </c>
      <c r="C96" t="s">
        <v>313</v>
      </c>
    </row>
    <row r="97" spans="1:3" x14ac:dyDescent="0.25">
      <c r="A97" t="s">
        <v>292</v>
      </c>
      <c r="B97" s="18">
        <v>41681.752893518518</v>
      </c>
      <c r="C97" t="s">
        <v>293</v>
      </c>
    </row>
    <row r="98" spans="1:3" x14ac:dyDescent="0.25">
      <c r="A98" t="s">
        <v>264</v>
      </c>
      <c r="B98" s="18">
        <v>41681.718472222223</v>
      </c>
      <c r="C98" t="s">
        <v>265</v>
      </c>
    </row>
    <row r="99" spans="1:3" x14ac:dyDescent="0.25">
      <c r="A99" t="s">
        <v>319</v>
      </c>
      <c r="B99" s="18">
        <v>41681.718472222223</v>
      </c>
      <c r="C99" t="s">
        <v>320</v>
      </c>
    </row>
    <row r="100" spans="1:3" x14ac:dyDescent="0.25">
      <c r="A100" t="s">
        <v>323</v>
      </c>
      <c r="B100" s="18">
        <v>41681.718472222223</v>
      </c>
      <c r="C100" t="s">
        <v>324</v>
      </c>
    </row>
    <row r="101" spans="1:3" x14ac:dyDescent="0.25">
      <c r="A101" t="s">
        <v>268</v>
      </c>
      <c r="B101" s="18">
        <v>41681.718449074076</v>
      </c>
      <c r="C101" t="s">
        <v>269</v>
      </c>
    </row>
    <row r="102" spans="1:3" x14ac:dyDescent="0.25">
      <c r="A102" t="s">
        <v>280</v>
      </c>
      <c r="B102" s="18">
        <v>41681.718449074076</v>
      </c>
      <c r="C102" t="s">
        <v>281</v>
      </c>
    </row>
    <row r="103" spans="1:3" x14ac:dyDescent="0.25">
      <c r="A103" t="s">
        <v>286</v>
      </c>
      <c r="B103" s="18">
        <v>41681.718449074076</v>
      </c>
      <c r="C103" t="s">
        <v>287</v>
      </c>
    </row>
    <row r="104" spans="1:3" x14ac:dyDescent="0.25">
      <c r="A104" t="s">
        <v>294</v>
      </c>
      <c r="B104" s="18">
        <v>41681.718449074076</v>
      </c>
      <c r="C104" t="s">
        <v>295</v>
      </c>
    </row>
    <row r="105" spans="1:3" x14ac:dyDescent="0.25">
      <c r="A105" t="s">
        <v>296</v>
      </c>
      <c r="B105" s="18">
        <v>41681.718449074076</v>
      </c>
      <c r="C105" t="s">
        <v>297</v>
      </c>
    </row>
    <row r="106" spans="1:3" x14ac:dyDescent="0.25">
      <c r="A106" t="s">
        <v>298</v>
      </c>
      <c r="B106" s="18">
        <v>41681.718449074076</v>
      </c>
      <c r="C106" t="s">
        <v>299</v>
      </c>
    </row>
    <row r="107" spans="1:3" x14ac:dyDescent="0.25">
      <c r="A107" t="s">
        <v>300</v>
      </c>
      <c r="B107" s="18">
        <v>41681.718449074076</v>
      </c>
      <c r="C107" t="s">
        <v>301</v>
      </c>
    </row>
    <row r="108" spans="1:3" x14ac:dyDescent="0.25">
      <c r="A108" t="s">
        <v>302</v>
      </c>
      <c r="B108" s="18">
        <v>41681.718449074076</v>
      </c>
      <c r="C108" t="s">
        <v>303</v>
      </c>
    </row>
    <row r="109" spans="1:3" x14ac:dyDescent="0.25">
      <c r="A109" t="s">
        <v>304</v>
      </c>
      <c r="B109" s="18">
        <v>41681.718449074076</v>
      </c>
      <c r="C109" t="s">
        <v>305</v>
      </c>
    </row>
    <row r="110" spans="1:3" x14ac:dyDescent="0.25">
      <c r="A110" t="s">
        <v>306</v>
      </c>
      <c r="B110" s="18">
        <v>41681.718449074076</v>
      </c>
      <c r="C110" t="s">
        <v>307</v>
      </c>
    </row>
    <row r="111" spans="1:3" x14ac:dyDescent="0.25">
      <c r="A111" t="s">
        <v>288</v>
      </c>
      <c r="B111" s="18">
        <v>40254.943935185183</v>
      </c>
      <c r="C111" t="s">
        <v>289</v>
      </c>
    </row>
    <row r="114" spans="1:3" x14ac:dyDescent="0.25">
      <c r="A114" t="s">
        <v>39</v>
      </c>
      <c r="B114" s="18">
        <v>41770.796122685184</v>
      </c>
      <c r="C114" t="s">
        <v>40</v>
      </c>
    </row>
    <row r="115" spans="1:3" x14ac:dyDescent="0.25">
      <c r="A115" t="s">
        <v>41</v>
      </c>
      <c r="B115" s="18">
        <v>41770.424560185187</v>
      </c>
      <c r="C115" t="s">
        <v>42</v>
      </c>
    </row>
    <row r="116" spans="1:3" x14ac:dyDescent="0.25">
      <c r="A116" t="s">
        <v>37</v>
      </c>
      <c r="B116" s="18">
        <v>41764.691481481481</v>
      </c>
      <c r="C116" t="s">
        <v>38</v>
      </c>
    </row>
    <row r="117" spans="1:3" x14ac:dyDescent="0.25">
      <c r="A117" t="s">
        <v>227</v>
      </c>
      <c r="B117" s="20">
        <v>41764.486377314817</v>
      </c>
      <c r="C117" s="19" t="s">
        <v>228</v>
      </c>
    </row>
    <row r="118" spans="1:3" x14ac:dyDescent="0.25">
      <c r="A118" t="s">
        <v>199</v>
      </c>
      <c r="B118" s="18">
        <v>41763.529560185183</v>
      </c>
      <c r="C118" t="s">
        <v>200</v>
      </c>
    </row>
    <row r="119" spans="1:3" x14ac:dyDescent="0.25">
      <c r="A119" t="s">
        <v>225</v>
      </c>
      <c r="B119" s="18">
        <v>41763.470995370371</v>
      </c>
      <c r="C119" t="s">
        <v>226</v>
      </c>
    </row>
    <row r="120" spans="1:3" x14ac:dyDescent="0.25">
      <c r="A120" t="s">
        <v>223</v>
      </c>
      <c r="B120" s="18">
        <v>41761.790185185186</v>
      </c>
      <c r="C120" t="s">
        <v>224</v>
      </c>
    </row>
    <row r="121" spans="1:3" x14ac:dyDescent="0.25">
      <c r="A121" t="s">
        <v>221</v>
      </c>
      <c r="B121" s="18">
        <v>41761.764768518522</v>
      </c>
      <c r="C121" t="s">
        <v>222</v>
      </c>
    </row>
    <row r="122" spans="1:3" x14ac:dyDescent="0.25">
      <c r="A122" t="s">
        <v>219</v>
      </c>
      <c r="B122" s="18">
        <v>41761.503171296295</v>
      </c>
      <c r="C122" t="s">
        <v>220</v>
      </c>
    </row>
    <row r="123" spans="1:3" x14ac:dyDescent="0.25">
      <c r="A123" t="s">
        <v>217</v>
      </c>
      <c r="B123" s="18">
        <v>41761.439409722225</v>
      </c>
      <c r="C123" t="s">
        <v>218</v>
      </c>
    </row>
    <row r="124" spans="1:3" x14ac:dyDescent="0.25">
      <c r="A124" t="s">
        <v>215</v>
      </c>
      <c r="B124" s="18">
        <v>41761.439293981479</v>
      </c>
      <c r="C124" t="s">
        <v>216</v>
      </c>
    </row>
    <row r="125" spans="1:3" x14ac:dyDescent="0.25">
      <c r="A125" t="s">
        <v>63</v>
      </c>
      <c r="B125" s="18">
        <v>41761.439155092594</v>
      </c>
      <c r="C125" t="s">
        <v>214</v>
      </c>
    </row>
    <row r="126" spans="1:3" x14ac:dyDescent="0.25">
      <c r="A126" t="s">
        <v>62</v>
      </c>
      <c r="B126" s="18">
        <v>41761.434594907405</v>
      </c>
      <c r="C126" t="s">
        <v>213</v>
      </c>
    </row>
    <row r="127" spans="1:3" x14ac:dyDescent="0.25">
      <c r="A127" t="s">
        <v>61</v>
      </c>
      <c r="B127" s="18">
        <v>41760.827199074076</v>
      </c>
      <c r="C127" t="s">
        <v>212</v>
      </c>
    </row>
    <row r="128" spans="1:3" x14ac:dyDescent="0.25">
      <c r="A128" t="s">
        <v>60</v>
      </c>
      <c r="B128" s="18">
        <v>41760.767418981479</v>
      </c>
      <c r="C128" t="s">
        <v>211</v>
      </c>
    </row>
    <row r="129" spans="1:3" x14ac:dyDescent="0.25">
      <c r="A129" t="s">
        <v>59</v>
      </c>
      <c r="B129" s="18">
        <v>41759.985983796294</v>
      </c>
      <c r="C129" t="s">
        <v>210</v>
      </c>
    </row>
    <row r="130" spans="1:3" x14ac:dyDescent="0.25">
      <c r="A130" t="s">
        <v>58</v>
      </c>
      <c r="B130" s="18">
        <v>41759.675474537034</v>
      </c>
      <c r="C130" t="s">
        <v>209</v>
      </c>
    </row>
    <row r="131" spans="1:3" x14ac:dyDescent="0.25">
      <c r="A131" t="s">
        <v>57</v>
      </c>
      <c r="B131" s="18">
        <v>41759.673831018517</v>
      </c>
      <c r="C131" t="s">
        <v>208</v>
      </c>
    </row>
    <row r="132" spans="1:3" x14ac:dyDescent="0.25">
      <c r="A132" t="s">
        <v>50</v>
      </c>
      <c r="B132" s="18">
        <v>41759.673113425924</v>
      </c>
      <c r="C132" t="s">
        <v>207</v>
      </c>
    </row>
    <row r="133" spans="1:3" x14ac:dyDescent="0.25">
      <c r="A133" t="s">
        <v>49</v>
      </c>
      <c r="B133" s="18">
        <v>41759.672893518517</v>
      </c>
      <c r="C133" t="s">
        <v>206</v>
      </c>
    </row>
    <row r="134" spans="1:3" x14ac:dyDescent="0.25">
      <c r="A134" t="s">
        <v>48</v>
      </c>
      <c r="B134" s="18">
        <v>41759.506631944445</v>
      </c>
      <c r="C134" t="s">
        <v>205</v>
      </c>
    </row>
    <row r="135" spans="1:3" x14ac:dyDescent="0.25">
      <c r="A135" t="s">
        <v>47</v>
      </c>
      <c r="B135" s="18">
        <v>41759.437777777777</v>
      </c>
      <c r="C135" t="s">
        <v>204</v>
      </c>
    </row>
    <row r="136" spans="1:3" x14ac:dyDescent="0.25">
      <c r="A136" t="s">
        <v>46</v>
      </c>
      <c r="B136" s="18">
        <v>41759.437303240738</v>
      </c>
      <c r="C136" t="s">
        <v>203</v>
      </c>
    </row>
    <row r="137" spans="1:3" x14ac:dyDescent="0.25">
      <c r="A137" t="s">
        <v>45</v>
      </c>
      <c r="B137" s="18">
        <v>41758.706006944441</v>
      </c>
      <c r="C137" t="s">
        <v>202</v>
      </c>
    </row>
    <row r="138" spans="1:3" x14ac:dyDescent="0.25">
      <c r="A138" t="s">
        <v>44</v>
      </c>
      <c r="B138" s="18">
        <v>41758.704976851855</v>
      </c>
      <c r="C138" t="s">
        <v>201</v>
      </c>
    </row>
    <row r="139" spans="1:3" x14ac:dyDescent="0.25">
      <c r="A139" t="s">
        <v>64</v>
      </c>
      <c r="B139" s="20">
        <v>41758.489386574074</v>
      </c>
      <c r="C139" s="19" t="s">
        <v>233</v>
      </c>
    </row>
    <row r="140" spans="1:3" x14ac:dyDescent="0.25">
      <c r="A140" t="s">
        <v>56</v>
      </c>
      <c r="B140" s="18">
        <v>41758.446076388886</v>
      </c>
      <c r="C140" t="s">
        <v>232</v>
      </c>
    </row>
    <row r="141" spans="1:3" x14ac:dyDescent="0.25">
      <c r="A141" t="s">
        <v>55</v>
      </c>
      <c r="B141" s="18">
        <v>41758.005601851852</v>
      </c>
      <c r="C141" t="s">
        <v>231</v>
      </c>
    </row>
    <row r="142" spans="1:3" x14ac:dyDescent="0.25">
      <c r="A142" t="s">
        <v>54</v>
      </c>
      <c r="B142" s="18">
        <v>41758.00476851852</v>
      </c>
      <c r="C142" t="s">
        <v>230</v>
      </c>
    </row>
    <row r="143" spans="1:3" x14ac:dyDescent="0.25">
      <c r="A143" t="s">
        <v>53</v>
      </c>
      <c r="B143" s="18">
        <v>41758.000659722224</v>
      </c>
      <c r="C143" t="s">
        <v>229</v>
      </c>
    </row>
    <row r="144" spans="1:3" x14ac:dyDescent="0.25">
      <c r="A144" t="s">
        <v>172</v>
      </c>
      <c r="B144" s="18">
        <v>41757.956030092595</v>
      </c>
      <c r="C144" t="s">
        <v>173</v>
      </c>
    </row>
    <row r="145" spans="1:3" x14ac:dyDescent="0.25">
      <c r="A145" t="s">
        <v>174</v>
      </c>
      <c r="B145" s="18">
        <v>41757.821562500001</v>
      </c>
      <c r="C145" t="s">
        <v>175</v>
      </c>
    </row>
    <row r="146" spans="1:3" x14ac:dyDescent="0.25">
      <c r="A146" t="s">
        <v>164</v>
      </c>
      <c r="B146" s="18">
        <v>41757.814189814817</v>
      </c>
      <c r="C146" t="s">
        <v>165</v>
      </c>
    </row>
    <row r="147" spans="1:3" x14ac:dyDescent="0.25">
      <c r="A147" t="s">
        <v>15</v>
      </c>
      <c r="B147" s="20">
        <v>41757.506111111114</v>
      </c>
      <c r="C147" s="19" t="s">
        <v>16</v>
      </c>
    </row>
    <row r="148" spans="1:3" x14ac:dyDescent="0.25">
      <c r="A148" t="s">
        <v>81</v>
      </c>
      <c r="B148" s="18">
        <v>41754.837280092594</v>
      </c>
      <c r="C148" t="s">
        <v>82</v>
      </c>
    </row>
    <row r="149" spans="1:3" x14ac:dyDescent="0.25">
      <c r="A149" t="s">
        <v>81</v>
      </c>
      <c r="B149" s="18">
        <v>41754.837280092594</v>
      </c>
      <c r="C149" t="s">
        <v>154</v>
      </c>
    </row>
    <row r="150" spans="1:3" x14ac:dyDescent="0.25">
      <c r="A150" t="s">
        <v>359</v>
      </c>
      <c r="B150" s="18">
        <v>41748.833807870367</v>
      </c>
      <c r="C150" t="s">
        <v>360</v>
      </c>
    </row>
    <row r="151" spans="1:3" x14ac:dyDescent="0.25">
      <c r="A151" s="19" t="s">
        <v>13</v>
      </c>
      <c r="B151" s="20">
        <v>41734.508090277777</v>
      </c>
      <c r="C151" s="19" t="s">
        <v>14</v>
      </c>
    </row>
    <row r="152" spans="1:3" x14ac:dyDescent="0.25">
      <c r="A152" t="s">
        <v>148</v>
      </c>
      <c r="B152" s="18">
        <v>41733.512881944444</v>
      </c>
      <c r="C152" t="s">
        <v>149</v>
      </c>
    </row>
    <row r="153" spans="1:3" x14ac:dyDescent="0.25">
      <c r="A153" t="s">
        <v>150</v>
      </c>
      <c r="B153" s="18">
        <v>41733.512881944444</v>
      </c>
      <c r="C153" t="s">
        <v>151</v>
      </c>
    </row>
    <row r="154" spans="1:3" x14ac:dyDescent="0.25">
      <c r="A154" s="9" t="s">
        <v>107</v>
      </c>
      <c r="B154" s="10">
        <v>41733.512013888889</v>
      </c>
      <c r="C154" s="9" t="s">
        <v>155</v>
      </c>
    </row>
    <row r="155" spans="1:3" x14ac:dyDescent="0.25">
      <c r="A155" t="s">
        <v>109</v>
      </c>
      <c r="B155" s="20">
        <v>41733.512013888889</v>
      </c>
      <c r="C155" s="19" t="s">
        <v>156</v>
      </c>
    </row>
    <row r="156" spans="1:3" x14ac:dyDescent="0.25">
      <c r="A156" t="s">
        <v>152</v>
      </c>
      <c r="B156" s="18">
        <v>41733.511921296296</v>
      </c>
      <c r="C156" t="s">
        <v>153</v>
      </c>
    </row>
    <row r="157" spans="1:3" x14ac:dyDescent="0.25">
      <c r="A157" t="s">
        <v>157</v>
      </c>
      <c r="B157" s="20">
        <v>41733.511273148149</v>
      </c>
      <c r="C157" s="19" t="s">
        <v>158</v>
      </c>
    </row>
    <row r="158" spans="1:3" x14ac:dyDescent="0.25">
      <c r="A158" t="s">
        <v>236</v>
      </c>
      <c r="B158" s="20">
        <v>41732.413553240738</v>
      </c>
      <c r="C158" s="19" t="s">
        <v>237</v>
      </c>
    </row>
    <row r="159" spans="1:3" x14ac:dyDescent="0.25">
      <c r="A159" t="s">
        <v>234</v>
      </c>
      <c r="B159" s="20">
        <v>41732.41337962963</v>
      </c>
      <c r="C159" s="19" t="s">
        <v>235</v>
      </c>
    </row>
    <row r="160" spans="1:3" x14ac:dyDescent="0.25">
      <c r="A160" t="s">
        <v>238</v>
      </c>
      <c r="B160" s="20">
        <v>41732.41337962963</v>
      </c>
      <c r="C160" s="19" t="s">
        <v>239</v>
      </c>
    </row>
    <row r="161" spans="1:3" x14ac:dyDescent="0.25">
      <c r="A161" t="s">
        <v>133</v>
      </c>
      <c r="B161" s="18">
        <v>41731.955462962964</v>
      </c>
      <c r="C161" t="s">
        <v>134</v>
      </c>
    </row>
    <row r="162" spans="1:3" x14ac:dyDescent="0.25">
      <c r="A162" t="s">
        <v>131</v>
      </c>
      <c r="B162" s="18">
        <v>41731.943078703705</v>
      </c>
      <c r="C162" t="s">
        <v>132</v>
      </c>
    </row>
    <row r="163" spans="1:3" x14ac:dyDescent="0.25">
      <c r="A163" t="s">
        <v>118</v>
      </c>
      <c r="B163" s="18">
        <v>41731.93582175926</v>
      </c>
      <c r="C163" t="s">
        <v>119</v>
      </c>
    </row>
    <row r="164" spans="1:3" x14ac:dyDescent="0.25">
      <c r="A164" t="s">
        <v>125</v>
      </c>
      <c r="B164" s="18">
        <v>41731.931354166663</v>
      </c>
      <c r="C164" t="s">
        <v>126</v>
      </c>
    </row>
    <row r="165" spans="1:3" x14ac:dyDescent="0.25">
      <c r="A165" t="s">
        <v>121</v>
      </c>
      <c r="B165" s="18">
        <v>41731.929571759261</v>
      </c>
      <c r="C165" t="s">
        <v>122</v>
      </c>
    </row>
    <row r="166" spans="1:3" x14ac:dyDescent="0.25">
      <c r="A166" t="s">
        <v>135</v>
      </c>
      <c r="B166" s="18">
        <v>41731.920601851853</v>
      </c>
      <c r="C166" t="s">
        <v>136</v>
      </c>
    </row>
    <row r="167" spans="1:3" x14ac:dyDescent="0.25">
      <c r="A167" t="s">
        <v>137</v>
      </c>
      <c r="B167" s="20">
        <v>41731.920601851853</v>
      </c>
      <c r="C167" s="19" t="s">
        <v>138</v>
      </c>
    </row>
    <row r="168" spans="1:3" x14ac:dyDescent="0.25">
      <c r="A168" t="s">
        <v>101</v>
      </c>
      <c r="B168" s="18">
        <v>41731.00644675926</v>
      </c>
      <c r="C168" t="s">
        <v>102</v>
      </c>
    </row>
    <row r="169" spans="1:3" x14ac:dyDescent="0.25">
      <c r="A169" t="s">
        <v>103</v>
      </c>
      <c r="B169" s="18">
        <v>41730.977199074077</v>
      </c>
      <c r="C169" t="s">
        <v>104</v>
      </c>
    </row>
    <row r="170" spans="1:3" x14ac:dyDescent="0.25">
      <c r="A170" t="s">
        <v>103</v>
      </c>
      <c r="B170" s="18">
        <v>41730.977199074077</v>
      </c>
      <c r="C170" t="s">
        <v>130</v>
      </c>
    </row>
    <row r="171" spans="1:3" x14ac:dyDescent="0.25">
      <c r="A171" t="s">
        <v>83</v>
      </c>
      <c r="B171" s="18">
        <v>41730.977037037039</v>
      </c>
      <c r="C171" t="s">
        <v>84</v>
      </c>
    </row>
    <row r="172" spans="1:3" x14ac:dyDescent="0.25">
      <c r="A172" t="s">
        <v>83</v>
      </c>
      <c r="B172" s="18">
        <v>41730.977037037039</v>
      </c>
      <c r="C172" t="s">
        <v>141</v>
      </c>
    </row>
    <row r="173" spans="1:3" x14ac:dyDescent="0.25">
      <c r="A173" t="s">
        <v>83</v>
      </c>
      <c r="B173" s="20">
        <v>41730.977037037039</v>
      </c>
      <c r="C173" s="19" t="s">
        <v>159</v>
      </c>
    </row>
    <row r="174" spans="1:3" x14ac:dyDescent="0.25">
      <c r="A174" t="s">
        <v>101</v>
      </c>
      <c r="B174" s="18">
        <v>41730.976967592593</v>
      </c>
      <c r="C174" t="s">
        <v>129</v>
      </c>
    </row>
    <row r="175" spans="1:3" x14ac:dyDescent="0.25">
      <c r="A175" t="s">
        <v>53</v>
      </c>
      <c r="B175" s="18">
        <v>41730.976655092592</v>
      </c>
      <c r="C175" t="s">
        <v>116</v>
      </c>
    </row>
    <row r="176" spans="1:3" x14ac:dyDescent="0.25">
      <c r="A176" t="s">
        <v>53</v>
      </c>
      <c r="B176" s="18">
        <v>41730.976655092592</v>
      </c>
      <c r="C176" t="s">
        <v>147</v>
      </c>
    </row>
    <row r="177" spans="1:3" x14ac:dyDescent="0.25">
      <c r="A177" t="s">
        <v>52</v>
      </c>
      <c r="B177" s="18">
        <v>41730.9762962963</v>
      </c>
      <c r="C177" t="s">
        <v>115</v>
      </c>
    </row>
    <row r="178" spans="1:3" x14ac:dyDescent="0.25">
      <c r="A178" s="19" t="s">
        <v>52</v>
      </c>
      <c r="B178" s="20">
        <v>41730.9762962963</v>
      </c>
      <c r="C178" s="19" t="s">
        <v>146</v>
      </c>
    </row>
    <row r="179" spans="1:3" x14ac:dyDescent="0.25">
      <c r="A179" t="s">
        <v>51</v>
      </c>
      <c r="B179" s="18">
        <v>41730.97583333333</v>
      </c>
      <c r="C179" t="s">
        <v>114</v>
      </c>
    </row>
    <row r="180" spans="1:3" x14ac:dyDescent="0.25">
      <c r="A180" t="s">
        <v>51</v>
      </c>
      <c r="B180" s="18">
        <v>41730.97583333333</v>
      </c>
      <c r="C180" t="s">
        <v>145</v>
      </c>
    </row>
    <row r="181" spans="1:3" x14ac:dyDescent="0.25">
      <c r="A181" t="s">
        <v>21</v>
      </c>
      <c r="B181" s="18">
        <v>41730.974999999999</v>
      </c>
      <c r="C181" t="s">
        <v>113</v>
      </c>
    </row>
    <row r="182" spans="1:3" x14ac:dyDescent="0.25">
      <c r="A182" t="s">
        <v>21</v>
      </c>
      <c r="B182" s="18">
        <v>41730.974999999999</v>
      </c>
      <c r="C182" t="s">
        <v>144</v>
      </c>
    </row>
    <row r="183" spans="1:3" x14ac:dyDescent="0.25">
      <c r="A183" t="s">
        <v>17</v>
      </c>
      <c r="B183" s="18">
        <v>41730.974062499998</v>
      </c>
      <c r="C183" t="s">
        <v>112</v>
      </c>
    </row>
    <row r="184" spans="1:3" x14ac:dyDescent="0.25">
      <c r="A184" t="s">
        <v>17</v>
      </c>
      <c r="B184" s="18">
        <v>41730.974062499998</v>
      </c>
      <c r="C184" t="s">
        <v>143</v>
      </c>
    </row>
    <row r="185" spans="1:3" x14ac:dyDescent="0.25">
      <c r="A185" t="s">
        <v>105</v>
      </c>
      <c r="B185" s="18">
        <v>41730.432916666665</v>
      </c>
      <c r="C185" t="s">
        <v>106</v>
      </c>
    </row>
    <row r="186" spans="1:3" x14ac:dyDescent="0.25">
      <c r="A186" t="s">
        <v>93</v>
      </c>
      <c r="B186" s="18">
        <v>41730.426631944443</v>
      </c>
      <c r="C186" t="s">
        <v>94</v>
      </c>
    </row>
    <row r="187" spans="1:3" x14ac:dyDescent="0.25">
      <c r="A187" t="s">
        <v>93</v>
      </c>
      <c r="B187" s="18">
        <v>41730.426631944443</v>
      </c>
      <c r="C187" t="s">
        <v>120</v>
      </c>
    </row>
    <row r="188" spans="1:3" x14ac:dyDescent="0.25">
      <c r="A188" t="s">
        <v>97</v>
      </c>
      <c r="B188" s="18">
        <v>41730.421990740739</v>
      </c>
      <c r="C188" t="s">
        <v>98</v>
      </c>
    </row>
    <row r="189" spans="1:3" x14ac:dyDescent="0.25">
      <c r="A189" t="s">
        <v>99</v>
      </c>
      <c r="B189" s="18">
        <v>41730.421990740739</v>
      </c>
      <c r="C189" t="s">
        <v>100</v>
      </c>
    </row>
    <row r="190" spans="1:3" x14ac:dyDescent="0.25">
      <c r="A190" t="s">
        <v>97</v>
      </c>
      <c r="B190" s="18">
        <v>41730.421990740739</v>
      </c>
      <c r="C190" t="s">
        <v>127</v>
      </c>
    </row>
    <row r="191" spans="1:3" x14ac:dyDescent="0.25">
      <c r="A191" t="s">
        <v>99</v>
      </c>
      <c r="B191" s="18">
        <v>41730.421990740739</v>
      </c>
      <c r="C191" t="s">
        <v>128</v>
      </c>
    </row>
    <row r="192" spans="1:3" x14ac:dyDescent="0.25">
      <c r="A192" t="s">
        <v>107</v>
      </c>
      <c r="B192" s="18">
        <v>41730.421493055554</v>
      </c>
      <c r="C192" t="s">
        <v>108</v>
      </c>
    </row>
    <row r="193" spans="1:3" x14ac:dyDescent="0.25">
      <c r="A193" t="s">
        <v>109</v>
      </c>
      <c r="B193" s="18">
        <v>41730.421493055554</v>
      </c>
      <c r="C193" t="s">
        <v>110</v>
      </c>
    </row>
    <row r="194" spans="1:3" x14ac:dyDescent="0.25">
      <c r="A194" t="s">
        <v>107</v>
      </c>
      <c r="B194" s="18">
        <v>41730.421493055554</v>
      </c>
      <c r="C194" t="s">
        <v>139</v>
      </c>
    </row>
    <row r="195" spans="1:3" x14ac:dyDescent="0.25">
      <c r="A195" t="s">
        <v>109</v>
      </c>
      <c r="B195" s="18">
        <v>41730.421493055554</v>
      </c>
      <c r="C195" t="s">
        <v>140</v>
      </c>
    </row>
    <row r="196" spans="1:3" x14ac:dyDescent="0.25">
      <c r="A196" t="s">
        <v>69</v>
      </c>
      <c r="B196" s="18">
        <v>41721.549641203703</v>
      </c>
      <c r="C196" t="s">
        <v>90</v>
      </c>
    </row>
    <row r="197" spans="1:3" x14ac:dyDescent="0.25">
      <c r="A197" t="s">
        <v>88</v>
      </c>
      <c r="B197" s="18">
        <v>41721.483634259261</v>
      </c>
      <c r="C197" t="s">
        <v>89</v>
      </c>
    </row>
    <row r="198" spans="1:3" x14ac:dyDescent="0.25">
      <c r="A198" t="s">
        <v>88</v>
      </c>
      <c r="B198" s="18">
        <v>41721.483634259261</v>
      </c>
      <c r="C198" t="s">
        <v>96</v>
      </c>
    </row>
    <row r="199" spans="1:3" x14ac:dyDescent="0.25">
      <c r="A199" t="s">
        <v>88</v>
      </c>
      <c r="B199" s="18">
        <v>41721.483634259261</v>
      </c>
      <c r="C199" t="s">
        <v>124</v>
      </c>
    </row>
    <row r="200" spans="1:3" x14ac:dyDescent="0.25">
      <c r="A200" t="s">
        <v>85</v>
      </c>
      <c r="B200" s="18">
        <v>41721.479884259257</v>
      </c>
      <c r="C200" t="s">
        <v>86</v>
      </c>
    </row>
    <row r="201" spans="1:3" x14ac:dyDescent="0.25">
      <c r="A201" t="s">
        <v>85</v>
      </c>
      <c r="B201" s="18">
        <v>41721.479884259257</v>
      </c>
      <c r="C201" t="s">
        <v>92</v>
      </c>
    </row>
    <row r="202" spans="1:3" x14ac:dyDescent="0.25">
      <c r="A202" t="s">
        <v>85</v>
      </c>
      <c r="B202" s="18">
        <v>41721.479884259257</v>
      </c>
      <c r="C202" t="s">
        <v>117</v>
      </c>
    </row>
    <row r="203" spans="1:3" x14ac:dyDescent="0.25">
      <c r="A203" t="s">
        <v>69</v>
      </c>
      <c r="B203" s="18">
        <v>41720.034722222219</v>
      </c>
      <c r="C203" t="s">
        <v>79</v>
      </c>
    </row>
    <row r="204" spans="1:3" x14ac:dyDescent="0.25">
      <c r="A204" t="s">
        <v>71</v>
      </c>
      <c r="B204" s="18">
        <v>41719.75708333333</v>
      </c>
      <c r="C204" t="s">
        <v>72</v>
      </c>
    </row>
    <row r="205" spans="1:3" x14ac:dyDescent="0.25">
      <c r="A205" t="s">
        <v>69</v>
      </c>
      <c r="B205" s="18">
        <v>41719.39266203704</v>
      </c>
      <c r="C205" t="s">
        <v>75</v>
      </c>
    </row>
    <row r="206" spans="1:3" x14ac:dyDescent="0.25">
      <c r="A206" t="s">
        <v>76</v>
      </c>
      <c r="B206" s="18">
        <v>41719.020960648151</v>
      </c>
      <c r="C206" t="s">
        <v>77</v>
      </c>
    </row>
    <row r="207" spans="1:3" x14ac:dyDescent="0.25">
      <c r="A207" t="s">
        <v>76</v>
      </c>
      <c r="B207" s="18">
        <v>41719.020960648151</v>
      </c>
      <c r="C207" t="s">
        <v>80</v>
      </c>
    </row>
    <row r="208" spans="1:3" x14ac:dyDescent="0.25">
      <c r="A208" t="s">
        <v>76</v>
      </c>
      <c r="B208" s="18">
        <v>41719.020960648151</v>
      </c>
      <c r="C208" t="s">
        <v>91</v>
      </c>
    </row>
    <row r="209" spans="1:3" x14ac:dyDescent="0.25">
      <c r="A209" t="s">
        <v>76</v>
      </c>
      <c r="B209" s="18">
        <v>41719.020960648151</v>
      </c>
      <c r="C209" t="s">
        <v>111</v>
      </c>
    </row>
    <row r="210" spans="1:3" x14ac:dyDescent="0.25">
      <c r="A210" t="s">
        <v>76</v>
      </c>
      <c r="B210" s="20">
        <v>41719.020960648151</v>
      </c>
      <c r="C210" s="19" t="s">
        <v>142</v>
      </c>
    </row>
    <row r="211" spans="1:3" x14ac:dyDescent="0.25">
      <c r="A211" t="s">
        <v>69</v>
      </c>
      <c r="B211" s="18">
        <v>41719.018425925926</v>
      </c>
      <c r="C211" t="s">
        <v>70</v>
      </c>
    </row>
    <row r="212" spans="1:3" x14ac:dyDescent="0.25">
      <c r="A212" t="s">
        <v>73</v>
      </c>
      <c r="B212" s="18">
        <v>41719.018425925926</v>
      </c>
      <c r="C212" t="s">
        <v>74</v>
      </c>
    </row>
    <row r="213" spans="1:3" x14ac:dyDescent="0.25">
      <c r="A213" t="s">
        <v>73</v>
      </c>
      <c r="B213" s="18">
        <v>41719.018425925926</v>
      </c>
      <c r="C213" t="s">
        <v>78</v>
      </c>
    </row>
    <row r="214" spans="1:3" x14ac:dyDescent="0.25">
      <c r="A214" t="s">
        <v>73</v>
      </c>
      <c r="B214" s="18">
        <v>41719.018425925926</v>
      </c>
      <c r="C214" t="s">
        <v>87</v>
      </c>
    </row>
    <row r="215" spans="1:3" x14ac:dyDescent="0.25">
      <c r="A215" t="s">
        <v>73</v>
      </c>
      <c r="B215" s="18">
        <v>41719.018425925926</v>
      </c>
      <c r="C215" t="s">
        <v>95</v>
      </c>
    </row>
    <row r="216" spans="1:3" x14ac:dyDescent="0.25">
      <c r="A216" t="s">
        <v>73</v>
      </c>
      <c r="B216" s="18">
        <v>41719.018425925926</v>
      </c>
      <c r="C216" t="s">
        <v>123</v>
      </c>
    </row>
    <row r="217" spans="1:3" x14ac:dyDescent="0.25">
      <c r="A217" t="s">
        <v>21</v>
      </c>
      <c r="B217" s="18">
        <v>41710.474143518521</v>
      </c>
      <c r="C217" t="s">
        <v>198</v>
      </c>
    </row>
    <row r="218" spans="1:3" x14ac:dyDescent="0.25">
      <c r="A218" t="s">
        <v>17</v>
      </c>
      <c r="B218" s="18">
        <v>41710.473900462966</v>
      </c>
      <c r="C218" t="s">
        <v>197</v>
      </c>
    </row>
    <row r="219" spans="1:3" x14ac:dyDescent="0.25">
      <c r="A219" t="s">
        <v>53</v>
      </c>
      <c r="B219" s="18">
        <v>41708.871504629627</v>
      </c>
      <c r="C219" t="s">
        <v>196</v>
      </c>
    </row>
    <row r="220" spans="1:3" x14ac:dyDescent="0.25">
      <c r="A220" t="s">
        <v>52</v>
      </c>
      <c r="B220" s="18">
        <v>41708.870451388888</v>
      </c>
      <c r="C220" t="s">
        <v>195</v>
      </c>
    </row>
    <row r="221" spans="1:3" x14ac:dyDescent="0.25">
      <c r="A221" t="s">
        <v>51</v>
      </c>
      <c r="B221" s="18">
        <v>41708.869942129626</v>
      </c>
      <c r="C221" t="s">
        <v>194</v>
      </c>
    </row>
    <row r="222" spans="1:3" x14ac:dyDescent="0.25">
      <c r="A222" t="s">
        <v>21</v>
      </c>
      <c r="B222" s="18">
        <v>41708.867604166669</v>
      </c>
      <c r="C222" t="s">
        <v>193</v>
      </c>
    </row>
    <row r="223" spans="1:3" x14ac:dyDescent="0.25">
      <c r="A223" t="s">
        <v>17</v>
      </c>
      <c r="B223" s="18">
        <v>41708.863969907405</v>
      </c>
      <c r="C223" t="s">
        <v>192</v>
      </c>
    </row>
    <row r="224" spans="1:3" x14ac:dyDescent="0.25">
      <c r="A224" t="s">
        <v>186</v>
      </c>
      <c r="B224" s="18">
        <v>41708.823275462964</v>
      </c>
      <c r="C224" t="s">
        <v>187</v>
      </c>
    </row>
    <row r="225" spans="1:3" x14ac:dyDescent="0.25">
      <c r="A225" t="s">
        <v>182</v>
      </c>
      <c r="B225" s="18">
        <v>41708.821967592594</v>
      </c>
      <c r="C225" t="s">
        <v>183</v>
      </c>
    </row>
    <row r="226" spans="1:3" x14ac:dyDescent="0.25">
      <c r="A226" t="s">
        <v>188</v>
      </c>
      <c r="B226" s="18">
        <v>41708.819039351853</v>
      </c>
      <c r="C226" t="s">
        <v>189</v>
      </c>
    </row>
    <row r="227" spans="1:3" x14ac:dyDescent="0.25">
      <c r="A227" t="s">
        <v>190</v>
      </c>
      <c r="B227" s="18">
        <v>41708.818252314813</v>
      </c>
      <c r="C227" t="s">
        <v>191</v>
      </c>
    </row>
    <row r="228" spans="1:3" x14ac:dyDescent="0.25">
      <c r="A228" t="s">
        <v>184</v>
      </c>
      <c r="B228" s="18">
        <v>41708.814386574071</v>
      </c>
      <c r="C228" t="s">
        <v>185</v>
      </c>
    </row>
    <row r="229" spans="1:3" x14ac:dyDescent="0.25">
      <c r="A229" t="s">
        <v>35</v>
      </c>
      <c r="B229" s="18">
        <v>41708.523657407408</v>
      </c>
      <c r="C229" t="s">
        <v>36</v>
      </c>
    </row>
    <row r="230" spans="1:3" x14ac:dyDescent="0.25">
      <c r="A230" t="s">
        <v>33</v>
      </c>
      <c r="B230" s="18">
        <v>41708.522187499999</v>
      </c>
      <c r="C230" t="s">
        <v>34</v>
      </c>
    </row>
    <row r="231" spans="1:3" x14ac:dyDescent="0.25">
      <c r="A231" t="s">
        <v>21</v>
      </c>
      <c r="B231" s="18">
        <v>41707.715509259258</v>
      </c>
      <c r="C231" t="s">
        <v>32</v>
      </c>
    </row>
    <row r="232" spans="1:3" x14ac:dyDescent="0.25">
      <c r="A232" t="s">
        <v>17</v>
      </c>
      <c r="B232" s="18">
        <v>41707.714884259258</v>
      </c>
      <c r="C232" t="s">
        <v>31</v>
      </c>
    </row>
    <row r="233" spans="1:3" x14ac:dyDescent="0.25">
      <c r="A233" s="11" t="s">
        <v>29</v>
      </c>
      <c r="B233" s="10">
        <v>41707.525405092594</v>
      </c>
      <c r="C233" s="9" t="s">
        <v>30</v>
      </c>
    </row>
    <row r="234" spans="1:3" x14ac:dyDescent="0.25">
      <c r="A234" t="s">
        <v>176</v>
      </c>
      <c r="B234" s="18">
        <v>41707.505601851852</v>
      </c>
      <c r="C234" t="s">
        <v>177</v>
      </c>
    </row>
    <row r="235" spans="1:3" x14ac:dyDescent="0.25">
      <c r="A235" t="s">
        <v>51</v>
      </c>
      <c r="B235" s="18">
        <v>41707.50172453704</v>
      </c>
      <c r="C235" t="s">
        <v>179</v>
      </c>
    </row>
    <row r="236" spans="1:3" x14ac:dyDescent="0.25">
      <c r="A236" t="s">
        <v>21</v>
      </c>
      <c r="B236" s="18">
        <v>41707.501192129632</v>
      </c>
      <c r="C236" t="s">
        <v>178</v>
      </c>
    </row>
    <row r="237" spans="1:3" x14ac:dyDescent="0.25">
      <c r="A237" t="s">
        <v>180</v>
      </c>
      <c r="B237" s="18">
        <v>41707.496932870374</v>
      </c>
      <c r="C237" t="s">
        <v>181</v>
      </c>
    </row>
    <row r="238" spans="1:3" x14ac:dyDescent="0.25">
      <c r="A238" t="s">
        <v>21</v>
      </c>
      <c r="B238" s="20">
        <v>41706.642476851855</v>
      </c>
      <c r="C238" s="19" t="s">
        <v>28</v>
      </c>
    </row>
    <row r="239" spans="1:3" x14ac:dyDescent="0.25">
      <c r="A239" t="s">
        <v>17</v>
      </c>
      <c r="B239" s="20">
        <v>41706.642106481479</v>
      </c>
      <c r="C239" s="19" t="s">
        <v>27</v>
      </c>
    </row>
    <row r="240" spans="1:3" x14ac:dyDescent="0.25">
      <c r="A240" t="s">
        <v>21</v>
      </c>
      <c r="B240" s="20">
        <v>41705.039953703701</v>
      </c>
      <c r="C240" s="19" t="s">
        <v>22</v>
      </c>
    </row>
    <row r="241" spans="1:3" x14ac:dyDescent="0.25">
      <c r="A241" t="s">
        <v>17</v>
      </c>
      <c r="B241" s="20">
        <v>41705.039583333331</v>
      </c>
      <c r="C241" s="19" t="s">
        <v>18</v>
      </c>
    </row>
    <row r="242" spans="1:3" x14ac:dyDescent="0.25">
      <c r="A242" t="s">
        <v>19</v>
      </c>
      <c r="B242" s="20">
        <v>41705.038171296299</v>
      </c>
      <c r="C242" s="19" t="s">
        <v>20</v>
      </c>
    </row>
    <row r="243" spans="1:3" x14ac:dyDescent="0.25">
      <c r="A243" t="s">
        <v>23</v>
      </c>
      <c r="B243" s="20">
        <v>41705.038171296299</v>
      </c>
      <c r="C243" s="19" t="s">
        <v>24</v>
      </c>
    </row>
    <row r="244" spans="1:3" x14ac:dyDescent="0.25">
      <c r="A244" t="s">
        <v>25</v>
      </c>
      <c r="B244" s="20">
        <v>41705.038171296299</v>
      </c>
      <c r="C244" s="19" t="s">
        <v>26</v>
      </c>
    </row>
    <row r="245" spans="1:3" x14ac:dyDescent="0.25">
      <c r="A245" t="s">
        <v>168</v>
      </c>
      <c r="B245" s="18">
        <v>41703.848807870374</v>
      </c>
      <c r="C245" t="s">
        <v>169</v>
      </c>
    </row>
    <row r="246" spans="1:3" x14ac:dyDescent="0.25">
      <c r="A246" t="s">
        <v>170</v>
      </c>
      <c r="B246" s="18">
        <v>41703.817291666666</v>
      </c>
      <c r="C246" t="s">
        <v>171</v>
      </c>
    </row>
    <row r="247" spans="1:3" x14ac:dyDescent="0.25">
      <c r="A247" t="s">
        <v>166</v>
      </c>
      <c r="B247" s="18">
        <v>41702.015196759261</v>
      </c>
      <c r="C247" t="s">
        <v>167</v>
      </c>
    </row>
    <row r="248" spans="1:3" x14ac:dyDescent="0.25">
      <c r="A248" t="s">
        <v>162</v>
      </c>
      <c r="B248" s="18">
        <v>41702.010451388887</v>
      </c>
      <c r="C248" t="s">
        <v>163</v>
      </c>
    </row>
    <row r="249" spans="1:3" x14ac:dyDescent="0.25">
      <c r="A249" t="s">
        <v>67</v>
      </c>
      <c r="B249" s="18">
        <v>41701.966967592591</v>
      </c>
      <c r="C249" t="s">
        <v>68</v>
      </c>
    </row>
    <row r="250" spans="1:3" x14ac:dyDescent="0.25">
      <c r="A250" t="s">
        <v>76</v>
      </c>
      <c r="B250" s="18">
        <v>41701.947696759256</v>
      </c>
      <c r="C250" t="s">
        <v>161</v>
      </c>
    </row>
    <row r="251" spans="1:3" x14ac:dyDescent="0.25">
      <c r="A251" t="s">
        <v>43</v>
      </c>
      <c r="B251" s="18">
        <v>41701.946597222224</v>
      </c>
      <c r="C251" t="s">
        <v>160</v>
      </c>
    </row>
    <row r="252" spans="1:3" x14ac:dyDescent="0.25">
      <c r="A252" t="s">
        <v>336</v>
      </c>
      <c r="B252" s="18">
        <v>41691.55982638889</v>
      </c>
      <c r="C252" t="s">
        <v>337</v>
      </c>
    </row>
    <row r="253" spans="1:3" x14ac:dyDescent="0.25">
      <c r="A253" t="s">
        <v>334</v>
      </c>
      <c r="B253" s="18">
        <v>41691.55541666667</v>
      </c>
      <c r="C253" t="s">
        <v>335</v>
      </c>
    </row>
    <row r="254" spans="1:3" x14ac:dyDescent="0.25">
      <c r="A254" t="s">
        <v>332</v>
      </c>
      <c r="B254" s="18">
        <v>41691.545405092591</v>
      </c>
      <c r="C254" t="s">
        <v>333</v>
      </c>
    </row>
    <row r="255" spans="1:3" x14ac:dyDescent="0.25">
      <c r="A255" t="s">
        <v>330</v>
      </c>
      <c r="B255" s="18">
        <v>41691.542604166665</v>
      </c>
      <c r="C255" t="s">
        <v>331</v>
      </c>
    </row>
    <row r="256" spans="1:3" x14ac:dyDescent="0.25">
      <c r="A256" t="s">
        <v>325</v>
      </c>
      <c r="B256" s="18">
        <v>41691.526759259257</v>
      </c>
      <c r="C256" t="s">
        <v>326</v>
      </c>
    </row>
    <row r="257" spans="1:3" x14ac:dyDescent="0.25">
      <c r="A257" t="s">
        <v>262</v>
      </c>
      <c r="B257" s="18">
        <v>41691.094756944447</v>
      </c>
      <c r="C257" t="s">
        <v>263</v>
      </c>
    </row>
    <row r="258" spans="1:3" x14ac:dyDescent="0.25">
      <c r="A258" t="s">
        <v>348</v>
      </c>
      <c r="B258" s="18">
        <v>41690.876342592594</v>
      </c>
      <c r="C258" t="s">
        <v>349</v>
      </c>
    </row>
    <row r="259" spans="1:3" x14ac:dyDescent="0.25">
      <c r="A259" t="s">
        <v>240</v>
      </c>
      <c r="B259" s="18">
        <v>41690.876006944447</v>
      </c>
      <c r="C259" t="s">
        <v>347</v>
      </c>
    </row>
    <row r="260" spans="1:3" x14ac:dyDescent="0.25">
      <c r="A260" t="s">
        <v>240</v>
      </c>
      <c r="B260" s="18">
        <v>41690.871296296296</v>
      </c>
      <c r="C260" t="s">
        <v>344</v>
      </c>
    </row>
    <row r="261" spans="1:3" x14ac:dyDescent="0.25">
      <c r="A261" t="s">
        <v>338</v>
      </c>
      <c r="B261" s="18">
        <v>41690.810173611113</v>
      </c>
      <c r="C261" t="s">
        <v>339</v>
      </c>
    </row>
    <row r="262" spans="1:3" x14ac:dyDescent="0.25">
      <c r="A262" t="s">
        <v>340</v>
      </c>
      <c r="B262" s="18">
        <v>41690.802731481483</v>
      </c>
      <c r="C262" t="s">
        <v>341</v>
      </c>
    </row>
    <row r="263" spans="1:3" x14ac:dyDescent="0.25">
      <c r="A263" t="s">
        <v>342</v>
      </c>
      <c r="B263" s="18">
        <v>41690.801921296297</v>
      </c>
      <c r="C263" t="s">
        <v>343</v>
      </c>
    </row>
    <row r="264" spans="1:3" x14ac:dyDescent="0.25">
      <c r="A264" t="s">
        <v>276</v>
      </c>
      <c r="B264" s="18">
        <v>41690.735879629632</v>
      </c>
      <c r="C264" t="s">
        <v>277</v>
      </c>
    </row>
    <row r="265" spans="1:3" x14ac:dyDescent="0.25">
      <c r="A265" t="s">
        <v>314</v>
      </c>
      <c r="B265" s="18">
        <v>41690.732499999998</v>
      </c>
      <c r="C265" t="s">
        <v>315</v>
      </c>
    </row>
    <row r="266" spans="1:3" x14ac:dyDescent="0.25">
      <c r="A266" t="s">
        <v>284</v>
      </c>
      <c r="B266" s="18">
        <v>41690.732476851852</v>
      </c>
      <c r="C266" t="s">
        <v>285</v>
      </c>
    </row>
    <row r="267" spans="1:3" x14ac:dyDescent="0.25">
      <c r="A267" t="s">
        <v>278</v>
      </c>
      <c r="B267" s="18">
        <v>41690.732291666667</v>
      </c>
      <c r="C267" t="s">
        <v>279</v>
      </c>
    </row>
    <row r="268" spans="1:3" x14ac:dyDescent="0.25">
      <c r="A268" t="s">
        <v>282</v>
      </c>
      <c r="B268" s="18">
        <v>41690.732291666667</v>
      </c>
      <c r="C268" t="s">
        <v>283</v>
      </c>
    </row>
    <row r="269" spans="1:3" x14ac:dyDescent="0.25">
      <c r="A269" t="s">
        <v>290</v>
      </c>
      <c r="B269" s="18">
        <v>41690.732291666667</v>
      </c>
      <c r="C269" t="s">
        <v>291</v>
      </c>
    </row>
    <row r="270" spans="1:3" x14ac:dyDescent="0.25">
      <c r="A270" t="s">
        <v>278</v>
      </c>
      <c r="B270" s="18">
        <v>41690.732291666667</v>
      </c>
      <c r="C270" t="s">
        <v>308</v>
      </c>
    </row>
    <row r="271" spans="1:3" x14ac:dyDescent="0.25">
      <c r="A271" t="s">
        <v>282</v>
      </c>
      <c r="B271" s="18">
        <v>41690.732291666667</v>
      </c>
      <c r="C271" t="s">
        <v>311</v>
      </c>
    </row>
    <row r="272" spans="1:3" x14ac:dyDescent="0.25">
      <c r="A272" t="s">
        <v>290</v>
      </c>
      <c r="B272" s="18">
        <v>41690.732291666667</v>
      </c>
      <c r="C272" t="s">
        <v>318</v>
      </c>
    </row>
    <row r="273" spans="1:3" x14ac:dyDescent="0.25">
      <c r="A273" t="s">
        <v>321</v>
      </c>
      <c r="B273" s="18">
        <v>41690.732291666667</v>
      </c>
      <c r="C273" t="s">
        <v>322</v>
      </c>
    </row>
    <row r="274" spans="1:3" x14ac:dyDescent="0.25">
      <c r="A274" t="s">
        <v>246</v>
      </c>
      <c r="B274" s="18">
        <v>41690.692627314813</v>
      </c>
      <c r="C274" t="s">
        <v>247</v>
      </c>
    </row>
    <row r="275" spans="1:3" x14ac:dyDescent="0.25">
      <c r="A275" t="s">
        <v>242</v>
      </c>
      <c r="B275" s="20">
        <v>41690.688020833331</v>
      </c>
      <c r="C275" s="19" t="s">
        <v>243</v>
      </c>
    </row>
    <row r="276" spans="1:3" x14ac:dyDescent="0.25">
      <c r="A276" t="s">
        <v>244</v>
      </c>
      <c r="B276" s="20">
        <v>41690.661400462966</v>
      </c>
      <c r="C276" s="19" t="s">
        <v>245</v>
      </c>
    </row>
    <row r="277" spans="1:3" x14ac:dyDescent="0.25">
      <c r="A277" t="s">
        <v>248</v>
      </c>
      <c r="B277" s="18">
        <v>41690.661319444444</v>
      </c>
      <c r="C277" t="s">
        <v>249</v>
      </c>
    </row>
    <row r="278" spans="1:3" x14ac:dyDescent="0.25">
      <c r="A278" t="s">
        <v>250</v>
      </c>
      <c r="B278" s="18">
        <v>41690.661319444444</v>
      </c>
      <c r="C278" t="s">
        <v>251</v>
      </c>
    </row>
    <row r="279" spans="1:3" x14ac:dyDescent="0.25">
      <c r="A279" t="s">
        <v>17</v>
      </c>
      <c r="B279" s="18">
        <v>41690.650925925926</v>
      </c>
      <c r="C279" t="s">
        <v>327</v>
      </c>
    </row>
    <row r="280" spans="1:3" x14ac:dyDescent="0.25">
      <c r="A280" t="s">
        <v>51</v>
      </c>
      <c r="B280" s="20">
        <v>41690.650740740741</v>
      </c>
      <c r="C280" s="19" t="s">
        <v>329</v>
      </c>
    </row>
    <row r="281" spans="1:3" x14ac:dyDescent="0.25">
      <c r="A281" t="s">
        <v>21</v>
      </c>
      <c r="B281" s="18">
        <v>41690.650243055556</v>
      </c>
      <c r="C281" t="s">
        <v>328</v>
      </c>
    </row>
    <row r="282" spans="1:3" x14ac:dyDescent="0.25">
      <c r="A282" t="s">
        <v>345</v>
      </c>
      <c r="B282" s="18">
        <v>41690.572372685187</v>
      </c>
      <c r="C282" t="s">
        <v>346</v>
      </c>
    </row>
    <row r="283" spans="1:3" x14ac:dyDescent="0.25">
      <c r="A283" t="s">
        <v>256</v>
      </c>
      <c r="B283" s="18">
        <v>41690.56659722222</v>
      </c>
      <c r="C283" t="s">
        <v>257</v>
      </c>
    </row>
    <row r="284" spans="1:3" x14ac:dyDescent="0.25">
      <c r="A284" t="s">
        <v>254</v>
      </c>
      <c r="B284" s="18">
        <v>41690.565925925926</v>
      </c>
      <c r="C284" t="s">
        <v>255</v>
      </c>
    </row>
    <row r="285" spans="1:3" x14ac:dyDescent="0.25">
      <c r="A285" t="s">
        <v>254</v>
      </c>
      <c r="B285" s="18">
        <v>41690.556157407409</v>
      </c>
      <c r="C285" t="s">
        <v>260</v>
      </c>
    </row>
    <row r="286" spans="1:3" x14ac:dyDescent="0.25">
      <c r="A286" t="s">
        <v>258</v>
      </c>
      <c r="B286" s="18">
        <v>41690.555752314816</v>
      </c>
      <c r="C286" t="s">
        <v>261</v>
      </c>
    </row>
    <row r="287" spans="1:3" x14ac:dyDescent="0.25">
      <c r="A287" t="s">
        <v>252</v>
      </c>
      <c r="B287" s="18">
        <v>41690.550428240742</v>
      </c>
      <c r="C287" t="s">
        <v>253</v>
      </c>
    </row>
    <row r="288" spans="1:3" x14ac:dyDescent="0.25">
      <c r="A288" t="s">
        <v>172</v>
      </c>
      <c r="B288" s="18">
        <v>41689.857152777775</v>
      </c>
      <c r="C288" t="s">
        <v>358</v>
      </c>
    </row>
    <row r="289" spans="1:3" x14ac:dyDescent="0.25">
      <c r="A289" s="9" t="s">
        <v>258</v>
      </c>
      <c r="B289" s="10">
        <v>41689.846273148149</v>
      </c>
      <c r="C289" s="9" t="s">
        <v>259</v>
      </c>
    </row>
    <row r="290" spans="1:3" x14ac:dyDescent="0.25">
      <c r="A290" t="s">
        <v>240</v>
      </c>
      <c r="B290" s="20">
        <v>41689.823946759258</v>
      </c>
      <c r="C290" s="19" t="s">
        <v>241</v>
      </c>
    </row>
    <row r="291" spans="1:3" x14ac:dyDescent="0.25">
      <c r="A291" t="s">
        <v>350</v>
      </c>
      <c r="B291" s="18">
        <v>41689.525752314818</v>
      </c>
      <c r="C291" t="s">
        <v>351</v>
      </c>
    </row>
    <row r="292" spans="1:3" x14ac:dyDescent="0.25">
      <c r="A292" t="s">
        <v>266</v>
      </c>
      <c r="B292" s="18">
        <v>41688.704444444447</v>
      </c>
      <c r="C292" t="s">
        <v>267</v>
      </c>
    </row>
    <row r="293" spans="1:3" x14ac:dyDescent="0.25">
      <c r="A293" t="s">
        <v>356</v>
      </c>
      <c r="B293" s="18">
        <v>41688.239722222221</v>
      </c>
      <c r="C293" t="s">
        <v>357</v>
      </c>
    </row>
    <row r="294" spans="1:3" x14ac:dyDescent="0.25">
      <c r="A294" t="s">
        <v>354</v>
      </c>
      <c r="B294" s="18">
        <v>41687.513888888891</v>
      </c>
      <c r="C294" t="s">
        <v>355</v>
      </c>
    </row>
    <row r="295" spans="1:3" x14ac:dyDescent="0.25">
      <c r="A295" t="s">
        <v>352</v>
      </c>
      <c r="B295" s="18">
        <v>41687.513101851851</v>
      </c>
      <c r="C295" t="s">
        <v>353</v>
      </c>
    </row>
    <row r="296" spans="1:3" x14ac:dyDescent="0.25">
      <c r="A296" t="s">
        <v>272</v>
      </c>
      <c r="B296" s="18">
        <v>41683.670671296299</v>
      </c>
      <c r="C296" t="s">
        <v>273</v>
      </c>
    </row>
    <row r="297" spans="1:3" x14ac:dyDescent="0.25">
      <c r="A297" t="s">
        <v>274</v>
      </c>
      <c r="B297" s="18">
        <v>41683.670671296299</v>
      </c>
      <c r="C297" t="s">
        <v>275</v>
      </c>
    </row>
    <row r="298" spans="1:3" x14ac:dyDescent="0.25">
      <c r="A298" t="s">
        <v>309</v>
      </c>
      <c r="B298" s="18">
        <v>41683.670671296299</v>
      </c>
      <c r="C298" t="s">
        <v>310</v>
      </c>
    </row>
    <row r="299" spans="1:3" x14ac:dyDescent="0.25">
      <c r="A299" t="s">
        <v>316</v>
      </c>
      <c r="B299" s="18">
        <v>41683.670671296299</v>
      </c>
      <c r="C299" t="s">
        <v>317</v>
      </c>
    </row>
    <row r="300" spans="1:3" x14ac:dyDescent="0.25">
      <c r="A300" t="s">
        <v>270</v>
      </c>
      <c r="B300" s="18">
        <v>41683.665601851855</v>
      </c>
      <c r="C300" t="s">
        <v>271</v>
      </c>
    </row>
    <row r="301" spans="1:3" x14ac:dyDescent="0.25">
      <c r="A301" t="s">
        <v>312</v>
      </c>
      <c r="B301" s="18">
        <v>41683.665601851855</v>
      </c>
      <c r="C301" t="s">
        <v>313</v>
      </c>
    </row>
    <row r="302" spans="1:3" x14ac:dyDescent="0.25">
      <c r="A302" t="s">
        <v>292</v>
      </c>
      <c r="B302" s="18">
        <v>41681.752893518518</v>
      </c>
      <c r="C302" t="s">
        <v>293</v>
      </c>
    </row>
    <row r="303" spans="1:3" x14ac:dyDescent="0.25">
      <c r="A303" s="9" t="s">
        <v>264</v>
      </c>
      <c r="B303" s="10">
        <v>41681.718472222223</v>
      </c>
      <c r="C303" s="9" t="s">
        <v>265</v>
      </c>
    </row>
    <row r="304" spans="1:3" x14ac:dyDescent="0.25">
      <c r="A304" t="s">
        <v>319</v>
      </c>
      <c r="B304" s="18">
        <v>41681.718472222223</v>
      </c>
      <c r="C304" t="s">
        <v>320</v>
      </c>
    </row>
    <row r="305" spans="1:3" x14ac:dyDescent="0.25">
      <c r="A305" t="s">
        <v>323</v>
      </c>
      <c r="B305" s="18">
        <v>41681.718472222223</v>
      </c>
      <c r="C305" t="s">
        <v>324</v>
      </c>
    </row>
    <row r="306" spans="1:3" x14ac:dyDescent="0.25">
      <c r="A306" t="s">
        <v>268</v>
      </c>
      <c r="B306" s="18">
        <v>41681.718449074076</v>
      </c>
      <c r="C306" t="s">
        <v>269</v>
      </c>
    </row>
    <row r="307" spans="1:3" x14ac:dyDescent="0.25">
      <c r="A307" t="s">
        <v>280</v>
      </c>
      <c r="B307" s="18">
        <v>41681.718449074076</v>
      </c>
      <c r="C307" t="s">
        <v>281</v>
      </c>
    </row>
    <row r="308" spans="1:3" x14ac:dyDescent="0.25">
      <c r="A308" t="s">
        <v>286</v>
      </c>
      <c r="B308" s="18">
        <v>41681.718449074076</v>
      </c>
      <c r="C308" t="s">
        <v>287</v>
      </c>
    </row>
    <row r="309" spans="1:3" x14ac:dyDescent="0.25">
      <c r="A309" s="12" t="s">
        <v>294</v>
      </c>
      <c r="B309" s="10">
        <v>41681.718449074076</v>
      </c>
      <c r="C309" s="9" t="s">
        <v>295</v>
      </c>
    </row>
    <row r="310" spans="1:3" x14ac:dyDescent="0.25">
      <c r="A310" t="s">
        <v>296</v>
      </c>
      <c r="B310" s="18">
        <v>41681.718449074076</v>
      </c>
      <c r="C310" t="s">
        <v>297</v>
      </c>
    </row>
    <row r="311" spans="1:3" x14ac:dyDescent="0.25">
      <c r="A311" t="s">
        <v>298</v>
      </c>
      <c r="B311" s="18">
        <v>41681.718449074076</v>
      </c>
      <c r="C311" t="s">
        <v>299</v>
      </c>
    </row>
    <row r="312" spans="1:3" x14ac:dyDescent="0.25">
      <c r="A312" t="s">
        <v>300</v>
      </c>
      <c r="B312" s="18">
        <v>41681.718449074076</v>
      </c>
      <c r="C312" t="s">
        <v>301</v>
      </c>
    </row>
    <row r="313" spans="1:3" x14ac:dyDescent="0.25">
      <c r="A313" t="s">
        <v>302</v>
      </c>
      <c r="B313" s="20">
        <v>41681.718449074076</v>
      </c>
      <c r="C313" s="19" t="s">
        <v>303</v>
      </c>
    </row>
    <row r="314" spans="1:3" x14ac:dyDescent="0.25">
      <c r="A314" t="s">
        <v>304</v>
      </c>
      <c r="B314" s="20">
        <v>41681.718449074076</v>
      </c>
      <c r="C314" s="19" t="s">
        <v>305</v>
      </c>
    </row>
    <row r="315" spans="1:3" x14ac:dyDescent="0.25">
      <c r="A315" t="s">
        <v>306</v>
      </c>
      <c r="B315" s="20">
        <v>41681.718449074076</v>
      </c>
      <c r="C315" s="19" t="s">
        <v>307</v>
      </c>
    </row>
    <row r="316" spans="1:3" x14ac:dyDescent="0.25">
      <c r="A316" t="s">
        <v>65</v>
      </c>
      <c r="B316" s="18">
        <v>40632.705358796295</v>
      </c>
      <c r="C316" t="s">
        <v>66</v>
      </c>
    </row>
    <row r="317" spans="1:3" x14ac:dyDescent="0.25">
      <c r="A317" t="s">
        <v>288</v>
      </c>
      <c r="B317" s="18">
        <v>40254.943935185183</v>
      </c>
      <c r="C317" t="s">
        <v>289</v>
      </c>
    </row>
  </sheetData>
  <sortState ref="A1:C112">
    <sortCondition descending="1" ref="B1:B11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6"/>
  <sheetViews>
    <sheetView workbookViewId="0">
      <selection activeCell="E7" sqref="E7"/>
    </sheetView>
  </sheetViews>
  <sheetFormatPr defaultRowHeight="15" x14ac:dyDescent="0.25"/>
  <cols>
    <col min="2" max="2" width="29.85546875" bestFit="1" customWidth="1"/>
  </cols>
  <sheetData>
    <row r="1" spans="1:2" x14ac:dyDescent="0.25">
      <c r="A1" t="s">
        <v>199</v>
      </c>
      <c r="B1" t="s">
        <v>361</v>
      </c>
    </row>
    <row r="2" spans="1:2" x14ac:dyDescent="0.25">
      <c r="A2" t="s">
        <v>48</v>
      </c>
      <c r="B2" t="s">
        <v>362</v>
      </c>
    </row>
    <row r="3" spans="1:2" x14ac:dyDescent="0.25">
      <c r="A3" t="s">
        <v>57</v>
      </c>
      <c r="B3" t="s">
        <v>363</v>
      </c>
    </row>
    <row r="4" spans="1:2" x14ac:dyDescent="0.25">
      <c r="A4" t="s">
        <v>61</v>
      </c>
      <c r="B4" t="s">
        <v>364</v>
      </c>
    </row>
    <row r="5" spans="1:2" x14ac:dyDescent="0.25">
      <c r="A5" t="s">
        <v>217</v>
      </c>
      <c r="B5" t="s">
        <v>365</v>
      </c>
    </row>
    <row r="6" spans="1:2" x14ac:dyDescent="0.25">
      <c r="A6" t="s">
        <v>366</v>
      </c>
      <c r="B6" t="s">
        <v>367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H564"/>
  <sheetViews>
    <sheetView workbookViewId="0">
      <pane ySplit="1" topLeftCell="A2" activePane="bottomLeft" state="frozen"/>
      <selection pane="bottomLeft" activeCell="I8" sqref="I8"/>
    </sheetView>
  </sheetViews>
  <sheetFormatPr defaultRowHeight="15" x14ac:dyDescent="0.25"/>
  <cols>
    <col min="1" max="1" width="28.42578125" bestFit="1" customWidth="1"/>
    <col min="2" max="2" width="21.28515625" customWidth="1"/>
    <col min="3" max="3" width="38.42578125" customWidth="1"/>
    <col min="4" max="4" width="47.7109375" customWidth="1"/>
  </cols>
  <sheetData>
    <row r="1" spans="1:5" x14ac:dyDescent="0.25">
      <c r="A1" s="49" t="s">
        <v>1443</v>
      </c>
      <c r="B1" s="49" t="s">
        <v>1444</v>
      </c>
      <c r="C1" s="50" t="s">
        <v>1445</v>
      </c>
    </row>
    <row r="2" spans="1:5" x14ac:dyDescent="0.25">
      <c r="A2" s="51" t="s">
        <v>1446</v>
      </c>
      <c r="B2" s="51" t="s">
        <v>404</v>
      </c>
      <c r="C2" s="52" t="s">
        <v>1447</v>
      </c>
      <c r="D2" t="s">
        <v>2954</v>
      </c>
      <c r="E2" t="str">
        <f>CONCATENATE(C2,";",D2)</f>
        <v xml:space="preserve">blr-koramangala-branch@ujjivan.com;helpdesk@ujjivan.com; </v>
      </c>
    </row>
    <row r="3" spans="1:5" x14ac:dyDescent="0.25">
      <c r="A3" s="51" t="s">
        <v>1448</v>
      </c>
      <c r="B3" s="51" t="s">
        <v>408</v>
      </c>
      <c r="C3" s="52" t="s">
        <v>1449</v>
      </c>
      <c r="D3" t="s">
        <v>2954</v>
      </c>
      <c r="E3" t="str">
        <f t="shared" ref="E3:E66" si="0">CONCATENATE(C3,";",D3)</f>
        <v xml:space="preserve">blr-yeshwanthpur-branch@ujjivan.com;helpdesk@ujjivan.com; </v>
      </c>
    </row>
    <row r="4" spans="1:5" x14ac:dyDescent="0.25">
      <c r="A4" s="51" t="s">
        <v>1450</v>
      </c>
      <c r="B4" s="51" t="s">
        <v>410</v>
      </c>
      <c r="C4" s="52" t="s">
        <v>1451</v>
      </c>
      <c r="D4" t="s">
        <v>2954</v>
      </c>
      <c r="E4" t="str">
        <f t="shared" si="0"/>
        <v xml:space="preserve">blr-magadird-branch@ujjivan.com;helpdesk@ujjivan.com; </v>
      </c>
    </row>
    <row r="5" spans="1:5" x14ac:dyDescent="0.25">
      <c r="A5" s="51" t="s">
        <v>1452</v>
      </c>
      <c r="B5" s="51" t="s">
        <v>412</v>
      </c>
      <c r="C5" s="52" t="s">
        <v>1453</v>
      </c>
      <c r="D5" t="s">
        <v>2954</v>
      </c>
      <c r="E5" t="str">
        <f t="shared" si="0"/>
        <v xml:space="preserve">blr-kavalbyrasandra-branch@ujjivan.com;helpdesk@ujjivan.com; </v>
      </c>
    </row>
    <row r="6" spans="1:5" x14ac:dyDescent="0.25">
      <c r="A6" s="51" t="s">
        <v>1454</v>
      </c>
      <c r="B6" s="51" t="s">
        <v>415</v>
      </c>
      <c r="C6" s="52" t="s">
        <v>1455</v>
      </c>
      <c r="D6" t="s">
        <v>2954</v>
      </c>
      <c r="E6" t="str">
        <f t="shared" si="0"/>
        <v xml:space="preserve">blr-hal-branch@ujjivan.com;helpdesk@ujjivan.com; </v>
      </c>
    </row>
    <row r="7" spans="1:5" x14ac:dyDescent="0.25">
      <c r="A7" s="51" t="s">
        <v>1456</v>
      </c>
      <c r="B7" s="51" t="s">
        <v>417</v>
      </c>
      <c r="C7" s="52" t="s">
        <v>1457</v>
      </c>
      <c r="D7" t="s">
        <v>2954</v>
      </c>
      <c r="E7" t="str">
        <f t="shared" si="0"/>
        <v xml:space="preserve">blr-chamarajpet-branch@ujjivan.com;helpdesk@ujjivan.com; </v>
      </c>
    </row>
    <row r="8" spans="1:5" x14ac:dyDescent="0.25">
      <c r="A8" s="51" t="s">
        <v>1458</v>
      </c>
      <c r="B8" s="51" t="s">
        <v>419</v>
      </c>
      <c r="C8" s="52" t="s">
        <v>1459</v>
      </c>
      <c r="D8" t="s">
        <v>2954</v>
      </c>
      <c r="E8" t="str">
        <f t="shared" si="0"/>
        <v xml:space="preserve">blr-lingarajpuram-branch@ujjivan.com;helpdesk@ujjivan.com; </v>
      </c>
    </row>
    <row r="9" spans="1:5" x14ac:dyDescent="0.25">
      <c r="A9" s="51" t="s">
        <v>1460</v>
      </c>
      <c r="B9" s="51" t="s">
        <v>421</v>
      </c>
      <c r="C9" s="52" t="s">
        <v>1461</v>
      </c>
      <c r="D9" t="s">
        <v>2954</v>
      </c>
      <c r="E9" t="str">
        <f t="shared" si="0"/>
        <v xml:space="preserve">blr-whitefield-branch@ujjivan.com;helpdesk@ujjivan.com; </v>
      </c>
    </row>
    <row r="10" spans="1:5" x14ac:dyDescent="0.25">
      <c r="A10" s="51" t="s">
        <v>1462</v>
      </c>
      <c r="B10" s="51" t="s">
        <v>422</v>
      </c>
      <c r="C10" s="52" t="s">
        <v>1463</v>
      </c>
      <c r="D10" t="s">
        <v>2954</v>
      </c>
      <c r="E10" t="str">
        <f t="shared" si="0"/>
        <v xml:space="preserve">blr-jakkasandra-branch@ujjivan.com;helpdesk@ujjivan.com; </v>
      </c>
    </row>
    <row r="11" spans="1:5" x14ac:dyDescent="0.25">
      <c r="A11" s="51" t="s">
        <v>1464</v>
      </c>
      <c r="B11" s="51" t="s">
        <v>423</v>
      </c>
      <c r="C11" s="52" t="s">
        <v>1465</v>
      </c>
      <c r="D11" t="s">
        <v>2954</v>
      </c>
      <c r="E11" t="str">
        <f t="shared" si="0"/>
        <v xml:space="preserve">blr-chandralyt-branch@ujjivan.com;helpdesk@ujjivan.com; </v>
      </c>
    </row>
    <row r="12" spans="1:5" x14ac:dyDescent="0.25">
      <c r="A12" s="51" t="s">
        <v>1466</v>
      </c>
      <c r="B12" s="51" t="s">
        <v>424</v>
      </c>
      <c r="C12" s="52" t="s">
        <v>1467</v>
      </c>
      <c r="D12" t="s">
        <v>2954</v>
      </c>
      <c r="E12" t="str">
        <f t="shared" si="0"/>
        <v xml:space="preserve">blr-krpuram-branch@ujjivan.com;helpdesk@ujjivan.com; </v>
      </c>
    </row>
    <row r="13" spans="1:5" x14ac:dyDescent="0.25">
      <c r="A13" s="51" t="s">
        <v>1468</v>
      </c>
      <c r="B13" s="51" t="s">
        <v>425</v>
      </c>
      <c r="C13" s="52" t="s">
        <v>1469</v>
      </c>
      <c r="D13" t="s">
        <v>2954</v>
      </c>
      <c r="E13" t="str">
        <f t="shared" si="0"/>
        <v xml:space="preserve">blr-ramanagar-branch@ujjivan.com;helpdesk@ujjivan.com; </v>
      </c>
    </row>
    <row r="14" spans="1:5" x14ac:dyDescent="0.25">
      <c r="A14" s="51" t="s">
        <v>1470</v>
      </c>
      <c r="B14" s="51" t="s">
        <v>428</v>
      </c>
      <c r="C14" s="52" t="s">
        <v>1471</v>
      </c>
      <c r="D14" t="s">
        <v>2954</v>
      </c>
      <c r="E14" t="str">
        <f t="shared" si="0"/>
        <v xml:space="preserve">blr-peenya-branch@ujjivan.com;helpdesk@ujjivan.com; </v>
      </c>
    </row>
    <row r="15" spans="1:5" x14ac:dyDescent="0.25">
      <c r="A15" s="51" t="s">
        <v>1472</v>
      </c>
      <c r="B15" s="51" t="s">
        <v>430</v>
      </c>
      <c r="C15" s="52" t="s">
        <v>1473</v>
      </c>
      <c r="D15" t="s">
        <v>2954</v>
      </c>
      <c r="E15" t="str">
        <f t="shared" si="0"/>
        <v xml:space="preserve">blr-anekal-branch@ujjivan.com;helpdesk@ujjivan.com; </v>
      </c>
    </row>
    <row r="16" spans="1:5" x14ac:dyDescent="0.25">
      <c r="A16" s="51" t="s">
        <v>1474</v>
      </c>
      <c r="B16" s="51" t="s">
        <v>433</v>
      </c>
      <c r="C16" s="52" t="s">
        <v>1475</v>
      </c>
      <c r="D16" t="s">
        <v>2954</v>
      </c>
      <c r="E16" t="str">
        <f t="shared" si="0"/>
        <v xml:space="preserve">blr-maddur-branch@ujjivan.com;helpdesk@ujjivan.com; </v>
      </c>
    </row>
    <row r="17" spans="1:5" x14ac:dyDescent="0.25">
      <c r="A17" s="51" t="s">
        <v>1476</v>
      </c>
      <c r="B17" s="51" t="s">
        <v>435</v>
      </c>
      <c r="C17" s="52" t="s">
        <v>1477</v>
      </c>
      <c r="D17" t="s">
        <v>2954</v>
      </c>
      <c r="E17" t="str">
        <f t="shared" si="0"/>
        <v xml:space="preserve">blr-brpura-branch@ujjivan.com;helpdesk@ujjivan.com; </v>
      </c>
    </row>
    <row r="18" spans="1:5" x14ac:dyDescent="0.25">
      <c r="A18" s="51" t="s">
        <v>1478</v>
      </c>
      <c r="B18" s="51" t="s">
        <v>436</v>
      </c>
      <c r="C18" s="52" t="s">
        <v>1479</v>
      </c>
      <c r="D18" t="s">
        <v>2954</v>
      </c>
      <c r="E18" t="str">
        <f t="shared" si="0"/>
        <v xml:space="preserve">blr-yelahanka-branch@ujjivan.com;helpdesk@ujjivan.com; </v>
      </c>
    </row>
    <row r="19" spans="1:5" x14ac:dyDescent="0.25">
      <c r="A19" s="51" t="s">
        <v>1480</v>
      </c>
      <c r="B19" s="51" t="s">
        <v>439</v>
      </c>
      <c r="C19" s="52" t="s">
        <v>1481</v>
      </c>
      <c r="D19" t="s">
        <v>2954</v>
      </c>
      <c r="E19" t="str">
        <f t="shared" si="0"/>
        <v xml:space="preserve">blr-channapatna-branch@ujjivan.com;helpdesk@ujjivan.com; </v>
      </c>
    </row>
    <row r="20" spans="1:5" x14ac:dyDescent="0.25">
      <c r="A20" s="51" t="s">
        <v>1482</v>
      </c>
      <c r="B20" s="51" t="s">
        <v>440</v>
      </c>
      <c r="C20" s="52" t="s">
        <v>1483</v>
      </c>
      <c r="D20" t="s">
        <v>2954</v>
      </c>
      <c r="E20" t="str">
        <f t="shared" si="0"/>
        <v xml:space="preserve">blr-chikkaballapur-branch@ujjivan.com;helpdesk@ujjivan.com; </v>
      </c>
    </row>
    <row r="21" spans="1:5" x14ac:dyDescent="0.25">
      <c r="A21" s="51" t="s">
        <v>1484</v>
      </c>
      <c r="B21" s="51" t="s">
        <v>441</v>
      </c>
      <c r="C21" s="52" t="s">
        <v>1485</v>
      </c>
      <c r="D21" t="s">
        <v>2954</v>
      </c>
      <c r="E21" t="str">
        <f t="shared" si="0"/>
        <v xml:space="preserve">blr-uttarahalli-branch@ujjivan.com;helpdesk@ujjivan.com; </v>
      </c>
    </row>
    <row r="22" spans="1:5" x14ac:dyDescent="0.25">
      <c r="A22" s="51" t="s">
        <v>1486</v>
      </c>
      <c r="B22" s="51" t="s">
        <v>442</v>
      </c>
      <c r="C22" s="52" t="s">
        <v>1487</v>
      </c>
      <c r="D22" t="s">
        <v>2954</v>
      </c>
      <c r="E22" t="str">
        <f t="shared" si="0"/>
        <v xml:space="preserve">blr-dharwadnorth-branch@ujjivan;helpdesk@ujjivan.com; </v>
      </c>
    </row>
    <row r="23" spans="1:5" x14ac:dyDescent="0.25">
      <c r="A23" s="51" t="s">
        <v>1488</v>
      </c>
      <c r="B23" s="51" t="s">
        <v>444</v>
      </c>
      <c r="C23" s="52" t="s">
        <v>1489</v>
      </c>
      <c r="D23" t="s">
        <v>2954</v>
      </c>
      <c r="E23" t="str">
        <f t="shared" si="0"/>
        <v xml:space="preserve">blr-hosur-branch@ujjivan.com;helpdesk@ujjivan.com; </v>
      </c>
    </row>
    <row r="24" spans="1:5" x14ac:dyDescent="0.25">
      <c r="A24" s="51" t="s">
        <v>1490</v>
      </c>
      <c r="B24" s="51" t="s">
        <v>1491</v>
      </c>
      <c r="C24" s="52" t="s">
        <v>1492</v>
      </c>
      <c r="D24" t="s">
        <v>2954</v>
      </c>
      <c r="E24" t="str">
        <f t="shared" si="0"/>
        <v xml:space="preserve">blr-hubliold-branch@ujjivan.com;helpdesk@ujjivan.com; </v>
      </c>
    </row>
    <row r="25" spans="1:5" x14ac:dyDescent="0.25">
      <c r="A25" s="51" t="s">
        <v>1493</v>
      </c>
      <c r="B25" s="51" t="s">
        <v>1494</v>
      </c>
      <c r="C25" s="52" t="s">
        <v>1495</v>
      </c>
      <c r="D25" t="s">
        <v>2954</v>
      </c>
      <c r="E25" t="str">
        <f t="shared" si="0"/>
        <v xml:space="preserve">blr-hublinorth-branch@ujjivan.com;helpdesk@ujjivan.com; </v>
      </c>
    </row>
    <row r="26" spans="1:5" x14ac:dyDescent="0.25">
      <c r="A26" s="51" t="s">
        <v>1496</v>
      </c>
      <c r="B26" s="51" t="s">
        <v>1497</v>
      </c>
      <c r="C26" s="52" t="s">
        <v>1457</v>
      </c>
      <c r="D26" t="s">
        <v>2954</v>
      </c>
      <c r="E26" t="str">
        <f t="shared" si="0"/>
        <v xml:space="preserve">blr-chamarajpet-branch@ujjivan.com;helpdesk@ujjivan.com; </v>
      </c>
    </row>
    <row r="27" spans="1:5" x14ac:dyDescent="0.25">
      <c r="A27" s="51" t="s">
        <v>1498</v>
      </c>
      <c r="B27" s="51" t="s">
        <v>849</v>
      </c>
      <c r="C27" s="52" t="s">
        <v>1499</v>
      </c>
      <c r="D27" t="s">
        <v>2954</v>
      </c>
      <c r="E27" t="str">
        <f t="shared" si="0"/>
        <v xml:space="preserve">blr-belgaum-branch@ujjivan.com;helpdesk@ujjivan.com; </v>
      </c>
    </row>
    <row r="28" spans="1:5" x14ac:dyDescent="0.25">
      <c r="A28" s="51" t="s">
        <v>1500</v>
      </c>
      <c r="B28" s="51" t="s">
        <v>1501</v>
      </c>
      <c r="C28" s="52" t="s">
        <v>1502</v>
      </c>
      <c r="D28" t="s">
        <v>2954</v>
      </c>
      <c r="E28" t="str">
        <f t="shared" si="0"/>
        <v xml:space="preserve">blr-siddalghatta-branch@ujjivan.com;helpdesk@ujjivan.com; </v>
      </c>
    </row>
    <row r="29" spans="1:5" x14ac:dyDescent="0.25">
      <c r="A29" s="51" t="s">
        <v>1503</v>
      </c>
      <c r="B29" s="51" t="s">
        <v>448</v>
      </c>
      <c r="C29" s="52" t="s">
        <v>1504</v>
      </c>
      <c r="D29" t="s">
        <v>2954</v>
      </c>
      <c r="E29" t="str">
        <f t="shared" si="0"/>
        <v xml:space="preserve">tn-krishnagiri-branch@ujjivan.com;helpdesk@ujjivan.com; </v>
      </c>
    </row>
    <row r="30" spans="1:5" x14ac:dyDescent="0.25">
      <c r="A30" s="51" t="s">
        <v>1505</v>
      </c>
      <c r="B30" s="51" t="s">
        <v>449</v>
      </c>
      <c r="C30" s="52" t="s">
        <v>1506</v>
      </c>
      <c r="D30" t="s">
        <v>2954</v>
      </c>
      <c r="E30" t="str">
        <f t="shared" si="0"/>
        <v xml:space="preserve">blr-haveri-branch@ujjivan.com;helpdesk@ujjivan.com; </v>
      </c>
    </row>
    <row r="31" spans="1:5" x14ac:dyDescent="0.25">
      <c r="A31" s="51" t="s">
        <v>1507</v>
      </c>
      <c r="B31" s="51" t="s">
        <v>451</v>
      </c>
      <c r="C31" s="52" t="s">
        <v>1508</v>
      </c>
      <c r="D31" t="s">
        <v>2954</v>
      </c>
      <c r="E31" t="str">
        <f t="shared" si="0"/>
        <v xml:space="preserve">blr-davangeresouth-branch@ujjivan.com;helpdesk@ujjivan.com; </v>
      </c>
    </row>
    <row r="32" spans="1:5" x14ac:dyDescent="0.25">
      <c r="A32" s="51" t="s">
        <v>1509</v>
      </c>
      <c r="B32" s="51" t="s">
        <v>452</v>
      </c>
      <c r="C32" s="52" t="s">
        <v>1510</v>
      </c>
      <c r="D32" t="s">
        <v>2954</v>
      </c>
      <c r="E32" t="str">
        <f t="shared" si="0"/>
        <v xml:space="preserve">blr-tumkur-branch@ujjivan.com;helpdesk@ujjivan.com; </v>
      </c>
    </row>
    <row r="33" spans="1:5" x14ac:dyDescent="0.25">
      <c r="A33" s="51" t="s">
        <v>1511</v>
      </c>
      <c r="B33" s="51" t="s">
        <v>454</v>
      </c>
      <c r="C33" s="52" t="s">
        <v>1512</v>
      </c>
      <c r="D33" t="s">
        <v>2954</v>
      </c>
      <c r="E33" t="str">
        <f t="shared" si="0"/>
        <v xml:space="preserve">blr-chitradurga-branch@ujjivan.com;helpdesk@ujjivan.com; </v>
      </c>
    </row>
    <row r="34" spans="1:5" x14ac:dyDescent="0.25">
      <c r="A34" s="51" t="s">
        <v>1513</v>
      </c>
      <c r="B34" s="51" t="s">
        <v>457</v>
      </c>
      <c r="C34" s="52" t="s">
        <v>1514</v>
      </c>
      <c r="D34" t="s">
        <v>2954</v>
      </c>
      <c r="E34" t="str">
        <f t="shared" si="0"/>
        <v xml:space="preserve">tn-tirupathur-branch@ujjivan.com;helpdesk@ujjivan.com; </v>
      </c>
    </row>
    <row r="35" spans="1:5" x14ac:dyDescent="0.25">
      <c r="A35" s="51" t="s">
        <v>1515</v>
      </c>
      <c r="B35" s="51" t="s">
        <v>1516</v>
      </c>
      <c r="C35" s="52" t="s">
        <v>1461</v>
      </c>
      <c r="D35" t="s">
        <v>2954</v>
      </c>
      <c r="E35" t="str">
        <f t="shared" si="0"/>
        <v xml:space="preserve">blr-whitefield-branch@ujjivan.com;helpdesk@ujjivan.com; </v>
      </c>
    </row>
    <row r="36" spans="1:5" x14ac:dyDescent="0.25">
      <c r="A36" s="51" t="s">
        <v>1517</v>
      </c>
      <c r="B36" s="51" t="s">
        <v>1518</v>
      </c>
      <c r="C36" s="52" t="s">
        <v>1519</v>
      </c>
      <c r="D36" t="s">
        <v>2954</v>
      </c>
      <c r="E36" t="str">
        <f t="shared" si="0"/>
        <v xml:space="preserve">blr-davangerenorth-branch@ujjivan.com;helpdesk@ujjivan.com; </v>
      </c>
    </row>
    <row r="37" spans="1:5" x14ac:dyDescent="0.25">
      <c r="A37" s="51" t="s">
        <v>1520</v>
      </c>
      <c r="B37" s="51" t="s">
        <v>458</v>
      </c>
      <c r="C37" s="52" t="s">
        <v>1521</v>
      </c>
      <c r="D37" t="s">
        <v>2954</v>
      </c>
      <c r="E37" t="str">
        <f t="shared" si="0"/>
        <v xml:space="preserve">blr-gowribidanur-branch@ujjivan.com;helpdesk@ujjivan.com; </v>
      </c>
    </row>
    <row r="38" spans="1:5" x14ac:dyDescent="0.25">
      <c r="A38" s="51" t="s">
        <v>1522</v>
      </c>
      <c r="B38" s="51" t="s">
        <v>460</v>
      </c>
      <c r="C38" s="52" t="s">
        <v>1523</v>
      </c>
      <c r="D38" t="s">
        <v>2954</v>
      </c>
      <c r="E38" t="str">
        <f t="shared" si="0"/>
        <v xml:space="preserve">blr-shimoga-branch@ujjivan.com;helpdesk@ujjivan.com; </v>
      </c>
    </row>
    <row r="39" spans="1:5" x14ac:dyDescent="0.25">
      <c r="A39" s="51" t="s">
        <v>1524</v>
      </c>
      <c r="B39" s="51" t="s">
        <v>1525</v>
      </c>
      <c r="C39" s="52" t="s">
        <v>1526</v>
      </c>
      <c r="D39" t="s">
        <v>2954</v>
      </c>
      <c r="E39" t="str">
        <f t="shared" si="0"/>
        <v xml:space="preserve">blr-kothanur-branch@ujjivan.com;helpdesk@ujjivan.com; </v>
      </c>
    </row>
    <row r="40" spans="1:5" x14ac:dyDescent="0.25">
      <c r="A40" s="51" t="s">
        <v>1527</v>
      </c>
      <c r="B40" s="51" t="s">
        <v>462</v>
      </c>
      <c r="C40" s="52" t="s">
        <v>1528</v>
      </c>
      <c r="D40" t="s">
        <v>2954</v>
      </c>
      <c r="E40" t="str">
        <f t="shared" si="0"/>
        <v xml:space="preserve">blr-harihara-branch@ujjivan.com;helpdesk@ujjivan.com; </v>
      </c>
    </row>
    <row r="41" spans="1:5" x14ac:dyDescent="0.25">
      <c r="A41" s="51" t="s">
        <v>1529</v>
      </c>
      <c r="B41" s="51" t="s">
        <v>463</v>
      </c>
      <c r="C41" s="52" t="s">
        <v>1530</v>
      </c>
      <c r="D41" t="s">
        <v>2954</v>
      </c>
      <c r="E41" t="str">
        <f t="shared" si="0"/>
        <v xml:space="preserve">blr-mysorebrindavan-branch@ujjivan.com;helpdesk@ujjivan.com; </v>
      </c>
    </row>
    <row r="42" spans="1:5" x14ac:dyDescent="0.25">
      <c r="A42" s="51" t="s">
        <v>1531</v>
      </c>
      <c r="B42" s="51" t="s">
        <v>467</v>
      </c>
      <c r="C42" s="52" t="s">
        <v>1532</v>
      </c>
      <c r="D42" t="s">
        <v>2954</v>
      </c>
      <c r="E42" t="str">
        <f t="shared" si="0"/>
        <v xml:space="preserve">blr-bhadravathi-branch@ujjivan.com;helpdesk@ujjivan.com; </v>
      </c>
    </row>
    <row r="43" spans="1:5" x14ac:dyDescent="0.25">
      <c r="A43" s="51" t="s">
        <v>1533</v>
      </c>
      <c r="B43" s="51" t="s">
        <v>468</v>
      </c>
      <c r="C43" s="52" t="s">
        <v>1534</v>
      </c>
      <c r="D43" t="s">
        <v>2954</v>
      </c>
      <c r="E43" t="str">
        <f t="shared" si="0"/>
        <v xml:space="preserve">blr-tiptur-branch@ujjivan.com;helpdesk@ujjivan.com; </v>
      </c>
    </row>
    <row r="44" spans="1:5" x14ac:dyDescent="0.25">
      <c r="A44" s="51" t="s">
        <v>1535</v>
      </c>
      <c r="B44" s="51" t="s">
        <v>469</v>
      </c>
      <c r="C44" s="52" t="s">
        <v>1536</v>
      </c>
      <c r="D44" t="s">
        <v>2954</v>
      </c>
      <c r="E44" t="str">
        <f t="shared" si="0"/>
        <v xml:space="preserve">blr-gadag-branch@ujjivan.com;helpdesk@ujjivan.com; </v>
      </c>
    </row>
    <row r="45" spans="1:5" x14ac:dyDescent="0.25">
      <c r="A45" s="51" t="s">
        <v>1537</v>
      </c>
      <c r="B45" s="51" t="s">
        <v>472</v>
      </c>
      <c r="C45" s="52" t="s">
        <v>1538</v>
      </c>
      <c r="D45" t="s">
        <v>2954</v>
      </c>
      <c r="E45" t="str">
        <f t="shared" si="0"/>
        <v xml:space="preserve">blr-dharmapuri-branch@ujjivan.com;helpdesk@ujjivan.com; </v>
      </c>
    </row>
    <row r="46" spans="1:5" x14ac:dyDescent="0.25">
      <c r="A46" s="51" t="s">
        <v>1539</v>
      </c>
      <c r="B46" s="51" t="s">
        <v>474</v>
      </c>
      <c r="C46" s="52" t="s">
        <v>1540</v>
      </c>
      <c r="D46" t="s">
        <v>2954</v>
      </c>
      <c r="E46" t="str">
        <f t="shared" si="0"/>
        <v xml:space="preserve">blr-chintamani-branch@ujjivan.com;helpdesk@ujjivan.com; </v>
      </c>
    </row>
    <row r="47" spans="1:5" x14ac:dyDescent="0.25">
      <c r="A47" s="51" t="s">
        <v>1541</v>
      </c>
      <c r="B47" s="51" t="s">
        <v>1542</v>
      </c>
      <c r="C47" s="52" t="s">
        <v>1543</v>
      </c>
      <c r="D47" t="s">
        <v>2954</v>
      </c>
      <c r="E47" t="str">
        <f t="shared" si="0"/>
        <v xml:space="preserve">blr-hosuruuvadi-branch@ujjivan.com;helpdesk@ujjivan.com; </v>
      </c>
    </row>
    <row r="48" spans="1:5" x14ac:dyDescent="0.25">
      <c r="A48" s="51" t="s">
        <v>1544</v>
      </c>
      <c r="B48" s="51" t="s">
        <v>1542</v>
      </c>
      <c r="C48" s="52" t="s">
        <v>1545</v>
      </c>
      <c r="D48" t="s">
        <v>2954</v>
      </c>
      <c r="E48" t="str">
        <f t="shared" si="0"/>
        <v xml:space="preserve">blr-hosurzuzuvadi-branch@ujjivan.com;helpdesk@ujjivan.com; </v>
      </c>
    </row>
    <row r="49" spans="1:5" x14ac:dyDescent="0.25">
      <c r="A49" s="51" t="s">
        <v>1546</v>
      </c>
      <c r="B49" s="51" t="s">
        <v>1547</v>
      </c>
      <c r="C49" s="52" t="s">
        <v>1548</v>
      </c>
      <c r="D49" t="s">
        <v>2954</v>
      </c>
      <c r="E49" t="str">
        <f t="shared" si="0"/>
        <v xml:space="preserve">blr-mysorechamundi-branch@ujjivan.com;helpdesk@ujjivan.com; </v>
      </c>
    </row>
    <row r="50" spans="1:5" x14ac:dyDescent="0.25">
      <c r="A50" s="51" t="s">
        <v>1549</v>
      </c>
      <c r="B50" s="51" t="s">
        <v>477</v>
      </c>
      <c r="C50" s="52" t="s">
        <v>1550</v>
      </c>
      <c r="D50" t="s">
        <v>2954</v>
      </c>
      <c r="E50" t="str">
        <f t="shared" si="0"/>
        <v xml:space="preserve">blr-devaiahpark-branch@ujjivan.com;helpdesk@ujjivan.com; </v>
      </c>
    </row>
    <row r="51" spans="1:5" x14ac:dyDescent="0.25">
      <c r="A51" s="51" t="s">
        <v>1551</v>
      </c>
      <c r="B51" s="51" t="s">
        <v>478</v>
      </c>
      <c r="C51" s="52" t="s">
        <v>1552</v>
      </c>
      <c r="D51" t="s">
        <v>2954</v>
      </c>
      <c r="E51" t="str">
        <f t="shared" si="0"/>
        <v xml:space="preserve">blr-challakere-branch@ujjivan.com;helpdesk@ujjivan.com; </v>
      </c>
    </row>
    <row r="52" spans="1:5" x14ac:dyDescent="0.25">
      <c r="A52" s="51" t="s">
        <v>1553</v>
      </c>
      <c r="B52" s="51" t="s">
        <v>850</v>
      </c>
      <c r="C52" s="52" t="s">
        <v>1554</v>
      </c>
      <c r="D52" t="s">
        <v>2954</v>
      </c>
      <c r="E52" t="str">
        <f t="shared" si="0"/>
        <v xml:space="preserve">tn-vaniambadi-branch@ujjivan.com;helpdesk@ujjivan.com; </v>
      </c>
    </row>
    <row r="53" spans="1:5" x14ac:dyDescent="0.25">
      <c r="A53" s="51" t="s">
        <v>1555</v>
      </c>
      <c r="B53" s="51" t="s">
        <v>479</v>
      </c>
      <c r="C53" s="52" t="s">
        <v>1556</v>
      </c>
      <c r="D53" t="s">
        <v>2954</v>
      </c>
      <c r="E53" t="str">
        <f t="shared" si="0"/>
        <v xml:space="preserve">blr-nanjangud-branch@ujjivan.com;helpdesk@ujjivan.com; </v>
      </c>
    </row>
    <row r="54" spans="1:5" x14ac:dyDescent="0.25">
      <c r="A54" s="51" t="s">
        <v>1557</v>
      </c>
      <c r="B54" s="51" t="s">
        <v>1558</v>
      </c>
      <c r="C54" s="52" t="s">
        <v>1559</v>
      </c>
      <c r="D54" t="s">
        <v>2954</v>
      </c>
      <c r="E54" t="str">
        <f t="shared" si="0"/>
        <v xml:space="preserve">blr-indus-branch@ujjivan.com;helpdesk@ujjivan.com; </v>
      </c>
    </row>
    <row r="55" spans="1:5" x14ac:dyDescent="0.25">
      <c r="A55" s="51" t="s">
        <v>1560</v>
      </c>
      <c r="B55" s="51" t="s">
        <v>481</v>
      </c>
      <c r="C55" s="52" t="s">
        <v>1561</v>
      </c>
      <c r="D55" t="s">
        <v>2954</v>
      </c>
      <c r="E55" t="str">
        <f t="shared" si="0"/>
        <v xml:space="preserve">tn-palacode-branch@ujjivan.com;helpdesk@ujjivan.com; </v>
      </c>
    </row>
    <row r="56" spans="1:5" x14ac:dyDescent="0.25">
      <c r="A56" s="51" t="s">
        <v>1562</v>
      </c>
      <c r="B56" s="51" t="s">
        <v>482</v>
      </c>
      <c r="C56" s="52" t="s">
        <v>1563</v>
      </c>
      <c r="D56" t="s">
        <v>2954</v>
      </c>
      <c r="E56" t="str">
        <f t="shared" si="0"/>
        <v xml:space="preserve">blr-sira-branch@ujjivan.com;helpdesk@ujjivan.com; </v>
      </c>
    </row>
    <row r="57" spans="1:5" x14ac:dyDescent="0.25">
      <c r="A57" s="51" t="s">
        <v>1564</v>
      </c>
      <c r="B57" s="51" t="s">
        <v>1565</v>
      </c>
      <c r="C57" s="52" t="s">
        <v>1566</v>
      </c>
      <c r="D57" t="s">
        <v>2954</v>
      </c>
      <c r="E57" t="str">
        <f t="shared" si="0"/>
        <v xml:space="preserve">helpdesk@ujjivan.com;helpdesk@ujjivan.com; </v>
      </c>
    </row>
    <row r="58" spans="1:5" x14ac:dyDescent="0.25">
      <c r="A58" s="51" t="s">
        <v>1567</v>
      </c>
      <c r="B58" s="51" t="s">
        <v>1565</v>
      </c>
      <c r="C58" s="52" t="s">
        <v>1566</v>
      </c>
      <c r="D58" t="s">
        <v>2954</v>
      </c>
      <c r="E58" t="str">
        <f t="shared" si="0"/>
        <v xml:space="preserve">helpdesk@ujjivan.com;helpdesk@ujjivan.com; </v>
      </c>
    </row>
    <row r="59" spans="1:5" x14ac:dyDescent="0.25">
      <c r="A59" s="51" t="s">
        <v>1568</v>
      </c>
      <c r="B59" s="51" t="s">
        <v>1569</v>
      </c>
      <c r="C59" s="52" t="s">
        <v>1566</v>
      </c>
      <c r="D59" t="s">
        <v>2954</v>
      </c>
      <c r="E59" t="str">
        <f t="shared" si="0"/>
        <v xml:space="preserve">helpdesk@ujjivan.com;helpdesk@ujjivan.com; </v>
      </c>
    </row>
    <row r="60" spans="1:5" x14ac:dyDescent="0.25">
      <c r="A60" s="51" t="s">
        <v>1570</v>
      </c>
      <c r="B60" s="51" t="s">
        <v>1569</v>
      </c>
      <c r="C60" s="52" t="s">
        <v>1566</v>
      </c>
      <c r="D60" t="s">
        <v>2954</v>
      </c>
      <c r="E60" t="str">
        <f t="shared" si="0"/>
        <v xml:space="preserve">helpdesk@ujjivan.com;helpdesk@ujjivan.com; </v>
      </c>
    </row>
    <row r="61" spans="1:5" x14ac:dyDescent="0.25">
      <c r="A61" s="51" t="s">
        <v>1571</v>
      </c>
      <c r="B61" s="51" t="s">
        <v>1572</v>
      </c>
      <c r="C61" s="52" t="s">
        <v>1573</v>
      </c>
      <c r="D61" t="s">
        <v>2954</v>
      </c>
      <c r="E61" t="str">
        <f t="shared" si="0"/>
        <v xml:space="preserve">blr-ranebennur-branch@ujjivan.com;helpdesk@ujjivan.com; </v>
      </c>
    </row>
    <row r="62" spans="1:5" x14ac:dyDescent="0.25">
      <c r="A62" s="51" t="s">
        <v>1574</v>
      </c>
      <c r="B62" s="51" t="s">
        <v>485</v>
      </c>
      <c r="C62" s="52" t="s">
        <v>1575</v>
      </c>
      <c r="D62" t="s">
        <v>2954</v>
      </c>
      <c r="E62" t="str">
        <f t="shared" si="0"/>
        <v xml:space="preserve">blr-dommasandra-branch@ujjivan.com;helpdesk@ujjivan.com; </v>
      </c>
    </row>
    <row r="63" spans="1:5" x14ac:dyDescent="0.25">
      <c r="A63" s="51" t="s">
        <v>1576</v>
      </c>
      <c r="B63" s="51" t="s">
        <v>486</v>
      </c>
      <c r="C63" s="52" t="s">
        <v>1577</v>
      </c>
      <c r="D63" t="s">
        <v>2954</v>
      </c>
      <c r="E63" t="str">
        <f t="shared" si="0"/>
        <v xml:space="preserve">blr-bailhongal-branch@ujjivan.com;helpdesk@ujjivan.com; </v>
      </c>
    </row>
    <row r="64" spans="1:5" x14ac:dyDescent="0.25">
      <c r="A64" s="51" t="s">
        <v>1578</v>
      </c>
      <c r="B64" s="51" t="s">
        <v>488</v>
      </c>
      <c r="C64" s="52" t="s">
        <v>1579</v>
      </c>
      <c r="D64" t="s">
        <v>2954</v>
      </c>
      <c r="E64" t="str">
        <f t="shared" si="0"/>
        <v xml:space="preserve">blr-gokak-branch@ujjivan.com;helpdesk@ujjivan.com; </v>
      </c>
    </row>
    <row r="65" spans="1:5" x14ac:dyDescent="0.25">
      <c r="A65" s="51" t="s">
        <v>1580</v>
      </c>
      <c r="B65" s="51" t="s">
        <v>1581</v>
      </c>
      <c r="C65" s="52" t="s">
        <v>1582</v>
      </c>
      <c r="D65" t="s">
        <v>2954</v>
      </c>
      <c r="E65" t="str">
        <f t="shared" si="0"/>
        <v xml:space="preserve">TN-GUDIYATHAM-BRANCH@UJJIVAN.COM;helpdesk@ujjivan.com; </v>
      </c>
    </row>
    <row r="66" spans="1:5" x14ac:dyDescent="0.25">
      <c r="A66" s="51" t="s">
        <v>1583</v>
      </c>
      <c r="B66" s="51" t="s">
        <v>1584</v>
      </c>
      <c r="C66" s="52" t="s">
        <v>1585</v>
      </c>
      <c r="D66" t="s">
        <v>2954</v>
      </c>
      <c r="E66" t="str">
        <f t="shared" si="0"/>
        <v xml:space="preserve">tn-ambur-branch@ujjivan.com;helpdesk@ujjivan.com; </v>
      </c>
    </row>
    <row r="67" spans="1:5" x14ac:dyDescent="0.25">
      <c r="A67" s="51" t="s">
        <v>1586</v>
      </c>
      <c r="B67" s="51" t="s">
        <v>490</v>
      </c>
      <c r="C67" s="52" t="s">
        <v>1587</v>
      </c>
      <c r="D67" t="s">
        <v>2954</v>
      </c>
      <c r="E67" t="str">
        <f t="shared" ref="E67:E130" si="1">CONCATENATE(C67,";",D67)</f>
        <v xml:space="preserve">blr-athani-branch@ujjivan.com;helpdesk@ujjivan.com; </v>
      </c>
    </row>
    <row r="68" spans="1:5" x14ac:dyDescent="0.25">
      <c r="A68" s="51" t="s">
        <v>1588</v>
      </c>
      <c r="B68" s="51" t="s">
        <v>1589</v>
      </c>
      <c r="C68" s="52" t="s">
        <v>1590</v>
      </c>
      <c r="D68" t="s">
        <v>2954</v>
      </c>
      <c r="E68" t="str">
        <f t="shared" si="1"/>
        <v xml:space="preserve">tn-vellorefort-branch@ujjivan.com;helpdesk@ujjivan.com; </v>
      </c>
    </row>
    <row r="69" spans="1:5" x14ac:dyDescent="0.25">
      <c r="A69" s="51" t="s">
        <v>1591</v>
      </c>
      <c r="B69" s="51" t="s">
        <v>1592</v>
      </c>
      <c r="C69" s="52" t="s">
        <v>1593</v>
      </c>
      <c r="D69" t="s">
        <v>2954</v>
      </c>
      <c r="E69" t="str">
        <f t="shared" si="1"/>
        <v xml:space="preserve">tn-vellorekatpadi-branch@ujjivan.com;helpdesk@ujjivan.com; </v>
      </c>
    </row>
    <row r="70" spans="1:5" x14ac:dyDescent="0.25">
      <c r="A70" s="51" t="s">
        <v>1594</v>
      </c>
      <c r="B70" s="51" t="s">
        <v>491</v>
      </c>
      <c r="C70" s="52" t="s">
        <v>1595</v>
      </c>
      <c r="D70" t="s">
        <v>2954</v>
      </c>
      <c r="E70" t="str">
        <f t="shared" si="1"/>
        <v xml:space="preserve">blr-chikbannavara-branch@ujjivan.com;helpdesk@ujjivan.com; </v>
      </c>
    </row>
    <row r="71" spans="1:5" x14ac:dyDescent="0.25">
      <c r="A71" s="51" t="s">
        <v>1596</v>
      </c>
      <c r="B71" s="51" t="s">
        <v>492</v>
      </c>
      <c r="C71" s="52" t="s">
        <v>1597</v>
      </c>
      <c r="D71" t="s">
        <v>2954</v>
      </c>
      <c r="E71" t="str">
        <f t="shared" si="1"/>
        <v xml:space="preserve">tn-erode-branch@ujjivan.com ;helpdesk@ujjivan.com; </v>
      </c>
    </row>
    <row r="72" spans="1:5" x14ac:dyDescent="0.25">
      <c r="A72" s="51" t="s">
        <v>1598</v>
      </c>
      <c r="B72" s="51" t="s">
        <v>494</v>
      </c>
      <c r="C72" s="52" t="s">
        <v>1599</v>
      </c>
      <c r="D72" t="s">
        <v>2954</v>
      </c>
      <c r="E72" t="str">
        <f t="shared" si="1"/>
        <v xml:space="preserve">tn-thiruvanamalai-branch@ujjivan.com;helpdesk@ujjivan.com; </v>
      </c>
    </row>
    <row r="73" spans="1:5" x14ac:dyDescent="0.25">
      <c r="A73" s="51" t="s">
        <v>1600</v>
      </c>
      <c r="B73" s="51" t="s">
        <v>495</v>
      </c>
      <c r="C73" s="52" t="s">
        <v>1601</v>
      </c>
      <c r="D73" t="s">
        <v>2954</v>
      </c>
      <c r="E73" t="str">
        <f t="shared" si="1"/>
        <v xml:space="preserve">tn-rspuram.coimbatore-branch@ujjivan.com;helpdesk@ujjivan.com; </v>
      </c>
    </row>
    <row r="74" spans="1:5" x14ac:dyDescent="0.25">
      <c r="A74" t="s">
        <v>1602</v>
      </c>
      <c r="B74" s="51" t="s">
        <v>495</v>
      </c>
      <c r="C74" t="s">
        <v>1601</v>
      </c>
      <c r="D74" t="s">
        <v>2954</v>
      </c>
      <c r="E74" t="str">
        <f t="shared" si="1"/>
        <v xml:space="preserve">tn-rspuram.coimbatore-branch@ujjivan.com;helpdesk@ujjivan.com; </v>
      </c>
    </row>
    <row r="75" spans="1:5" x14ac:dyDescent="0.25">
      <c r="A75" s="51" t="s">
        <v>1603</v>
      </c>
      <c r="B75" s="51" t="s">
        <v>499</v>
      </c>
      <c r="C75" s="52" t="s">
        <v>1604</v>
      </c>
      <c r="D75" t="s">
        <v>2954</v>
      </c>
      <c r="E75" t="str">
        <f t="shared" si="1"/>
        <v xml:space="preserve">tn-salem.suramangalam-branch@ujjivan.com;helpdesk@ujjivan.com; </v>
      </c>
    </row>
    <row r="76" spans="1:5" x14ac:dyDescent="0.25">
      <c r="A76" s="51" t="s">
        <v>1605</v>
      </c>
      <c r="B76" s="51" t="s">
        <v>500</v>
      </c>
      <c r="C76" s="52" t="s">
        <v>1606</v>
      </c>
      <c r="D76" t="s">
        <v>2954</v>
      </c>
      <c r="E76" t="str">
        <f t="shared" si="1"/>
        <v xml:space="preserve">blr-kengeri-branch@ujjivan.com;helpdesk@ujjivan.com; </v>
      </c>
    </row>
    <row r="77" spans="1:5" x14ac:dyDescent="0.25">
      <c r="A77" s="51" t="s">
        <v>1607</v>
      </c>
      <c r="B77" s="51" t="s">
        <v>502</v>
      </c>
      <c r="C77" s="52" t="s">
        <v>1608</v>
      </c>
      <c r="D77" t="s">
        <v>2954</v>
      </c>
      <c r="E77" t="str">
        <f t="shared" si="1"/>
        <v xml:space="preserve">blr-jamkhandi-branch@ujjivan.com;helpdesk@ujjivan.com; </v>
      </c>
    </row>
    <row r="78" spans="1:5" x14ac:dyDescent="0.25">
      <c r="A78" s="51" t="s">
        <v>1609</v>
      </c>
      <c r="B78" s="51" t="s">
        <v>1610</v>
      </c>
      <c r="C78" s="52" t="s">
        <v>1611</v>
      </c>
      <c r="D78" t="s">
        <v>2954</v>
      </c>
      <c r="E78" t="str">
        <f t="shared" si="1"/>
        <v xml:space="preserve">blr-mudhol-branch@ujjivan.com;helpdesk@ujjivan.com; </v>
      </c>
    </row>
    <row r="79" spans="1:5" x14ac:dyDescent="0.25">
      <c r="A79" s="51" t="s">
        <v>1612</v>
      </c>
      <c r="B79" s="51" t="s">
        <v>505</v>
      </c>
      <c r="C79" s="52" t="s">
        <v>1613</v>
      </c>
      <c r="D79" t="s">
        <v>2954</v>
      </c>
      <c r="E79" t="str">
        <f t="shared" si="1"/>
        <v xml:space="preserve">tn-arcot-branch@ujjivan.com;helpdesk@ujjivan.com; </v>
      </c>
    </row>
    <row r="80" spans="1:5" x14ac:dyDescent="0.25">
      <c r="A80" s="51" t="s">
        <v>1614</v>
      </c>
      <c r="B80" s="51" t="s">
        <v>1615</v>
      </c>
      <c r="C80" s="52" t="s">
        <v>1616</v>
      </c>
      <c r="D80" t="s">
        <v>2954</v>
      </c>
      <c r="E80" t="str">
        <f t="shared" si="1"/>
        <v xml:space="preserve">tn-bhavani-branch@ujjivan.com;helpdesk@ujjivan.com; </v>
      </c>
    </row>
    <row r="81" spans="1:5" x14ac:dyDescent="0.25">
      <c r="A81" s="51" t="s">
        <v>1617</v>
      </c>
      <c r="B81" s="51" t="s">
        <v>1618</v>
      </c>
      <c r="C81" s="52" t="s">
        <v>1619</v>
      </c>
      <c r="D81" t="s">
        <v>2954</v>
      </c>
      <c r="E81" t="str">
        <f t="shared" si="1"/>
        <v xml:space="preserve">tn-ranipet-branch@ujjivan.com;helpdesk@ujjivan.com; </v>
      </c>
    </row>
    <row r="82" spans="1:5" x14ac:dyDescent="0.25">
      <c r="A82" s="51" t="s">
        <v>1620</v>
      </c>
      <c r="B82" s="51" t="s">
        <v>506</v>
      </c>
      <c r="C82" s="52" t="s">
        <v>1621</v>
      </c>
      <c r="D82" t="s">
        <v>2954</v>
      </c>
      <c r="E82" t="str">
        <f t="shared" si="1"/>
        <v xml:space="preserve">tn-gobichetipalayam-branch@ujjivan.com;helpdesk@ujjivan.com; </v>
      </c>
    </row>
    <row r="83" spans="1:5" x14ac:dyDescent="0.25">
      <c r="A83" s="51" t="s">
        <v>1622</v>
      </c>
      <c r="B83" s="51" t="s">
        <v>1623</v>
      </c>
      <c r="C83" s="52" t="s">
        <v>1624</v>
      </c>
      <c r="D83" t="s">
        <v>2954</v>
      </c>
      <c r="E83" t="str">
        <f t="shared" si="1"/>
        <v xml:space="preserve">tn-erode.surambatti-branch@ujjivan.com;;helpdesk@ujjivan.com; </v>
      </c>
    </row>
    <row r="84" spans="1:5" x14ac:dyDescent="0.25">
      <c r="A84" s="51" t="s">
        <v>1625</v>
      </c>
      <c r="B84" s="51" t="s">
        <v>507</v>
      </c>
      <c r="C84" s="52" t="s">
        <v>1626</v>
      </c>
      <c r="D84" t="s">
        <v>2954</v>
      </c>
      <c r="E84" t="str">
        <f t="shared" si="1"/>
        <v xml:space="preserve">tn-komarapalyam-branch@ujjivan.com;helpdesk@ujjivan.com; </v>
      </c>
    </row>
    <row r="85" spans="1:5" x14ac:dyDescent="0.25">
      <c r="A85" s="51" t="s">
        <v>1627</v>
      </c>
      <c r="B85" s="51" t="s">
        <v>509</v>
      </c>
      <c r="C85" s="52" t="s">
        <v>1628</v>
      </c>
      <c r="D85" t="s">
        <v>2954</v>
      </c>
      <c r="E85" t="str">
        <f t="shared" si="1"/>
        <v xml:space="preserve">tn-tiruchengodu-branch@ujjivan.com;helpdesk@ujjivan.com; </v>
      </c>
    </row>
    <row r="86" spans="1:5" x14ac:dyDescent="0.25">
      <c r="A86" s="51" t="s">
        <v>1629</v>
      </c>
      <c r="B86" s="51" t="s">
        <v>510</v>
      </c>
      <c r="C86" s="52" t="s">
        <v>1630</v>
      </c>
      <c r="D86" t="s">
        <v>2954</v>
      </c>
      <c r="E86" t="str">
        <f t="shared" si="1"/>
        <v xml:space="preserve">tn-paramathivelur-branch@ujjivan.com;helpdesk@ujjivan.com; </v>
      </c>
    </row>
    <row r="87" spans="1:5" x14ac:dyDescent="0.25">
      <c r="A87" s="51" t="s">
        <v>1631</v>
      </c>
      <c r="B87" s="51" t="s">
        <v>511</v>
      </c>
      <c r="C87" s="52" t="s">
        <v>1632</v>
      </c>
      <c r="D87" t="s">
        <v>2954</v>
      </c>
      <c r="E87" t="str">
        <f t="shared" si="1"/>
        <v xml:space="preserve">tn-sundarapuram-branch@ujjivan.com;helpdesk@ujjivan.com; </v>
      </c>
    </row>
    <row r="88" spans="1:5" x14ac:dyDescent="0.25">
      <c r="A88" s="51" t="s">
        <v>1633</v>
      </c>
      <c r="B88" s="51" t="s">
        <v>1634</v>
      </c>
      <c r="C88" s="52" t="s">
        <v>1635</v>
      </c>
      <c r="D88" t="s">
        <v>2954</v>
      </c>
      <c r="E88" t="str">
        <f t="shared" si="1"/>
        <v xml:space="preserve">tn-ganapathy-branch@ujjivan.com;helpdesk@ujjivan.com; </v>
      </c>
    </row>
    <row r="89" spans="1:5" x14ac:dyDescent="0.25">
      <c r="A89" s="51" t="s">
        <v>1636</v>
      </c>
      <c r="B89" s="51" t="s">
        <v>512</v>
      </c>
      <c r="C89" s="52" t="s">
        <v>1637</v>
      </c>
      <c r="D89" t="s">
        <v>2954</v>
      </c>
      <c r="E89" t="str">
        <f t="shared" si="1"/>
        <v xml:space="preserve">tn-singanallur-branch@ujjivan.com;helpdesk@ujjivan.com; </v>
      </c>
    </row>
    <row r="90" spans="1:5" x14ac:dyDescent="0.25">
      <c r="A90" s="51" t="s">
        <v>1638</v>
      </c>
      <c r="B90" s="51" t="s">
        <v>1639</v>
      </c>
      <c r="C90" s="52" t="s">
        <v>1640</v>
      </c>
      <c r="D90" t="s">
        <v>2954</v>
      </c>
      <c r="E90" t="str">
        <f t="shared" si="1"/>
        <v xml:space="preserve">tn-alangayam-branch@ujjivan.com;helpdesk@ujjivan.com; </v>
      </c>
    </row>
    <row r="91" spans="1:5" x14ac:dyDescent="0.25">
      <c r="A91" s="51" t="s">
        <v>1641</v>
      </c>
      <c r="B91" s="51" t="s">
        <v>515</v>
      </c>
      <c r="C91" s="52" t="s">
        <v>1642</v>
      </c>
      <c r="D91" t="s">
        <v>2954</v>
      </c>
      <c r="E91" t="str">
        <f t="shared" si="1"/>
        <v xml:space="preserve">tn-mettupalayam-branch@ujjivan.com;helpdesk@ujjivan.com; </v>
      </c>
    </row>
    <row r="92" spans="1:5" x14ac:dyDescent="0.25">
      <c r="A92" s="51" t="s">
        <v>1643</v>
      </c>
      <c r="B92" s="51" t="s">
        <v>516</v>
      </c>
      <c r="C92" s="52" t="s">
        <v>1644</v>
      </c>
      <c r="D92" t="s">
        <v>2954</v>
      </c>
      <c r="E92" t="str">
        <f t="shared" si="1"/>
        <v xml:space="preserve">tn-udumalpet-branch@ujjivan.com;helpdesk@ujjivan.com; </v>
      </c>
    </row>
    <row r="93" spans="1:5" x14ac:dyDescent="0.25">
      <c r="A93" s="51" t="s">
        <v>1645</v>
      </c>
      <c r="B93" s="51" t="s">
        <v>1646</v>
      </c>
      <c r="C93" s="52" t="s">
        <v>1647</v>
      </c>
      <c r="D93" t="s">
        <v>2954</v>
      </c>
      <c r="E93" t="str">
        <f t="shared" si="1"/>
        <v xml:space="preserve">tn-karur-branch@ujjivan.com;helpdesk@ujjivan.com; </v>
      </c>
    </row>
    <row r="94" spans="1:5" x14ac:dyDescent="0.25">
      <c r="A94" s="51" t="s">
        <v>1648</v>
      </c>
      <c r="B94" s="51" t="s">
        <v>517</v>
      </c>
      <c r="C94" s="52" t="s">
        <v>1649</v>
      </c>
      <c r="D94" t="s">
        <v>2954</v>
      </c>
      <c r="E94" t="str">
        <f t="shared" si="1"/>
        <v xml:space="preserve">tn-dharapuram-branch@ujjivan.com;helpdesk@ujjivan.com; </v>
      </c>
    </row>
    <row r="95" spans="1:5" x14ac:dyDescent="0.25">
      <c r="A95" s="51" t="s">
        <v>1650</v>
      </c>
      <c r="B95" s="51" t="s">
        <v>1651</v>
      </c>
      <c r="C95" s="52" t="s">
        <v>1652</v>
      </c>
      <c r="D95" t="s">
        <v>2954</v>
      </c>
      <c r="E95" t="str">
        <f t="shared" si="1"/>
        <v xml:space="preserve">tn-Rasipuram-branch@ujjivan.com;helpdesk@ujjivan.com; </v>
      </c>
    </row>
    <row r="96" spans="1:5" x14ac:dyDescent="0.25">
      <c r="A96" s="51" t="s">
        <v>1653</v>
      </c>
      <c r="B96" s="51" t="s">
        <v>519</v>
      </c>
      <c r="C96" s="52" t="s">
        <v>1654</v>
      </c>
      <c r="D96" t="s">
        <v>2954</v>
      </c>
      <c r="E96" t="str">
        <f t="shared" si="1"/>
        <v xml:space="preserve">kl-vypin-branch@ujjivan.com;helpdesk@ujjivan.com; </v>
      </c>
    </row>
    <row r="97" spans="1:5" x14ac:dyDescent="0.25">
      <c r="A97" s="51" t="s">
        <v>1655</v>
      </c>
      <c r="B97" s="51" t="s">
        <v>523</v>
      </c>
      <c r="C97" s="52" t="s">
        <v>1656</v>
      </c>
      <c r="D97" t="s">
        <v>2954</v>
      </c>
      <c r="E97" t="str">
        <f t="shared" si="1"/>
        <v xml:space="preserve">kl-cochin.palluarthy-branch@ujjivan.com;helpdesk@ujjivan.com; </v>
      </c>
    </row>
    <row r="98" spans="1:5" x14ac:dyDescent="0.25">
      <c r="A98" s="51" t="s">
        <v>1657</v>
      </c>
      <c r="B98" s="51" t="s">
        <v>524</v>
      </c>
      <c r="C98" s="52" t="s">
        <v>1658</v>
      </c>
      <c r="D98" t="s">
        <v>2954</v>
      </c>
      <c r="E98" t="str">
        <f t="shared" si="1"/>
        <v xml:space="preserve">tn-bodinayakanur-branch@ujjivan.com;helpdesk@ujjivan.com; </v>
      </c>
    </row>
    <row r="99" spans="1:5" x14ac:dyDescent="0.25">
      <c r="A99" s="51" t="s">
        <v>1659</v>
      </c>
      <c r="B99" s="51" t="s">
        <v>1660</v>
      </c>
      <c r="C99" s="52" t="s">
        <v>1661</v>
      </c>
      <c r="D99" t="s">
        <v>2954</v>
      </c>
      <c r="E99" t="str">
        <f t="shared" si="1"/>
        <v xml:space="preserve">tn-salem.byepass-branch@ujjivan.com;helpdesk@ujjivan.com; </v>
      </c>
    </row>
    <row r="100" spans="1:5" x14ac:dyDescent="0.25">
      <c r="A100" s="51" t="s">
        <v>1662</v>
      </c>
      <c r="B100" s="51" t="s">
        <v>525</v>
      </c>
      <c r="C100" s="52" t="s">
        <v>1663</v>
      </c>
      <c r="D100" t="s">
        <v>2954</v>
      </c>
      <c r="E100" t="str">
        <f t="shared" si="1"/>
        <v xml:space="preserve">tn-pondi.moolakulam-branch@ujjivan.com;helpdesk@ujjivan.com; </v>
      </c>
    </row>
    <row r="101" spans="1:5" x14ac:dyDescent="0.25">
      <c r="A101" s="51" t="s">
        <v>1664</v>
      </c>
      <c r="B101" s="51" t="s">
        <v>1665</v>
      </c>
      <c r="C101" s="52" t="s">
        <v>1666</v>
      </c>
      <c r="D101" t="s">
        <v>2954</v>
      </c>
      <c r="E101" t="str">
        <f t="shared" si="1"/>
        <v xml:space="preserve">tn-sathyamangalam-branch@ujjivan.com;helpdesk@ujjivan.com; </v>
      </c>
    </row>
    <row r="102" spans="1:5" x14ac:dyDescent="0.25">
      <c r="A102" s="51" t="s">
        <v>1667</v>
      </c>
      <c r="B102" s="51" t="s">
        <v>1668</v>
      </c>
      <c r="C102" s="52" t="s">
        <v>1669</v>
      </c>
      <c r="D102" t="s">
        <v>2954</v>
      </c>
      <c r="E102" t="str">
        <f t="shared" si="1"/>
        <v xml:space="preserve">kl-perumbavoor-branch@ujjivan.com ;helpdesk@ujjivan.com; </v>
      </c>
    </row>
    <row r="103" spans="1:5" x14ac:dyDescent="0.25">
      <c r="A103" s="51" t="s">
        <v>1670</v>
      </c>
      <c r="B103" s="51" t="s">
        <v>526</v>
      </c>
      <c r="C103" s="52" t="s">
        <v>1671</v>
      </c>
      <c r="D103" t="s">
        <v>2954</v>
      </c>
      <c r="E103" t="str">
        <f t="shared" si="1"/>
        <v xml:space="preserve">tn-periyakulam-branch@ujjivan.com;helpdesk@ujjivan.com; </v>
      </c>
    </row>
    <row r="104" spans="1:5" x14ac:dyDescent="0.25">
      <c r="A104" s="51" t="s">
        <v>1672</v>
      </c>
      <c r="B104" s="51" t="s">
        <v>527</v>
      </c>
      <c r="C104" s="52" t="s">
        <v>1673</v>
      </c>
      <c r="D104" t="s">
        <v>2954</v>
      </c>
      <c r="E104" t="str">
        <f t="shared" si="1"/>
        <v xml:space="preserve">kl-paravur-branch@ujjivan.com ;helpdesk@ujjivan.com; </v>
      </c>
    </row>
    <row r="105" spans="1:5" x14ac:dyDescent="0.25">
      <c r="A105" s="51" t="s">
        <v>1674</v>
      </c>
      <c r="B105" s="51" t="s">
        <v>1675</v>
      </c>
      <c r="C105" s="52" t="s">
        <v>1676</v>
      </c>
      <c r="D105" t="s">
        <v>2954</v>
      </c>
      <c r="E105" t="str">
        <f t="shared" si="1"/>
        <v xml:space="preserve">tn-pondi.mudhaliarpet-branch@ujjivan.com;helpdesk@ujjivan.com; </v>
      </c>
    </row>
    <row r="106" spans="1:5" x14ac:dyDescent="0.25">
      <c r="A106" s="51" t="s">
        <v>1677</v>
      </c>
      <c r="B106" s="51" t="s">
        <v>528</v>
      </c>
      <c r="C106" s="52" t="s">
        <v>1678</v>
      </c>
      <c r="D106" t="s">
        <v>2954</v>
      </c>
      <c r="E106" t="str">
        <f t="shared" si="1"/>
        <v xml:space="preserve">kl-udayamperoor-branch@ujjivan.com;helpdesk@ujjivan.com; </v>
      </c>
    </row>
    <row r="107" spans="1:5" x14ac:dyDescent="0.25">
      <c r="A107" s="51" t="s">
        <v>1679</v>
      </c>
      <c r="B107" s="51" t="s">
        <v>853</v>
      </c>
      <c r="C107" s="52" t="s">
        <v>1680</v>
      </c>
      <c r="D107" t="s">
        <v>2954</v>
      </c>
      <c r="E107" t="str">
        <f t="shared" si="1"/>
        <v xml:space="preserve">kl-cherthala-branch@ujjivan.com;helpdesk@ujjivan.com; </v>
      </c>
    </row>
    <row r="108" spans="1:5" x14ac:dyDescent="0.25">
      <c r="A108" s="51" t="s">
        <v>1681</v>
      </c>
      <c r="B108" s="51" t="s">
        <v>529</v>
      </c>
      <c r="C108" s="52" t="s">
        <v>1682</v>
      </c>
      <c r="D108" t="s">
        <v>2954</v>
      </c>
      <c r="E108" t="str">
        <f t="shared" si="1"/>
        <v xml:space="preserve">tn-dindigul-branch@ujjivan.com;helpdesk@ujjivan.com; </v>
      </c>
    </row>
    <row r="109" spans="1:5" x14ac:dyDescent="0.25">
      <c r="A109" s="51" t="s">
        <v>1683</v>
      </c>
      <c r="B109" s="51" t="s">
        <v>530</v>
      </c>
      <c r="C109" s="52" t="s">
        <v>1684</v>
      </c>
      <c r="D109" t="s">
        <v>2954</v>
      </c>
      <c r="E109" t="str">
        <f t="shared" si="1"/>
        <v xml:space="preserve">tn-panruti-branch@ujjivan.com;helpdesk@ujjivan.com; </v>
      </c>
    </row>
    <row r="110" spans="1:5" x14ac:dyDescent="0.25">
      <c r="A110" s="51" t="s">
        <v>1685</v>
      </c>
      <c r="B110" s="51" t="s">
        <v>532</v>
      </c>
      <c r="C110" s="52" t="s">
        <v>1686</v>
      </c>
      <c r="D110" t="s">
        <v>2954</v>
      </c>
      <c r="E110" t="str">
        <f t="shared" si="1"/>
        <v xml:space="preserve">tn-virudhachalam-branch@ujjivan.com;helpdesk@ujjivan.com; </v>
      </c>
    </row>
    <row r="111" spans="1:5" x14ac:dyDescent="0.25">
      <c r="A111" s="51" t="s">
        <v>1687</v>
      </c>
      <c r="B111" s="51" t="s">
        <v>533</v>
      </c>
      <c r="C111" s="52" t="s">
        <v>1688</v>
      </c>
      <c r="D111" t="s">
        <v>2954</v>
      </c>
      <c r="E111" t="str">
        <f t="shared" si="1"/>
        <v xml:space="preserve">tn-cuddalore-branch@ujjivan.com;helpdesk@ujjivan.com; </v>
      </c>
    </row>
    <row r="112" spans="1:5" x14ac:dyDescent="0.25">
      <c r="A112" s="51" t="s">
        <v>1689</v>
      </c>
      <c r="B112" s="51" t="s">
        <v>534</v>
      </c>
      <c r="C112" s="52" t="s">
        <v>1690</v>
      </c>
      <c r="D112" t="s">
        <v>2954</v>
      </c>
      <c r="E112" t="str">
        <f t="shared" si="1"/>
        <v xml:space="preserve">tn-gudalur-branch@ujjivan.com;helpdesk@ujjivan.com; </v>
      </c>
    </row>
    <row r="113" spans="1:5" x14ac:dyDescent="0.25">
      <c r="A113" s="51" t="s">
        <v>1691</v>
      </c>
      <c r="B113" s="51" t="s">
        <v>854</v>
      </c>
      <c r="C113" s="52" t="s">
        <v>1692</v>
      </c>
      <c r="D113" t="s">
        <v>2954</v>
      </c>
      <c r="E113" t="str">
        <f t="shared" si="1"/>
        <v xml:space="preserve">tn-coonoor-branch@ujjivan.com;helpdesk@ujjivan.com; </v>
      </c>
    </row>
    <row r="114" spans="1:5" x14ac:dyDescent="0.25">
      <c r="A114" s="51" t="s">
        <v>1693</v>
      </c>
      <c r="B114" s="51" t="s">
        <v>536</v>
      </c>
      <c r="C114" s="52" t="s">
        <v>1694</v>
      </c>
      <c r="D114" t="s">
        <v>2954</v>
      </c>
      <c r="E114" t="str">
        <f t="shared" si="1"/>
        <v xml:space="preserve">tn-ooty-branch@ujjivan.com;helpdesk@ujjivan.com; </v>
      </c>
    </row>
    <row r="115" spans="1:5" x14ac:dyDescent="0.25">
      <c r="A115" s="51" t="s">
        <v>1695</v>
      </c>
      <c r="B115" s="51" t="s">
        <v>537</v>
      </c>
      <c r="C115" s="52" t="s">
        <v>1696</v>
      </c>
      <c r="D115" t="s">
        <v>2954</v>
      </c>
      <c r="E115" t="str">
        <f t="shared" si="1"/>
        <v xml:space="preserve">kl-allepey-branch@ujjvian.com;helpdesk@ujjivan.com; </v>
      </c>
    </row>
    <row r="116" spans="1:5" x14ac:dyDescent="0.25">
      <c r="A116" s="51" t="s">
        <v>1697</v>
      </c>
      <c r="B116" s="51" t="s">
        <v>1698</v>
      </c>
      <c r="C116" s="52" t="s">
        <v>1699</v>
      </c>
      <c r="D116" t="s">
        <v>2954</v>
      </c>
      <c r="E116" t="str">
        <f t="shared" si="1"/>
        <v xml:space="preserve">kl-wadakanchery-branch@ujjivan.com;helpdesk@ujjivan.com; </v>
      </c>
    </row>
    <row r="117" spans="1:5" x14ac:dyDescent="0.25">
      <c r="A117" s="51" t="s">
        <v>1700</v>
      </c>
      <c r="B117" s="51" t="s">
        <v>1701</v>
      </c>
      <c r="C117" s="52" t="s">
        <v>1702</v>
      </c>
      <c r="D117" t="s">
        <v>2954</v>
      </c>
      <c r="E117" t="str">
        <f t="shared" si="1"/>
        <v xml:space="preserve">tn-kinathakadavu-branch@ujjivan.com;helpdesk@ujjivan.com; </v>
      </c>
    </row>
    <row r="118" spans="1:5" x14ac:dyDescent="0.25">
      <c r="A118" s="51" t="s">
        <v>1703</v>
      </c>
      <c r="B118" s="51" t="s">
        <v>538</v>
      </c>
      <c r="C118" s="52" t="s">
        <v>1704</v>
      </c>
      <c r="D118" t="s">
        <v>2954</v>
      </c>
      <c r="E118" t="str">
        <f t="shared" si="1"/>
        <v xml:space="preserve">tn-anamalai-branch@ujjivan.com;helpdesk@ujjivan.com; </v>
      </c>
    </row>
    <row r="119" spans="1:5" x14ac:dyDescent="0.25">
      <c r="A119" s="51" t="s">
        <v>1705</v>
      </c>
      <c r="B119" s="51" t="s">
        <v>539</v>
      </c>
      <c r="C119" s="52" t="s">
        <v>1706</v>
      </c>
      <c r="D119" t="s">
        <v>2954</v>
      </c>
      <c r="E119" t="str">
        <f t="shared" si="1"/>
        <v xml:space="preserve">goa-vasco-branch@ujjivan.com;helpdesk@ujjivan.com; </v>
      </c>
    </row>
    <row r="120" spans="1:5" x14ac:dyDescent="0.25">
      <c r="A120" s="51" t="s">
        <v>1707</v>
      </c>
      <c r="B120" s="51" t="s">
        <v>542</v>
      </c>
      <c r="C120" s="52" t="s">
        <v>1708</v>
      </c>
      <c r="D120" t="s">
        <v>2954</v>
      </c>
      <c r="E120" t="str">
        <f t="shared" si="1"/>
        <v xml:space="preserve">kl-guruvayur-branch@ujjivan.com;helpdesk@ujjivan.com; </v>
      </c>
    </row>
    <row r="121" spans="1:5" x14ac:dyDescent="0.25">
      <c r="A121" s="51" t="s">
        <v>1709</v>
      </c>
      <c r="B121" s="51" t="s">
        <v>855</v>
      </c>
      <c r="C121" s="52" t="s">
        <v>1710</v>
      </c>
      <c r="D121" t="s">
        <v>2954</v>
      </c>
      <c r="E121" t="str">
        <f t="shared" si="1"/>
        <v xml:space="preserve">kl-haripad-branch@ujjivan.com;helpdesk@ujjivan.com; </v>
      </c>
    </row>
    <row r="122" spans="1:5" x14ac:dyDescent="0.25">
      <c r="A122" s="51" t="s">
        <v>1711</v>
      </c>
      <c r="B122" s="51" t="s">
        <v>545</v>
      </c>
      <c r="C122" s="52" t="s">
        <v>1712</v>
      </c>
      <c r="D122" t="s">
        <v>2954</v>
      </c>
      <c r="E122" t="str">
        <f t="shared" si="1"/>
        <v xml:space="preserve">kl-triprayar-branch@ujjivan.com;helpdesk@ujjivan.com; </v>
      </c>
    </row>
    <row r="123" spans="1:5" x14ac:dyDescent="0.25">
      <c r="A123" s="51" t="s">
        <v>1713</v>
      </c>
      <c r="B123" s="51" t="s">
        <v>546</v>
      </c>
      <c r="C123" s="52" t="s">
        <v>1714</v>
      </c>
      <c r="D123" t="s">
        <v>2954</v>
      </c>
      <c r="E123" t="str">
        <f t="shared" si="1"/>
        <v xml:space="preserve">blr-srirangapatna-branch@ujjivan.com;helpdesk@ujjivan.com; </v>
      </c>
    </row>
    <row r="124" spans="1:5" x14ac:dyDescent="0.25">
      <c r="A124" s="51" t="s">
        <v>1715</v>
      </c>
      <c r="B124" s="51" t="s">
        <v>549</v>
      </c>
      <c r="C124" s="52" t="s">
        <v>1716</v>
      </c>
      <c r="D124" t="s">
        <v>2954</v>
      </c>
      <c r="E124" t="str">
        <f t="shared" si="1"/>
        <v xml:space="preserve">blr-mysoreagrahara-branch@ujjivan.com;helpdesk@ujjivan.com; </v>
      </c>
    </row>
    <row r="125" spans="1:5" x14ac:dyDescent="0.25">
      <c r="A125" s="51" t="s">
        <v>1717</v>
      </c>
      <c r="B125" s="51" t="s">
        <v>550</v>
      </c>
      <c r="C125" s="52" t="s">
        <v>1718</v>
      </c>
      <c r="D125" t="s">
        <v>2954</v>
      </c>
      <c r="E125" t="str">
        <f t="shared" si="1"/>
        <v xml:space="preserve">tn-thiruvaiyaru-branch@ujjivan.com;helpdesk@ujjivan.com; </v>
      </c>
    </row>
    <row r="126" spans="1:5" x14ac:dyDescent="0.25">
      <c r="A126" s="51" t="s">
        <v>1719</v>
      </c>
      <c r="B126" s="51" t="s">
        <v>551</v>
      </c>
      <c r="C126" s="52" t="s">
        <v>1720</v>
      </c>
      <c r="D126" t="s">
        <v>2954</v>
      </c>
      <c r="E126" t="str">
        <f t="shared" si="1"/>
        <v xml:space="preserve">tn-kumbakonam-branch@ujjivan.com;helpdesk@ujjivan.com; </v>
      </c>
    </row>
    <row r="127" spans="1:5" x14ac:dyDescent="0.25">
      <c r="A127" s="51" t="s">
        <v>1721</v>
      </c>
      <c r="B127" s="51" t="s">
        <v>553</v>
      </c>
      <c r="C127" s="52" t="s">
        <v>1722</v>
      </c>
      <c r="D127" t="s">
        <v>2954</v>
      </c>
      <c r="E127" t="str">
        <f t="shared" si="1"/>
        <v xml:space="preserve">blr-gundlupet-branch@ujjivan.com;helpdesk@ujjivan.com; </v>
      </c>
    </row>
    <row r="128" spans="1:5" x14ac:dyDescent="0.25">
      <c r="A128" s="51" t="s">
        <v>1723</v>
      </c>
      <c r="B128" s="51" t="s">
        <v>555</v>
      </c>
      <c r="C128" s="52" t="s">
        <v>1724</v>
      </c>
      <c r="D128" t="s">
        <v>2954</v>
      </c>
      <c r="E128" t="str">
        <f t="shared" si="1"/>
        <v xml:space="preserve">blr-tnarasipura-branch@ujjivan.com;helpdesk@ujjivan.com; </v>
      </c>
    </row>
    <row r="129" spans="1:5" x14ac:dyDescent="0.25">
      <c r="A129" s="51" t="s">
        <v>1725</v>
      </c>
      <c r="B129" s="51" t="s">
        <v>557</v>
      </c>
      <c r="C129" s="52" t="s">
        <v>1726</v>
      </c>
      <c r="D129" t="s">
        <v>2954</v>
      </c>
      <c r="E129" t="str">
        <f t="shared" si="1"/>
        <v xml:space="preserve">tn-trichy-branch@ujjivan.com;helpdesk@ujjivan.com; </v>
      </c>
    </row>
    <row r="130" spans="1:5" x14ac:dyDescent="0.25">
      <c r="A130" s="51" t="s">
        <v>1727</v>
      </c>
      <c r="B130" s="51" t="s">
        <v>558</v>
      </c>
      <c r="C130" s="52" t="s">
        <v>1728</v>
      </c>
      <c r="D130" t="s">
        <v>2954</v>
      </c>
      <c r="E130" t="str">
        <f t="shared" si="1"/>
        <v xml:space="preserve">blr-chamarajanagar-branch@ujjivan.com;helpdesk@ujjivan.com; </v>
      </c>
    </row>
    <row r="131" spans="1:5" x14ac:dyDescent="0.25">
      <c r="A131" s="51" t="s">
        <v>1729</v>
      </c>
      <c r="B131" s="51" t="s">
        <v>561</v>
      </c>
      <c r="C131" s="52" t="s">
        <v>1730</v>
      </c>
      <c r="D131" t="s">
        <v>2954</v>
      </c>
      <c r="E131" t="str">
        <f t="shared" ref="E131:E194" si="2">CONCATENATE(C131,";",D131)</f>
        <v xml:space="preserve">blr-hoskote-branch@ujjivan.com;helpdesk@ujjivan.com; </v>
      </c>
    </row>
    <row r="132" spans="1:5" x14ac:dyDescent="0.25">
      <c r="A132" s="51" t="s">
        <v>1731</v>
      </c>
      <c r="B132" s="51" t="s">
        <v>563</v>
      </c>
      <c r="C132" s="52" t="s">
        <v>1732</v>
      </c>
      <c r="D132" t="s">
        <v>2954</v>
      </c>
      <c r="E132" t="str">
        <f t="shared" si="2"/>
        <v xml:space="preserve">tn-mannargudi-branch@ujjivan.com;helpdesk@ujjivan.com; </v>
      </c>
    </row>
    <row r="133" spans="1:5" x14ac:dyDescent="0.25">
      <c r="A133" s="51" t="s">
        <v>1733</v>
      </c>
      <c r="B133" s="51" t="s">
        <v>564</v>
      </c>
      <c r="C133" s="52" t="s">
        <v>1734</v>
      </c>
      <c r="D133" t="s">
        <v>2954</v>
      </c>
      <c r="E133" t="str">
        <f t="shared" si="2"/>
        <v xml:space="preserve">blr-bannerghatta-branch@ujjivan.com;helpdesk@ujjivan.com; </v>
      </c>
    </row>
    <row r="134" spans="1:5" x14ac:dyDescent="0.25">
      <c r="A134" s="51" t="s">
        <v>1735</v>
      </c>
      <c r="B134" s="51" t="s">
        <v>566</v>
      </c>
      <c r="C134" s="53" t="s">
        <v>1566</v>
      </c>
      <c r="D134" t="s">
        <v>2954</v>
      </c>
      <c r="E134" t="str">
        <f t="shared" si="2"/>
        <v xml:space="preserve">helpdesk@ujjivan.com;helpdesk@ujjivan.com; </v>
      </c>
    </row>
    <row r="135" spans="1:5" x14ac:dyDescent="0.25">
      <c r="A135" s="51" t="s">
        <v>1736</v>
      </c>
      <c r="B135" s="51" t="s">
        <v>569</v>
      </c>
      <c r="C135" s="53" t="s">
        <v>1737</v>
      </c>
      <c r="D135" t="s">
        <v>2954</v>
      </c>
      <c r="E135" t="str">
        <f t="shared" si="2"/>
        <v xml:space="preserve">blr-chikodi-branch@ujjivan.com;helpdesk@ujjivan.com; </v>
      </c>
    </row>
    <row r="136" spans="1:5" x14ac:dyDescent="0.25">
      <c r="A136" s="51" t="s">
        <v>1738</v>
      </c>
      <c r="B136" s="51" t="s">
        <v>570</v>
      </c>
      <c r="C136" s="53" t="s">
        <v>1566</v>
      </c>
      <c r="D136" t="s">
        <v>2954</v>
      </c>
      <c r="E136" t="str">
        <f t="shared" si="2"/>
        <v xml:space="preserve">helpdesk@ujjivan.com;helpdesk@ujjivan.com; </v>
      </c>
    </row>
    <row r="137" spans="1:5" x14ac:dyDescent="0.25">
      <c r="A137" s="51" t="s">
        <v>1739</v>
      </c>
      <c r="B137" s="51" t="s">
        <v>571</v>
      </c>
      <c r="C137" s="53" t="s">
        <v>1566</v>
      </c>
      <c r="D137" t="s">
        <v>2954</v>
      </c>
      <c r="E137" t="str">
        <f t="shared" si="2"/>
        <v xml:space="preserve">helpdesk@ujjivan.com;helpdesk@ujjivan.com; </v>
      </c>
    </row>
    <row r="138" spans="1:5" x14ac:dyDescent="0.25">
      <c r="A138" t="s">
        <v>1740</v>
      </c>
      <c r="B138" s="51" t="s">
        <v>572</v>
      </c>
      <c r="C138" t="s">
        <v>1741</v>
      </c>
      <c r="D138" t="s">
        <v>2954</v>
      </c>
      <c r="E138" t="str">
        <f t="shared" si="2"/>
        <v xml:space="preserve">blr-kollegal-branch@ujjivan.com;helpdesk@ujjivan.com; </v>
      </c>
    </row>
    <row r="139" spans="1:5" x14ac:dyDescent="0.25">
      <c r="A139" t="s">
        <v>1742</v>
      </c>
      <c r="B139" s="51" t="s">
        <v>574</v>
      </c>
      <c r="C139" t="s">
        <v>1743</v>
      </c>
      <c r="D139" t="s">
        <v>2954</v>
      </c>
      <c r="E139" t="str">
        <f t="shared" si="2"/>
        <v xml:space="preserve">kl-kottarakara-branch@ujjivan.com;helpdesk@ujjivan.com; </v>
      </c>
    </row>
    <row r="140" spans="1:5" x14ac:dyDescent="0.25">
      <c r="A140" t="s">
        <v>1744</v>
      </c>
      <c r="B140" s="51" t="s">
        <v>576</v>
      </c>
      <c r="C140" t="s">
        <v>1745</v>
      </c>
      <c r="D140" t="s">
        <v>2954</v>
      </c>
      <c r="E140" t="str">
        <f t="shared" si="2"/>
        <v xml:space="preserve">tn-mayiladuthurai-branch@ujjivan.com;helpdesk@ujjivan.com; </v>
      </c>
    </row>
    <row r="141" spans="1:5" x14ac:dyDescent="0.25">
      <c r="A141" t="s">
        <v>1746</v>
      </c>
      <c r="B141" s="51" t="s">
        <v>578</v>
      </c>
      <c r="C141" t="s">
        <v>1747</v>
      </c>
      <c r="D141" t="s">
        <v>2954</v>
      </c>
      <c r="E141" t="str">
        <f t="shared" si="2"/>
        <v xml:space="preserve">blr-hdkote-branch@ujjivan.com;helpdesk@ujjivan.com; </v>
      </c>
    </row>
    <row r="142" spans="1:5" x14ac:dyDescent="0.25">
      <c r="A142" t="s">
        <v>1748</v>
      </c>
      <c r="B142" s="51" t="s">
        <v>579</v>
      </c>
      <c r="C142" t="s">
        <v>1749</v>
      </c>
      <c r="D142" t="s">
        <v>2954</v>
      </c>
      <c r="E142" t="str">
        <f t="shared" si="2"/>
        <v xml:space="preserve">blr-krnagara-branch@ujjivan.com;helpdesk@ujjivan.com; </v>
      </c>
    </row>
    <row r="143" spans="1:5" x14ac:dyDescent="0.25">
      <c r="A143" t="s">
        <v>1750</v>
      </c>
      <c r="B143" s="51" t="s">
        <v>580</v>
      </c>
      <c r="C143" t="s">
        <v>1751</v>
      </c>
      <c r="D143" t="s">
        <v>2954</v>
      </c>
      <c r="E143" t="str">
        <f t="shared" si="2"/>
        <v xml:space="preserve">tn-rajapalayam-branch@ujjivan.com;helpdesk@ujjivan.com; </v>
      </c>
    </row>
    <row r="144" spans="1:5" x14ac:dyDescent="0.25">
      <c r="A144" t="s">
        <v>1752</v>
      </c>
      <c r="B144" s="51" t="s">
        <v>581</v>
      </c>
      <c r="C144" t="s">
        <v>1753</v>
      </c>
      <c r="D144" t="s">
        <v>2954</v>
      </c>
      <c r="E144" t="str">
        <f t="shared" si="2"/>
        <v xml:space="preserve">blr-krpete-branch@ujjivan.com;helpdesk@ujjivan.com; </v>
      </c>
    </row>
    <row r="145" spans="1:5" x14ac:dyDescent="0.25">
      <c r="A145" t="s">
        <v>1754</v>
      </c>
      <c r="B145" s="51" t="s">
        <v>584</v>
      </c>
      <c r="C145" t="s">
        <v>1755</v>
      </c>
      <c r="D145" t="s">
        <v>2954</v>
      </c>
      <c r="E145" t="str">
        <f t="shared" si="2"/>
        <v xml:space="preserve">tn-kanchipuram-branch@ujjivan.com;helpdesk@ujjivan.com; </v>
      </c>
    </row>
    <row r="146" spans="1:5" x14ac:dyDescent="0.25">
      <c r="A146" t="s">
        <v>1756</v>
      </c>
      <c r="B146" s="51" t="s">
        <v>585</v>
      </c>
      <c r="C146" t="s">
        <v>1757</v>
      </c>
      <c r="D146" t="s">
        <v>2954</v>
      </c>
      <c r="E146" t="str">
        <f t="shared" si="2"/>
        <v xml:space="preserve">tn-sivakasi-branch@ujjivan.com;helpdesk@ujjivan.com; </v>
      </c>
    </row>
    <row r="147" spans="1:5" x14ac:dyDescent="0.25">
      <c r="A147" t="s">
        <v>1758</v>
      </c>
      <c r="B147" s="51" t="s">
        <v>588</v>
      </c>
      <c r="C147" t="s">
        <v>2702</v>
      </c>
      <c r="D147" t="s">
        <v>2954</v>
      </c>
      <c r="E147" t="str">
        <f t="shared" si="2"/>
        <v xml:space="preserve">tn-ambasamudram-branch@ujjivan.com;helpdesk@ujjivan.com; </v>
      </c>
    </row>
    <row r="148" spans="1:5" x14ac:dyDescent="0.25">
      <c r="A148" t="s">
        <v>1760</v>
      </c>
      <c r="B148" s="51" t="s">
        <v>591</v>
      </c>
      <c r="C148" t="s">
        <v>1761</v>
      </c>
      <c r="D148" t="s">
        <v>2954</v>
      </c>
      <c r="E148" t="str">
        <f t="shared" si="2"/>
        <v xml:space="preserve">tn-rasipuram-branch@ujjivan.com;helpdesk@ujjivan.com; </v>
      </c>
    </row>
    <row r="149" spans="1:5" x14ac:dyDescent="0.25">
      <c r="A149" t="s">
        <v>1762</v>
      </c>
      <c r="B149" s="51" t="s">
        <v>592</v>
      </c>
      <c r="C149" t="s">
        <v>1759</v>
      </c>
      <c r="D149" t="s">
        <v>2954</v>
      </c>
      <c r="E149" t="str">
        <f t="shared" si="2"/>
        <v xml:space="preserve">blr-nelamangala-branch@ujjivan.com;helpdesk@ujjivan.com; </v>
      </c>
    </row>
    <row r="150" spans="1:5" x14ac:dyDescent="0.25">
      <c r="A150" t="s">
        <v>1763</v>
      </c>
      <c r="B150" s="51" t="s">
        <v>593</v>
      </c>
      <c r="C150" t="s">
        <v>1764</v>
      </c>
      <c r="D150" t="s">
        <v>2954</v>
      </c>
      <c r="E150" t="str">
        <f t="shared" si="2"/>
        <v xml:space="preserve">tn-tenkasi-branch@ujjivan.com;helpdesk@ujjivan.com; </v>
      </c>
    </row>
    <row r="151" spans="1:5" x14ac:dyDescent="0.25">
      <c r="A151" t="s">
        <v>1765</v>
      </c>
      <c r="B151" s="51" t="s">
        <v>594</v>
      </c>
      <c r="C151" t="s">
        <v>1766</v>
      </c>
      <c r="D151" t="s">
        <v>2954</v>
      </c>
      <c r="E151" t="str">
        <f t="shared" si="2"/>
        <v xml:space="preserve">tn-cumbum-branch@ujjivan.com;helpdesk@ujjivan.com; </v>
      </c>
    </row>
    <row r="152" spans="1:5" x14ac:dyDescent="0.25">
      <c r="A152" t="s">
        <v>1767</v>
      </c>
      <c r="B152" s="51" t="s">
        <v>595</v>
      </c>
      <c r="C152" t="s">
        <v>1768</v>
      </c>
      <c r="D152" t="s">
        <v>2954</v>
      </c>
      <c r="E152" t="str">
        <f t="shared" si="2"/>
        <v xml:space="preserve">tn-sankarankovil-branch@ujjivan.com;helpdesk@ujjivan.com; </v>
      </c>
    </row>
    <row r="153" spans="1:5" x14ac:dyDescent="0.25">
      <c r="A153" t="s">
        <v>1769</v>
      </c>
      <c r="B153" s="51" t="s">
        <v>597</v>
      </c>
      <c r="C153" t="s">
        <v>1770</v>
      </c>
      <c r="D153" t="s">
        <v>2954</v>
      </c>
      <c r="E153" t="str">
        <f t="shared" si="2"/>
        <v xml:space="preserve">tn-aruppukottai-branch@ujjivan.com;helpdesk@ujjivan.com; </v>
      </c>
    </row>
    <row r="154" spans="1:5" x14ac:dyDescent="0.25">
      <c r="A154" t="s">
        <v>1771</v>
      </c>
      <c r="B154" s="51" t="s">
        <v>598</v>
      </c>
      <c r="C154" t="s">
        <v>1772</v>
      </c>
      <c r="D154" t="s">
        <v>2954</v>
      </c>
      <c r="E154" t="str">
        <f t="shared" si="2"/>
        <v xml:space="preserve">tn-vathalagundu-branch@ujjivan.com;helpdesk@ujjivan.com; </v>
      </c>
    </row>
    <row r="155" spans="1:5" x14ac:dyDescent="0.25">
      <c r="A155" t="s">
        <v>1773</v>
      </c>
      <c r="B155" s="51" t="s">
        <v>857</v>
      </c>
      <c r="C155" t="s">
        <v>1774</v>
      </c>
      <c r="D155" t="s">
        <v>2954</v>
      </c>
      <c r="E155" t="str">
        <f t="shared" si="2"/>
        <v xml:space="preserve">tn-tirunelveli-branch@ujjivan.com;helpdesk@ujjivan.com; </v>
      </c>
    </row>
    <row r="156" spans="1:5" x14ac:dyDescent="0.25">
      <c r="A156" t="s">
        <v>1775</v>
      </c>
      <c r="B156" s="51" t="s">
        <v>858</v>
      </c>
      <c r="C156" t="s">
        <v>1776</v>
      </c>
      <c r="D156" t="s">
        <v>2954</v>
      </c>
      <c r="E156" t="str">
        <f t="shared" si="2"/>
        <v xml:space="preserve">tn-nagarcoil-branch@ujjivan.com;helpdesk@ujjivan.com; </v>
      </c>
    </row>
    <row r="157" spans="1:5" x14ac:dyDescent="0.25">
      <c r="A157" t="s">
        <v>1777</v>
      </c>
      <c r="B157" s="51" t="s">
        <v>860</v>
      </c>
      <c r="C157" t="s">
        <v>1778</v>
      </c>
      <c r="D157" t="s">
        <v>2954</v>
      </c>
      <c r="E157" t="str">
        <f t="shared" si="2"/>
        <v xml:space="preserve">blr-pandavapura-branch@ujjivan.com;helpdesk@ujjivan.com; </v>
      </c>
    </row>
    <row r="158" spans="1:5" x14ac:dyDescent="0.25">
      <c r="A158" t="s">
        <v>1779</v>
      </c>
      <c r="B158" s="51" t="s">
        <v>863</v>
      </c>
      <c r="C158" t="s">
        <v>1780</v>
      </c>
      <c r="D158" t="s">
        <v>2954</v>
      </c>
      <c r="E158" t="str">
        <f t="shared" si="2"/>
        <v xml:space="preserve">tn-madurai-branch@ujjivan.com;helpdesk@ujjivan.com; </v>
      </c>
    </row>
    <row r="159" spans="1:5" x14ac:dyDescent="0.25">
      <c r="A159" t="s">
        <v>1781</v>
      </c>
      <c r="B159" s="51" t="s">
        <v>1782</v>
      </c>
      <c r="C159" t="s">
        <v>1783</v>
      </c>
      <c r="D159" t="s">
        <v>2954</v>
      </c>
      <c r="E159" t="str">
        <f t="shared" si="2"/>
        <v xml:space="preserve">tn-chengalpattu-branch@ujjivan.com;helpdesk@ujjivan.com; </v>
      </c>
    </row>
    <row r="160" spans="1:5" x14ac:dyDescent="0.25">
      <c r="A160" t="s">
        <v>1784</v>
      </c>
      <c r="B160" s="51" t="s">
        <v>1785</v>
      </c>
      <c r="C160" t="s">
        <v>1786</v>
      </c>
      <c r="D160" t="s">
        <v>2954</v>
      </c>
      <c r="E160" t="str">
        <f t="shared" si="2"/>
        <v xml:space="preserve">tn-manjoor-branch@ujjivan.com;helpdesk@ujjivan.com; </v>
      </c>
    </row>
    <row r="161" spans="1:5" x14ac:dyDescent="0.25">
      <c r="A161" t="s">
        <v>1787</v>
      </c>
      <c r="B161" s="51" t="s">
        <v>1788</v>
      </c>
      <c r="C161" t="s">
        <v>1789</v>
      </c>
      <c r="D161" t="s">
        <v>2954</v>
      </c>
      <c r="E161" t="str">
        <f t="shared" si="2"/>
        <v xml:space="preserve">tn-tambaram-branch@ujjivan.com;helpdesk@ujjivan.com; </v>
      </c>
    </row>
    <row r="162" spans="1:5" x14ac:dyDescent="0.25">
      <c r="A162" s="51" t="s">
        <v>1790</v>
      </c>
      <c r="B162" s="51" t="s">
        <v>1791</v>
      </c>
      <c r="C162" s="52" t="s">
        <v>1792</v>
      </c>
      <c r="D162" t="s">
        <v>2955</v>
      </c>
      <c r="E162" t="str">
        <f t="shared" si="2"/>
        <v xml:space="preserve">del-dakshinpuri-branch@ujjivan.com;helpdeskdelhi@ujjivan.com; </v>
      </c>
    </row>
    <row r="163" spans="1:5" x14ac:dyDescent="0.25">
      <c r="A163" s="51" t="s">
        <v>1793</v>
      </c>
      <c r="B163" s="51" t="s">
        <v>865</v>
      </c>
      <c r="C163" s="52" t="s">
        <v>1794</v>
      </c>
      <c r="D163" t="s">
        <v>2955</v>
      </c>
      <c r="E163" t="str">
        <f t="shared" si="2"/>
        <v xml:space="preserve">del-yamunavihar-branch@ujjivan.com;helpdeskdelhi@ujjivan.com; </v>
      </c>
    </row>
    <row r="164" spans="1:5" x14ac:dyDescent="0.25">
      <c r="A164" s="51" t="s">
        <v>1795</v>
      </c>
      <c r="B164" s="51" t="s">
        <v>871</v>
      </c>
      <c r="C164" s="52" t="s">
        <v>1796</v>
      </c>
      <c r="D164" t="s">
        <v>2955</v>
      </c>
      <c r="E164" t="str">
        <f t="shared" si="2"/>
        <v xml:space="preserve">del-madangir-branch@ujjivan.com;helpdeskdelhi@ujjivan.com; </v>
      </c>
    </row>
    <row r="165" spans="1:5" x14ac:dyDescent="0.25">
      <c r="A165" s="51" t="s">
        <v>1797</v>
      </c>
      <c r="B165" s="51" t="s">
        <v>1798</v>
      </c>
      <c r="C165" s="52" t="s">
        <v>1799</v>
      </c>
      <c r="D165" t="s">
        <v>2955</v>
      </c>
      <c r="E165" t="str">
        <f t="shared" si="2"/>
        <v xml:space="preserve">del-mangolpuri-branch@ujjivan.com;helpdeskdelhi@ujjivan.com; </v>
      </c>
    </row>
    <row r="166" spans="1:5" x14ac:dyDescent="0.25">
      <c r="A166" s="51" t="s">
        <v>1800</v>
      </c>
      <c r="B166" s="51" t="s">
        <v>1801</v>
      </c>
      <c r="C166" s="52" t="s">
        <v>1802</v>
      </c>
      <c r="D166" t="s">
        <v>2955</v>
      </c>
      <c r="E166" t="str">
        <f t="shared" si="2"/>
        <v xml:space="preserve">del-sultanpuri-branch@ujjivan.com;helpdeskdelhi@ujjivan.com; </v>
      </c>
    </row>
    <row r="167" spans="1:5" x14ac:dyDescent="0.25">
      <c r="A167" s="51" t="s">
        <v>1803</v>
      </c>
      <c r="B167" s="51" t="s">
        <v>1804</v>
      </c>
      <c r="C167" s="52" t="s">
        <v>1805</v>
      </c>
      <c r="D167" t="s">
        <v>2955</v>
      </c>
      <c r="E167" t="str">
        <f t="shared" si="2"/>
        <v xml:space="preserve">del-jahangirpuri-branch@ujjivan.com;helpdeskdelhi@ujjivan.com; </v>
      </c>
    </row>
    <row r="168" spans="1:5" x14ac:dyDescent="0.25">
      <c r="A168" s="51" t="s">
        <v>1806</v>
      </c>
      <c r="B168" s="51" t="s">
        <v>872</v>
      </c>
      <c r="C168" s="52" t="s">
        <v>1807</v>
      </c>
      <c r="D168" t="s">
        <v>2955</v>
      </c>
      <c r="E168" t="str">
        <f t="shared" si="2"/>
        <v xml:space="preserve">del-nangloi-branch@ujjivan.com;helpdeskdelhi@ujjivan.com; </v>
      </c>
    </row>
    <row r="169" spans="1:5" x14ac:dyDescent="0.25">
      <c r="A169" s="51" t="s">
        <v>1808</v>
      </c>
      <c r="B169" s="51" t="s">
        <v>873</v>
      </c>
      <c r="C169" s="52" t="s">
        <v>1809</v>
      </c>
      <c r="D169" t="s">
        <v>2955</v>
      </c>
      <c r="E169" t="str">
        <f t="shared" si="2"/>
        <v xml:space="preserve">del-trilokpuri-branch@ujjivan.com;helpdeskdelhi@ujjivan.com; </v>
      </c>
    </row>
    <row r="170" spans="1:5" x14ac:dyDescent="0.25">
      <c r="A170" s="51" t="s">
        <v>1810</v>
      </c>
      <c r="B170" s="51" t="s">
        <v>1811</v>
      </c>
      <c r="C170" s="52" t="s">
        <v>1812</v>
      </c>
      <c r="D170" t="s">
        <v>2955</v>
      </c>
      <c r="E170" t="str">
        <f t="shared" si="2"/>
        <v xml:space="preserve">del-vijaynagar-branch@ujjivan.com;helpdeskdelhi@ujjivan.com; </v>
      </c>
    </row>
    <row r="171" spans="1:5" x14ac:dyDescent="0.25">
      <c r="A171" s="54" t="s">
        <v>1813</v>
      </c>
      <c r="B171" s="51" t="s">
        <v>1814</v>
      </c>
      <c r="C171" s="71" t="s">
        <v>2942</v>
      </c>
      <c r="D171" t="s">
        <v>2955</v>
      </c>
      <c r="E171" t="str">
        <f t="shared" si="2"/>
        <v xml:space="preserve">del-wazirpur-branch@ujjivan.com;helpdeskdelhi@ujjivan.com; </v>
      </c>
    </row>
    <row r="172" spans="1:5" x14ac:dyDescent="0.25">
      <c r="A172" s="51" t="s">
        <v>1815</v>
      </c>
      <c r="B172" s="51" t="s">
        <v>953</v>
      </c>
      <c r="C172" s="71" t="s">
        <v>1816</v>
      </c>
      <c r="D172" t="s">
        <v>2955</v>
      </c>
      <c r="E172" t="str">
        <f t="shared" si="2"/>
        <v xml:space="preserve">del-alwar-branch@ujjivan.com;helpdeskdelhi@ujjivan.com; </v>
      </c>
    </row>
    <row r="173" spans="1:5" x14ac:dyDescent="0.25">
      <c r="A173" s="51" t="s">
        <v>1817</v>
      </c>
      <c r="B173" s="51" t="s">
        <v>976</v>
      </c>
      <c r="C173" s="52" t="s">
        <v>1818</v>
      </c>
      <c r="D173" t="s">
        <v>2955</v>
      </c>
      <c r="E173" t="str">
        <f t="shared" si="2"/>
        <v xml:space="preserve">del-bulandshahr-branch@ujjivan.com;helpdeskdelhi@ujjivan.com; </v>
      </c>
    </row>
    <row r="174" spans="1:5" x14ac:dyDescent="0.25">
      <c r="A174" s="51" t="s">
        <v>1819</v>
      </c>
      <c r="B174" s="51" t="s">
        <v>957</v>
      </c>
      <c r="C174" s="52" t="s">
        <v>1820</v>
      </c>
      <c r="D174" t="s">
        <v>2955</v>
      </c>
      <c r="E174" t="str">
        <f t="shared" si="2"/>
        <v xml:space="preserve">del-bharatpur-branch@ujjivan.com;helpdeskdelhi@ujjivan.com; </v>
      </c>
    </row>
    <row r="175" spans="1:5" x14ac:dyDescent="0.25">
      <c r="A175" s="51" t="s">
        <v>1821</v>
      </c>
      <c r="B175" s="51" t="s">
        <v>958</v>
      </c>
      <c r="C175" s="52" t="s">
        <v>1822</v>
      </c>
      <c r="D175" t="s">
        <v>2955</v>
      </c>
      <c r="E175" t="str">
        <f t="shared" si="2"/>
        <v xml:space="preserve">del-dausa-branch@ujjivan.com;helpdeskdelhi@ujjivan.com; </v>
      </c>
    </row>
    <row r="176" spans="1:5" x14ac:dyDescent="0.25">
      <c r="A176" s="51" t="s">
        <v>1823</v>
      </c>
      <c r="B176" s="51" t="s">
        <v>979</v>
      </c>
      <c r="C176" s="52" t="s">
        <v>1824</v>
      </c>
      <c r="D176" t="s">
        <v>2955</v>
      </c>
      <c r="E176" t="str">
        <f t="shared" si="2"/>
        <v xml:space="preserve">del-aligarh-branch@ujjivan.com;helpdeskdelhi@ujjivan.com; </v>
      </c>
    </row>
    <row r="177" spans="1:5" x14ac:dyDescent="0.25">
      <c r="A177" s="51" t="s">
        <v>1825</v>
      </c>
      <c r="B177" s="51" t="s">
        <v>874</v>
      </c>
      <c r="C177" s="52" t="s">
        <v>1826</v>
      </c>
      <c r="D177" t="s">
        <v>2955</v>
      </c>
      <c r="E177" t="str">
        <f t="shared" si="2"/>
        <v xml:space="preserve">del-faridabad-branch@ujjivan.com;helpdeskdelhi@ujjivan.com; </v>
      </c>
    </row>
    <row r="178" spans="1:5" x14ac:dyDescent="0.25">
      <c r="A178" s="51" t="s">
        <v>1827</v>
      </c>
      <c r="B178" s="51" t="s">
        <v>981</v>
      </c>
      <c r="C178" s="52" t="s">
        <v>1828</v>
      </c>
      <c r="D178" t="s">
        <v>2955</v>
      </c>
      <c r="E178" t="str">
        <f t="shared" si="2"/>
        <v xml:space="preserve">del-khurja-branch@ujjivan.com;helpdeskdelhi@ujjivan.com; </v>
      </c>
    </row>
    <row r="179" spans="1:5" x14ac:dyDescent="0.25">
      <c r="A179" s="51" t="s">
        <v>1829</v>
      </c>
      <c r="B179" s="51" t="s">
        <v>982</v>
      </c>
      <c r="C179" s="52" t="s">
        <v>1830</v>
      </c>
      <c r="D179" t="s">
        <v>2955</v>
      </c>
      <c r="E179" t="str">
        <f t="shared" si="2"/>
        <v xml:space="preserve">del-meerut-branch@ujjivan.com;helpdeskdelhi@ujjivan.com; </v>
      </c>
    </row>
    <row r="180" spans="1:5" x14ac:dyDescent="0.25">
      <c r="A180" s="51" t="s">
        <v>1831</v>
      </c>
      <c r="B180" s="51" t="s">
        <v>959</v>
      </c>
      <c r="C180" s="52" t="s">
        <v>1832</v>
      </c>
      <c r="D180" t="s">
        <v>2955</v>
      </c>
      <c r="E180" t="str">
        <f t="shared" si="2"/>
        <v xml:space="preserve">del-ajmer-branch@ujjivan.com;helpdeskdelhi@ujjivan.com; </v>
      </c>
    </row>
    <row r="181" spans="1:5" x14ac:dyDescent="0.25">
      <c r="A181" s="51" t="s">
        <v>1833</v>
      </c>
      <c r="B181" s="51" t="s">
        <v>960</v>
      </c>
      <c r="C181" s="52" t="s">
        <v>1834</v>
      </c>
      <c r="D181" t="s">
        <v>2955</v>
      </c>
      <c r="E181" t="str">
        <f t="shared" si="2"/>
        <v xml:space="preserve">del-tonk-branch@ujjivan.com;helpdeskdelhi@ujjivan.com; </v>
      </c>
    </row>
    <row r="182" spans="1:5" x14ac:dyDescent="0.25">
      <c r="A182" s="51" t="s">
        <v>1835</v>
      </c>
      <c r="B182" s="51" t="s">
        <v>1836</v>
      </c>
      <c r="C182" s="52" t="s">
        <v>1837</v>
      </c>
      <c r="D182" t="s">
        <v>2955</v>
      </c>
      <c r="E182" t="str">
        <f t="shared" si="2"/>
        <v xml:space="preserve">del-sawaimadhopur-branch@ujjivan.com;helpdeskdelhi@ujjivan.com; </v>
      </c>
    </row>
    <row r="183" spans="1:5" x14ac:dyDescent="0.25">
      <c r="A183" s="51" t="s">
        <v>1838</v>
      </c>
      <c r="B183" s="51" t="s">
        <v>961</v>
      </c>
      <c r="C183" s="52" t="s">
        <v>1839</v>
      </c>
      <c r="D183" t="s">
        <v>2955</v>
      </c>
      <c r="E183" t="str">
        <f t="shared" si="2"/>
        <v xml:space="preserve">del-kota-branch@ujjivan.com;helpdeskdelhi@ujjivan.com; </v>
      </c>
    </row>
    <row r="184" spans="1:5" x14ac:dyDescent="0.25">
      <c r="A184" s="51" t="s">
        <v>1840</v>
      </c>
      <c r="B184" s="51" t="s">
        <v>1841</v>
      </c>
      <c r="C184" s="52" t="s">
        <v>1842</v>
      </c>
      <c r="D184" t="s">
        <v>2955</v>
      </c>
      <c r="E184" t="str">
        <f t="shared" si="2"/>
        <v xml:space="preserve">del-bundi-branch@ujjivan.com;helpdeskdelhi@ujjivan.com; </v>
      </c>
    </row>
    <row r="185" spans="1:5" x14ac:dyDescent="0.25">
      <c r="A185" s="51" t="s">
        <v>1843</v>
      </c>
      <c r="B185" s="51" t="s">
        <v>962</v>
      </c>
      <c r="C185" s="52" t="s">
        <v>1844</v>
      </c>
      <c r="D185" t="s">
        <v>2955</v>
      </c>
      <c r="E185" t="str">
        <f t="shared" si="2"/>
        <v xml:space="preserve">del-jaipur.rajapark-branch@ujjivan.com;helpdeskdelhi@ujjivan.com; </v>
      </c>
    </row>
    <row r="186" spans="1:5" x14ac:dyDescent="0.25">
      <c r="A186" s="51" t="s">
        <v>1845</v>
      </c>
      <c r="B186" s="51" t="s">
        <v>963</v>
      </c>
      <c r="C186" s="52" t="s">
        <v>1846</v>
      </c>
      <c r="D186" t="s">
        <v>2955</v>
      </c>
      <c r="E186" t="str">
        <f t="shared" si="2"/>
        <v xml:space="preserve">del-kishangarh-branch@ujjivan.com;helpdeskdelhi@ujjivan.com; </v>
      </c>
    </row>
    <row r="187" spans="1:5" x14ac:dyDescent="0.25">
      <c r="A187" s="51" t="s">
        <v>1847</v>
      </c>
      <c r="B187" s="51" t="s">
        <v>983</v>
      </c>
      <c r="C187" s="52" t="s">
        <v>1848</v>
      </c>
      <c r="D187" t="s">
        <v>2955</v>
      </c>
      <c r="E187" t="str">
        <f t="shared" si="2"/>
        <v xml:space="preserve">del-roorkee-branch@ujjivan.com;helpdeskdelhi@ujjivan.com; </v>
      </c>
    </row>
    <row r="188" spans="1:5" x14ac:dyDescent="0.25">
      <c r="A188" s="51" t="s">
        <v>1849</v>
      </c>
      <c r="B188" s="51" t="s">
        <v>984</v>
      </c>
      <c r="C188" s="52" t="s">
        <v>1850</v>
      </c>
      <c r="D188" t="s">
        <v>2955</v>
      </c>
      <c r="E188" t="str">
        <f t="shared" si="2"/>
        <v xml:space="preserve">del-haridwar.jawalapur-branch@ujjivan.com;helpdeskdelhi@ujjivan.com; </v>
      </c>
    </row>
    <row r="189" spans="1:5" x14ac:dyDescent="0.25">
      <c r="A189" s="51" t="s">
        <v>1851</v>
      </c>
      <c r="B189" s="51" t="s">
        <v>1852</v>
      </c>
      <c r="C189" s="52" t="s">
        <v>1853</v>
      </c>
      <c r="D189" t="s">
        <v>2955</v>
      </c>
      <c r="E189" t="str">
        <f t="shared" si="2"/>
        <v xml:space="preserve">del-jodhpur.uticolony-branch@ujjivan.com ;helpdeskdelhi@ujjivan.com; </v>
      </c>
    </row>
    <row r="190" spans="1:5" x14ac:dyDescent="0.25">
      <c r="A190" s="51" t="s">
        <v>1854</v>
      </c>
      <c r="B190" s="51" t="s">
        <v>986</v>
      </c>
      <c r="C190" s="52" t="s">
        <v>1855</v>
      </c>
      <c r="D190" t="s">
        <v>2955</v>
      </c>
      <c r="E190" t="str">
        <f t="shared" si="2"/>
        <v xml:space="preserve">del-dehradun.connaught-branch@ujjivan.com;helpdeskdelhi@ujjivan.com; </v>
      </c>
    </row>
    <row r="191" spans="1:5" x14ac:dyDescent="0.25">
      <c r="A191" s="51" t="s">
        <v>1856</v>
      </c>
      <c r="B191" s="51" t="s">
        <v>965</v>
      </c>
      <c r="C191" s="52" t="s">
        <v>1857</v>
      </c>
      <c r="D191" t="s">
        <v>2955</v>
      </c>
      <c r="E191" t="str">
        <f t="shared" si="2"/>
        <v xml:space="preserve">del-jodhpur.shiphouse-branch@ujjivan.com ;helpdeskdelhi@ujjivan.com; </v>
      </c>
    </row>
    <row r="192" spans="1:5" x14ac:dyDescent="0.25">
      <c r="A192" s="51" t="s">
        <v>1858</v>
      </c>
      <c r="B192" s="51" t="s">
        <v>1859</v>
      </c>
      <c r="C192" s="52" t="s">
        <v>1860</v>
      </c>
      <c r="D192" t="s">
        <v>2955</v>
      </c>
      <c r="E192" t="str">
        <f t="shared" si="2"/>
        <v xml:space="preserve">thippesh.j@ujjivan.com;helpdeskdelhi@ujjivan.com; </v>
      </c>
    </row>
    <row r="193" spans="1:5" x14ac:dyDescent="0.25">
      <c r="A193" s="51" t="s">
        <v>1861</v>
      </c>
      <c r="B193" s="51" t="s">
        <v>987</v>
      </c>
      <c r="C193" s="52" t="s">
        <v>1862</v>
      </c>
      <c r="D193" t="s">
        <v>2955</v>
      </c>
      <c r="E193" t="str">
        <f t="shared" si="2"/>
        <v xml:space="preserve">del-sahranpur-branch@ujjivan.com;helpdeskdelhi@ujjivan.com; </v>
      </c>
    </row>
    <row r="194" spans="1:5" x14ac:dyDescent="0.25">
      <c r="A194" s="51" t="s">
        <v>1863</v>
      </c>
      <c r="B194" s="51" t="s">
        <v>966</v>
      </c>
      <c r="C194" s="52" t="s">
        <v>1864</v>
      </c>
      <c r="D194" t="s">
        <v>2955</v>
      </c>
      <c r="E194" t="str">
        <f t="shared" si="2"/>
        <v xml:space="preserve">del-pali-branch@ujjivan.com;helpdeskdelhi@ujjivan.com; </v>
      </c>
    </row>
    <row r="195" spans="1:5" x14ac:dyDescent="0.25">
      <c r="A195" s="51" t="s">
        <v>1865</v>
      </c>
      <c r="B195" s="51" t="s">
        <v>1866</v>
      </c>
      <c r="C195" s="52" t="s">
        <v>1860</v>
      </c>
      <c r="D195" t="s">
        <v>2955</v>
      </c>
      <c r="E195" t="str">
        <f t="shared" ref="E195:E258" si="3">CONCATENATE(C195,";",D195)</f>
        <v xml:space="preserve">thippesh.j@ujjivan.com;helpdeskdelhi@ujjivan.com; </v>
      </c>
    </row>
    <row r="196" spans="1:5" x14ac:dyDescent="0.25">
      <c r="A196" s="51" t="s">
        <v>1867</v>
      </c>
      <c r="B196" s="51" t="s">
        <v>1868</v>
      </c>
      <c r="C196" s="52" t="s">
        <v>1869</v>
      </c>
      <c r="D196" t="s">
        <v>2955</v>
      </c>
      <c r="E196" t="str">
        <f t="shared" si="3"/>
        <v xml:space="preserve">pnb-manimajra-branch@ujjivan.com ;helpdeskdelhi@ujjivan.com; </v>
      </c>
    </row>
    <row r="197" spans="1:5" x14ac:dyDescent="0.25">
      <c r="A197" s="51" t="s">
        <v>1870</v>
      </c>
      <c r="B197" s="51" t="s">
        <v>904</v>
      </c>
      <c r="C197" s="52" t="s">
        <v>1871</v>
      </c>
      <c r="D197" t="s">
        <v>2955</v>
      </c>
      <c r="E197" t="str">
        <f t="shared" si="3"/>
        <v xml:space="preserve">pnb-dhanas-branch@ujjivan.com ;helpdeskdelhi@ujjivan.com; </v>
      </c>
    </row>
    <row r="198" spans="1:5" x14ac:dyDescent="0.25">
      <c r="A198" s="51" t="s">
        <v>1872</v>
      </c>
      <c r="B198" s="51" t="s">
        <v>906</v>
      </c>
      <c r="C198" s="52" t="s">
        <v>1873</v>
      </c>
      <c r="D198" t="s">
        <v>2955</v>
      </c>
      <c r="E198" t="str">
        <f t="shared" si="3"/>
        <v xml:space="preserve">pnb-ambala-branch@ujjivan.com ;helpdeskdelhi@ujjivan.com; </v>
      </c>
    </row>
    <row r="199" spans="1:5" x14ac:dyDescent="0.25">
      <c r="A199" s="51" t="s">
        <v>1874</v>
      </c>
      <c r="B199" s="51" t="s">
        <v>1875</v>
      </c>
      <c r="C199" s="52" t="s">
        <v>867</v>
      </c>
      <c r="D199" t="s">
        <v>2955</v>
      </c>
      <c r="E199" t="str">
        <f t="shared" si="3"/>
        <v xml:space="preserve">del-hastsal-branch@ujjivan.com;helpdeskdelhi@ujjivan.com; </v>
      </c>
    </row>
    <row r="200" spans="1:5" x14ac:dyDescent="0.25">
      <c r="A200" s="51" t="s">
        <v>1876</v>
      </c>
      <c r="B200" s="51" t="s">
        <v>1877</v>
      </c>
      <c r="C200" s="52" t="s">
        <v>1878</v>
      </c>
      <c r="D200" t="s">
        <v>2955</v>
      </c>
      <c r="E200" t="str">
        <f t="shared" si="3"/>
        <v xml:space="preserve">del-janakpuri-branch@ujjivan.com ;helpdeskdelhi@ujjivan.com; </v>
      </c>
    </row>
    <row r="201" spans="1:5" x14ac:dyDescent="0.25">
      <c r="A201" s="51" t="s">
        <v>1879</v>
      </c>
      <c r="B201" s="51" t="s">
        <v>875</v>
      </c>
      <c r="C201" s="52" t="s">
        <v>1880</v>
      </c>
      <c r="D201" t="s">
        <v>2955</v>
      </c>
      <c r="E201" t="str">
        <f t="shared" si="3"/>
        <v xml:space="preserve">del-palwal-branch@ujjivan.com ;helpdeskdelhi@ujjivan.com; </v>
      </c>
    </row>
    <row r="202" spans="1:5" x14ac:dyDescent="0.25">
      <c r="A202" s="51" t="s">
        <v>1881</v>
      </c>
      <c r="B202" s="51" t="s">
        <v>908</v>
      </c>
      <c r="C202" s="52" t="s">
        <v>1882</v>
      </c>
      <c r="D202" t="s">
        <v>2955</v>
      </c>
      <c r="E202" t="str">
        <f t="shared" si="3"/>
        <v xml:space="preserve">del-rewari-branch@ujjivan.com;helpdeskdelhi@ujjivan.com; </v>
      </c>
    </row>
    <row r="203" spans="1:5" x14ac:dyDescent="0.25">
      <c r="A203" s="51" t="s">
        <v>1883</v>
      </c>
      <c r="B203" s="51" t="s">
        <v>1884</v>
      </c>
      <c r="C203" s="52" t="s">
        <v>1885</v>
      </c>
      <c r="D203" t="s">
        <v>2955</v>
      </c>
      <c r="E203" t="str">
        <f t="shared" si="3"/>
        <v xml:space="preserve">del-sanganer-branch@ujjivan.com ;helpdeskdelhi@ujjivan.com; </v>
      </c>
    </row>
    <row r="204" spans="1:5" x14ac:dyDescent="0.25">
      <c r="A204" s="51" t="s">
        <v>1886</v>
      </c>
      <c r="B204" s="51" t="s">
        <v>988</v>
      </c>
      <c r="C204" s="52" t="s">
        <v>1887</v>
      </c>
      <c r="D204" t="s">
        <v>2955</v>
      </c>
      <c r="E204" t="str">
        <f t="shared" si="3"/>
        <v xml:space="preserve">up-agra.shubhashpark-branch@ujjivan.com;helpdeskdelhi@ujjivan.com; </v>
      </c>
    </row>
    <row r="205" spans="1:5" x14ac:dyDescent="0.25">
      <c r="A205" s="51" t="s">
        <v>1888</v>
      </c>
      <c r="B205" s="51" t="s">
        <v>989</v>
      </c>
      <c r="C205" s="52" t="s">
        <v>1889</v>
      </c>
      <c r="D205" t="s">
        <v>2955</v>
      </c>
      <c r="E205" t="str">
        <f t="shared" si="3"/>
        <v xml:space="preserve">up-agra.rambag-branch@ujjivan.com ;helpdeskdelhi@ujjivan.com; </v>
      </c>
    </row>
    <row r="206" spans="1:5" x14ac:dyDescent="0.25">
      <c r="A206" s="51" t="s">
        <v>1890</v>
      </c>
      <c r="B206" s="51" t="s">
        <v>1891</v>
      </c>
      <c r="C206" s="52" t="s">
        <v>1892</v>
      </c>
      <c r="D206" t="s">
        <v>2955</v>
      </c>
      <c r="E206" t="str">
        <f t="shared" si="3"/>
        <v xml:space="preserve">del-brahampuri-branch@ujjivan.com ;helpdeskdelhi@ujjivan.com; </v>
      </c>
    </row>
    <row r="207" spans="1:5" x14ac:dyDescent="0.25">
      <c r="A207" s="54" t="s">
        <v>1893</v>
      </c>
      <c r="B207" s="51" t="s">
        <v>990</v>
      </c>
      <c r="C207" s="52" t="s">
        <v>1894</v>
      </c>
      <c r="D207" t="s">
        <v>2955</v>
      </c>
      <c r="E207" t="str">
        <f t="shared" si="3"/>
        <v xml:space="preserve">up-firoabad-branch@ujjivan.com ;helpdeskdelhi@ujjivan.com; </v>
      </c>
    </row>
    <row r="208" spans="1:5" x14ac:dyDescent="0.25">
      <c r="A208" s="51" t="s">
        <v>1895</v>
      </c>
      <c r="B208" s="51" t="s">
        <v>991</v>
      </c>
      <c r="C208" s="52" t="s">
        <v>1896</v>
      </c>
      <c r="D208" t="s">
        <v>2955</v>
      </c>
      <c r="E208" t="str">
        <f t="shared" si="3"/>
        <v xml:space="preserve">up-modinagar-branch@ujjivan.com;helpdeskdelhi@ujjivan.com; </v>
      </c>
    </row>
    <row r="209" spans="1:5" x14ac:dyDescent="0.25">
      <c r="A209" s="51" t="s">
        <v>1897</v>
      </c>
      <c r="B209" s="51" t="s">
        <v>1898</v>
      </c>
      <c r="C209" s="52" t="s">
        <v>1860</v>
      </c>
      <c r="D209" t="s">
        <v>2955</v>
      </c>
      <c r="E209" t="str">
        <f t="shared" si="3"/>
        <v xml:space="preserve">thippesh.j@ujjivan.com;helpdeskdelhi@ujjivan.com; </v>
      </c>
    </row>
    <row r="210" spans="1:5" x14ac:dyDescent="0.25">
      <c r="A210" s="51" t="s">
        <v>1899</v>
      </c>
      <c r="B210" s="51" t="s">
        <v>992</v>
      </c>
      <c r="C210" s="52" t="s">
        <v>1900</v>
      </c>
      <c r="D210" t="s">
        <v>2955</v>
      </c>
      <c r="E210" t="str">
        <f t="shared" si="3"/>
        <v xml:space="preserve">up-hapur-branch@ujjivan.com;helpdeskdelhi@ujjivan.com; </v>
      </c>
    </row>
    <row r="211" spans="1:5" x14ac:dyDescent="0.25">
      <c r="A211" s="51" t="s">
        <v>1901</v>
      </c>
      <c r="B211" s="51" t="s">
        <v>1902</v>
      </c>
      <c r="C211" s="52" t="s">
        <v>1860</v>
      </c>
      <c r="D211" t="s">
        <v>2955</v>
      </c>
      <c r="E211" t="str">
        <f t="shared" si="3"/>
        <v xml:space="preserve">thippesh.j@ujjivan.com;helpdeskdelhi@ujjivan.com; </v>
      </c>
    </row>
    <row r="212" spans="1:5" x14ac:dyDescent="0.25">
      <c r="A212" s="51" t="s">
        <v>1903</v>
      </c>
      <c r="B212" s="51" t="s">
        <v>1904</v>
      </c>
      <c r="C212" s="52" t="s">
        <v>1860</v>
      </c>
      <c r="D212" t="s">
        <v>2955</v>
      </c>
      <c r="E212" t="str">
        <f t="shared" si="3"/>
        <v xml:space="preserve">thippesh.j@ujjivan.com;helpdeskdelhi@ujjivan.com; </v>
      </c>
    </row>
    <row r="213" spans="1:5" x14ac:dyDescent="0.25">
      <c r="A213" s="51" t="s">
        <v>1905</v>
      </c>
      <c r="B213" s="51" t="s">
        <v>1904</v>
      </c>
      <c r="C213" s="52" t="s">
        <v>1906</v>
      </c>
      <c r="D213" t="s">
        <v>2955</v>
      </c>
      <c r="E213" t="str">
        <f t="shared" si="3"/>
        <v xml:space="preserve">del-soniavihar-branch@ujjivan.com;helpdeskdelhi@ujjivan.com; </v>
      </c>
    </row>
    <row r="214" spans="1:5" x14ac:dyDescent="0.25">
      <c r="A214" s="51" t="s">
        <v>1907</v>
      </c>
      <c r="B214" s="51" t="s">
        <v>876</v>
      </c>
      <c r="C214" s="52" t="s">
        <v>1908</v>
      </c>
      <c r="D214" t="s">
        <v>2955</v>
      </c>
      <c r="E214" t="str">
        <f t="shared" si="3"/>
        <v xml:space="preserve">del-usmanpur-branch@ujjivan.com;helpdeskdelhi@ujjivan.com; </v>
      </c>
    </row>
    <row r="215" spans="1:5" x14ac:dyDescent="0.25">
      <c r="A215" s="51" t="s">
        <v>1909</v>
      </c>
      <c r="B215" s="51" t="s">
        <v>912</v>
      </c>
      <c r="C215" s="52" t="s">
        <v>1910</v>
      </c>
      <c r="D215" t="s">
        <v>2955</v>
      </c>
      <c r="E215" t="str">
        <f t="shared" si="3"/>
        <v xml:space="preserve">pnb-abohar-branch@ujjivan.com;helpdeskdelhi@ujjivan.com; </v>
      </c>
    </row>
    <row r="216" spans="1:5" x14ac:dyDescent="0.25">
      <c r="A216" s="51" t="s">
        <v>1911</v>
      </c>
      <c r="B216" s="51" t="s">
        <v>913</v>
      </c>
      <c r="C216" s="52" t="s">
        <v>1912</v>
      </c>
      <c r="D216" t="s">
        <v>2955</v>
      </c>
      <c r="E216" t="str">
        <f t="shared" si="3"/>
        <v xml:space="preserve">har-hissar-branch@ujjivan.com;helpdeskdelhi@ujjivan.com; </v>
      </c>
    </row>
    <row r="217" spans="1:5" x14ac:dyDescent="0.25">
      <c r="A217" s="51" t="s">
        <v>1913</v>
      </c>
      <c r="B217" s="51" t="s">
        <v>914</v>
      </c>
      <c r="C217" s="52" t="s">
        <v>1914</v>
      </c>
      <c r="D217" t="s">
        <v>2955</v>
      </c>
      <c r="E217" t="str">
        <f t="shared" si="3"/>
        <v xml:space="preserve">har-jind-branch@ujjivan.com;helpdeskdelhi@ujjivan.com; </v>
      </c>
    </row>
    <row r="218" spans="1:5" x14ac:dyDescent="0.25">
      <c r="A218" s="51" t="s">
        <v>1915</v>
      </c>
      <c r="B218" s="51" t="s">
        <v>915</v>
      </c>
      <c r="C218" s="52" t="s">
        <v>1916</v>
      </c>
      <c r="D218" t="s">
        <v>2955</v>
      </c>
      <c r="E218" t="str">
        <f t="shared" si="3"/>
        <v xml:space="preserve">har-bhiwani-branch@ujjivan.com;helpdeskdelhi@ujjivan.com; </v>
      </c>
    </row>
    <row r="219" spans="1:5" x14ac:dyDescent="0.25">
      <c r="A219" s="51" t="s">
        <v>1917</v>
      </c>
      <c r="B219" s="51" t="s">
        <v>916</v>
      </c>
      <c r="C219" s="52" t="s">
        <v>1918</v>
      </c>
      <c r="D219" t="s">
        <v>2955</v>
      </c>
      <c r="E219" t="str">
        <f t="shared" si="3"/>
        <v xml:space="preserve">har-rohtak-branch@ujjivan.com;helpdeskdelhi@ujjivan.com; </v>
      </c>
    </row>
    <row r="220" spans="1:5" x14ac:dyDescent="0.25">
      <c r="A220" s="51" t="s">
        <v>1919</v>
      </c>
      <c r="B220" s="51" t="s">
        <v>995</v>
      </c>
      <c r="C220" s="52" t="s">
        <v>1920</v>
      </c>
      <c r="D220" t="s">
        <v>2955</v>
      </c>
      <c r="E220" t="str">
        <f t="shared" si="3"/>
        <v xml:space="preserve">up-kankarkhera-branch@ujjivan.com ;helpdeskdelhi@ujjivan.com; </v>
      </c>
    </row>
    <row r="221" spans="1:5" x14ac:dyDescent="0.25">
      <c r="A221" s="51" t="s">
        <v>1921</v>
      </c>
      <c r="B221" s="51" t="s">
        <v>1922</v>
      </c>
      <c r="C221" s="52" t="s">
        <v>1923</v>
      </c>
      <c r="D221" t="s">
        <v>2955</v>
      </c>
      <c r="E221" t="str">
        <f t="shared" si="3"/>
        <v xml:space="preserve">del-santnagar-branch@ujjivan.com;helpdeskdelhi@ujjivan.com; </v>
      </c>
    </row>
    <row r="222" spans="1:5" x14ac:dyDescent="0.25">
      <c r="A222" s="51" t="s">
        <v>1924</v>
      </c>
      <c r="B222" s="51" t="s">
        <v>997</v>
      </c>
      <c r="C222" s="52" t="s">
        <v>1925</v>
      </c>
      <c r="D222" t="s">
        <v>2955</v>
      </c>
      <c r="E222" t="str">
        <f t="shared" si="3"/>
        <v xml:space="preserve">up-sikandrabad-branch@ujjivan.com;helpdeskdelhi@ujjivan.com; </v>
      </c>
    </row>
    <row r="223" spans="1:5" x14ac:dyDescent="0.25">
      <c r="A223" s="51" t="s">
        <v>1926</v>
      </c>
      <c r="B223" s="51" t="s">
        <v>879</v>
      </c>
      <c r="C223" s="52" t="s">
        <v>1927</v>
      </c>
      <c r="D223" t="s">
        <v>2955</v>
      </c>
      <c r="E223" t="str">
        <f t="shared" si="3"/>
        <v xml:space="preserve">del-narela-branch@ujjivan.com;helpdeskdelhi@ujjivan.com; </v>
      </c>
    </row>
    <row r="224" spans="1:5" x14ac:dyDescent="0.25">
      <c r="A224" s="51" t="s">
        <v>1928</v>
      </c>
      <c r="B224" s="51" t="s">
        <v>879</v>
      </c>
      <c r="C224" s="52" t="s">
        <v>1927</v>
      </c>
      <c r="D224" t="s">
        <v>2955</v>
      </c>
      <c r="E224" t="str">
        <f t="shared" si="3"/>
        <v xml:space="preserve">del-narela-branch@ujjivan.com;helpdeskdelhi@ujjivan.com; </v>
      </c>
    </row>
    <row r="225" spans="1:5" x14ac:dyDescent="0.25">
      <c r="A225" s="51" t="s">
        <v>1929</v>
      </c>
      <c r="B225" s="51" t="s">
        <v>881</v>
      </c>
      <c r="C225" s="52" t="s">
        <v>1930</v>
      </c>
      <c r="D225" t="s">
        <v>2955</v>
      </c>
      <c r="E225" t="str">
        <f t="shared" si="3"/>
        <v xml:space="preserve">har-sonepat-branch@ujjivan.com;helpdeskdelhi@ujjivan.com; </v>
      </c>
    </row>
    <row r="226" spans="1:5" x14ac:dyDescent="0.25">
      <c r="A226" s="51" t="s">
        <v>1931</v>
      </c>
      <c r="B226" s="51" t="s">
        <v>881</v>
      </c>
      <c r="C226" s="52" t="s">
        <v>1930</v>
      </c>
      <c r="D226" t="s">
        <v>2955</v>
      </c>
      <c r="E226" t="str">
        <f t="shared" si="3"/>
        <v xml:space="preserve">har-sonepat-branch@ujjivan.com;helpdeskdelhi@ujjivan.com; </v>
      </c>
    </row>
    <row r="227" spans="1:5" x14ac:dyDescent="0.25">
      <c r="A227" s="51" t="s">
        <v>1932</v>
      </c>
      <c r="B227" s="51" t="s">
        <v>917</v>
      </c>
      <c r="C227" s="52" t="s">
        <v>1933</v>
      </c>
      <c r="D227" t="s">
        <v>2955</v>
      </c>
      <c r="E227" t="str">
        <f t="shared" si="3"/>
        <v xml:space="preserve">del-shriganganagar-branch@ujjivan.com;helpdeskdelhi@ujjivan.com; </v>
      </c>
    </row>
    <row r="228" spans="1:5" x14ac:dyDescent="0.25">
      <c r="A228" s="51" t="s">
        <v>1934</v>
      </c>
      <c r="B228" s="51" t="s">
        <v>919</v>
      </c>
      <c r="C228" s="52" t="s">
        <v>1935</v>
      </c>
      <c r="D228" t="s">
        <v>2955</v>
      </c>
      <c r="E228" t="str">
        <f t="shared" si="3"/>
        <v xml:space="preserve">del-hanumangarh-branch@ujjivan.com;helpdeskdelhi@ujjivan.com; </v>
      </c>
    </row>
    <row r="229" spans="1:5" x14ac:dyDescent="0.25">
      <c r="A229" s="51" t="s">
        <v>1936</v>
      </c>
      <c r="B229" s="51" t="s">
        <v>1937</v>
      </c>
      <c r="C229" s="52" t="s">
        <v>1938</v>
      </c>
      <c r="D229" t="s">
        <v>2955</v>
      </c>
      <c r="E229" t="str">
        <f t="shared" si="3"/>
        <v xml:space="preserve">har-sirsa-branch@ujjivan.com;helpdeskdelhi@ujjivan.com; </v>
      </c>
    </row>
    <row r="230" spans="1:5" x14ac:dyDescent="0.25">
      <c r="A230" s="51" t="s">
        <v>1939</v>
      </c>
      <c r="B230" s="51" t="s">
        <v>920</v>
      </c>
      <c r="C230" s="52" t="s">
        <v>1940</v>
      </c>
      <c r="D230" t="s">
        <v>2955</v>
      </c>
      <c r="E230" t="str">
        <f t="shared" si="3"/>
        <v xml:space="preserve">pnb-bhatinda-branch@ujjivan.com;helpdeskdelhi@ujjivan.com; </v>
      </c>
    </row>
    <row r="231" spans="1:5" x14ac:dyDescent="0.25">
      <c r="A231" s="51" t="s">
        <v>1941</v>
      </c>
      <c r="B231" s="51" t="s">
        <v>998</v>
      </c>
      <c r="C231" s="52" t="s">
        <v>1942</v>
      </c>
      <c r="D231" t="s">
        <v>2955</v>
      </c>
      <c r="E231" t="str">
        <f t="shared" si="3"/>
        <v xml:space="preserve">up-aligarh2-branch@ujjivan.com;helpdeskdelhi@ujjivan.com; </v>
      </c>
    </row>
    <row r="232" spans="1:5" x14ac:dyDescent="0.25">
      <c r="A232" s="51" t="s">
        <v>1943</v>
      </c>
      <c r="B232" s="51" t="s">
        <v>1944</v>
      </c>
      <c r="C232" s="52" t="s">
        <v>1826</v>
      </c>
      <c r="D232" t="s">
        <v>2955</v>
      </c>
      <c r="E232" t="str">
        <f t="shared" si="3"/>
        <v xml:space="preserve">del-faridabad-branch@ujjivan.com;helpdeskdelhi@ujjivan.com; </v>
      </c>
    </row>
    <row r="233" spans="1:5" x14ac:dyDescent="0.25">
      <c r="A233" s="51" t="s">
        <v>1945</v>
      </c>
      <c r="B233" s="51" t="s">
        <v>1946</v>
      </c>
      <c r="C233" s="52" t="s">
        <v>1947</v>
      </c>
      <c r="D233" t="s">
        <v>2955</v>
      </c>
      <c r="E233" t="str">
        <f t="shared" si="3"/>
        <v xml:space="preserve">del-mohannagar-branch@ujjivan.com;helpdeskdelhi@ujjivan.com; </v>
      </c>
    </row>
    <row r="234" spans="1:5" x14ac:dyDescent="0.25">
      <c r="A234" s="51" t="s">
        <v>1948</v>
      </c>
      <c r="B234" s="51" t="s">
        <v>1949</v>
      </c>
      <c r="C234" s="52" t="s">
        <v>1950</v>
      </c>
      <c r="D234" t="s">
        <v>2955</v>
      </c>
      <c r="E234" t="str">
        <f t="shared" si="3"/>
        <v xml:space="preserve">del-govindpuri-branch@ujjivan.com;helpdeskdelhi@ujjivan.com; </v>
      </c>
    </row>
    <row r="235" spans="1:5" x14ac:dyDescent="0.25">
      <c r="A235" s="51" t="s">
        <v>1951</v>
      </c>
      <c r="B235" s="51" t="s">
        <v>883</v>
      </c>
      <c r="C235" s="52" t="s">
        <v>1952</v>
      </c>
      <c r="D235" t="s">
        <v>2955</v>
      </c>
      <c r="E235" t="str">
        <f t="shared" si="3"/>
        <v xml:space="preserve">har-panipat-branch@ujjivan.com;helpdeskdelhi@ujjivan.com; </v>
      </c>
    </row>
    <row r="236" spans="1:5" x14ac:dyDescent="0.25">
      <c r="A236" s="51" t="s">
        <v>1953</v>
      </c>
      <c r="B236" s="51" t="s">
        <v>922</v>
      </c>
      <c r="C236" s="52" t="s">
        <v>1954</v>
      </c>
      <c r="D236" t="s">
        <v>2955</v>
      </c>
      <c r="E236" t="str">
        <f t="shared" si="3"/>
        <v xml:space="preserve">har-karnal-branch@ujjivan.com;helpdeskdelhi@ujjivan.com; </v>
      </c>
    </row>
    <row r="237" spans="1:5" x14ac:dyDescent="0.25">
      <c r="A237" s="51" t="s">
        <v>1955</v>
      </c>
      <c r="B237" s="51" t="s">
        <v>923</v>
      </c>
      <c r="C237" s="52" t="s">
        <v>1956</v>
      </c>
      <c r="D237" t="s">
        <v>2955</v>
      </c>
      <c r="E237" t="str">
        <f t="shared" si="3"/>
        <v xml:space="preserve">pnb-ludhianashimlapuri-branch@ujjivan.com;helpdeskdelhi@ujjivan.com; </v>
      </c>
    </row>
    <row r="238" spans="1:5" x14ac:dyDescent="0.25">
      <c r="A238" s="51" t="s">
        <v>1957</v>
      </c>
      <c r="B238" s="51" t="s">
        <v>924</v>
      </c>
      <c r="C238" s="52" t="s">
        <v>1958</v>
      </c>
      <c r="D238" t="s">
        <v>2955</v>
      </c>
      <c r="E238" t="str">
        <f t="shared" si="3"/>
        <v xml:space="preserve">pnb-ludhiananewshivajinagar-branch@ujjivan.com;helpdeskdelhi@ujjivan.com; </v>
      </c>
    </row>
    <row r="239" spans="1:5" x14ac:dyDescent="0.25">
      <c r="A239" s="51" t="s">
        <v>1959</v>
      </c>
      <c r="B239" s="51" t="s">
        <v>925</v>
      </c>
      <c r="C239" s="52" t="s">
        <v>1960</v>
      </c>
      <c r="D239" t="s">
        <v>2955</v>
      </c>
      <c r="E239" t="str">
        <f t="shared" si="3"/>
        <v xml:space="preserve">pnb-jalandhar-branch@ujjivan.com;helpdeskdelhi@ujjivan.com; </v>
      </c>
    </row>
    <row r="240" spans="1:5" x14ac:dyDescent="0.25">
      <c r="A240" s="51" t="s">
        <v>1961</v>
      </c>
      <c r="B240" s="51" t="s">
        <v>926</v>
      </c>
      <c r="C240" s="52" t="s">
        <v>1962</v>
      </c>
      <c r="D240" t="s">
        <v>2955</v>
      </c>
      <c r="E240" t="str">
        <f t="shared" si="3"/>
        <v xml:space="preserve">pnb-ropar-branch@ujjivan.com;helpdeskdelhi@ujjivan.com; </v>
      </c>
    </row>
    <row r="241" spans="1:5" x14ac:dyDescent="0.25">
      <c r="A241" s="51" t="s">
        <v>1963</v>
      </c>
      <c r="B241" s="51" t="s">
        <v>1964</v>
      </c>
      <c r="C241" s="52" t="s">
        <v>1965</v>
      </c>
      <c r="D241" t="s">
        <v>2955</v>
      </c>
      <c r="E241" t="str">
        <f t="shared" si="3"/>
        <v xml:space="preserve">pnb-sangrur-branch@ujjivan.com;helpdeskdelhi@ujjivan.com; </v>
      </c>
    </row>
    <row r="242" spans="1:5" x14ac:dyDescent="0.25">
      <c r="A242" s="51" t="s">
        <v>1966</v>
      </c>
      <c r="B242" s="51" t="s">
        <v>927</v>
      </c>
      <c r="C242" s="52" t="s">
        <v>1967</v>
      </c>
      <c r="D242" t="s">
        <v>2955</v>
      </c>
      <c r="E242" t="str">
        <f t="shared" si="3"/>
        <v xml:space="preserve">pnb-amritsar-branch@ujjivan.com;helpdeskdelhi@ujjivan.com; </v>
      </c>
    </row>
    <row r="243" spans="1:5" x14ac:dyDescent="0.25">
      <c r="A243" s="51" t="s">
        <v>1968</v>
      </c>
      <c r="B243" s="51" t="s">
        <v>928</v>
      </c>
      <c r="C243" s="52" t="s">
        <v>1969</v>
      </c>
      <c r="D243" t="s">
        <v>2955</v>
      </c>
      <c r="E243" t="str">
        <f t="shared" si="3"/>
        <v xml:space="preserve">pnb-patiala-branch@ujjivan.com;helpdeskdelhi@ujjivan.com; </v>
      </c>
    </row>
    <row r="244" spans="1:5" x14ac:dyDescent="0.25">
      <c r="A244" s="51" t="s">
        <v>1970</v>
      </c>
      <c r="B244" s="51" t="s">
        <v>967</v>
      </c>
      <c r="C244" s="52" t="s">
        <v>1971</v>
      </c>
      <c r="D244" t="s">
        <v>2955</v>
      </c>
      <c r="E244" t="str">
        <f t="shared" si="3"/>
        <v xml:space="preserve">del-jaipur.jhotwara-branch@ujjivan.com;helpdeskdelhi@ujjivan.com; </v>
      </c>
    </row>
    <row r="245" spans="1:5" x14ac:dyDescent="0.25">
      <c r="A245" s="51" t="s">
        <v>1972</v>
      </c>
      <c r="B245" s="51" t="s">
        <v>999</v>
      </c>
      <c r="C245" s="52" t="s">
        <v>1973</v>
      </c>
      <c r="D245" t="s">
        <v>2955</v>
      </c>
      <c r="E245" t="str">
        <f t="shared" si="3"/>
        <v xml:space="preserve">uk.rishikesh- branch &lt;uk.rishikesh-branch@ujjivan.com&gt;;helpdeskdelhi@ujjivan.com; </v>
      </c>
    </row>
    <row r="246" spans="1:5" x14ac:dyDescent="0.25">
      <c r="A246" s="51" t="s">
        <v>1974</v>
      </c>
      <c r="B246" s="51" t="s">
        <v>1000</v>
      </c>
      <c r="C246" s="52" t="s">
        <v>1975</v>
      </c>
      <c r="D246" t="s">
        <v>2955</v>
      </c>
      <c r="E246" t="str">
        <f t="shared" si="3"/>
        <v xml:space="preserve">uk.vikasnagar-branch@ujjivan.com;helpdeskdelhi@ujjivan.com; </v>
      </c>
    </row>
    <row r="247" spans="1:5" x14ac:dyDescent="0.25">
      <c r="A247" s="51" t="s">
        <v>1976</v>
      </c>
      <c r="B247" s="51" t="s">
        <v>887</v>
      </c>
      <c r="C247" s="52" t="s">
        <v>1977</v>
      </c>
      <c r="D247" t="s">
        <v>2955</v>
      </c>
      <c r="E247" t="str">
        <f t="shared" si="3"/>
        <v xml:space="preserve">mp-indore1-branch@ujjivan.com;helpdeskdelhi@ujjivan.com; </v>
      </c>
    </row>
    <row r="248" spans="1:5" x14ac:dyDescent="0.25">
      <c r="A248" s="51" t="s">
        <v>1978</v>
      </c>
      <c r="B248" s="51" t="s">
        <v>889</v>
      </c>
      <c r="C248" s="52" t="s">
        <v>1979</v>
      </c>
      <c r="D248" t="s">
        <v>2955</v>
      </c>
      <c r="E248" t="str">
        <f t="shared" si="3"/>
        <v xml:space="preserve">mp-indore2-branch@ujjivan.com;helpdeskdelhi@ujjivan.com; </v>
      </c>
    </row>
    <row r="249" spans="1:5" x14ac:dyDescent="0.25">
      <c r="A249" s="51" t="s">
        <v>1980</v>
      </c>
      <c r="B249" s="51" t="s">
        <v>890</v>
      </c>
      <c r="C249" s="52" t="s">
        <v>1981</v>
      </c>
      <c r="D249" t="s">
        <v>2955</v>
      </c>
      <c r="E249" t="str">
        <f t="shared" si="3"/>
        <v xml:space="preserve">mp-pithampur- branch &lt;mp-pithampur-branch@ujjivan.com&gt;;helpdeskdelhi@ujjivan.com; </v>
      </c>
    </row>
    <row r="250" spans="1:5" x14ac:dyDescent="0.25">
      <c r="A250" s="51" t="s">
        <v>1982</v>
      </c>
      <c r="B250" s="51" t="s">
        <v>969</v>
      </c>
      <c r="C250" s="52" t="s">
        <v>1983</v>
      </c>
      <c r="D250" t="s">
        <v>2955</v>
      </c>
      <c r="E250" t="str">
        <f t="shared" si="3"/>
        <v xml:space="preserve">raj-bhilwara-branch@ujjivan.com;helpdeskdelhi@ujjivan.com; </v>
      </c>
    </row>
    <row r="251" spans="1:5" x14ac:dyDescent="0.25">
      <c r="A251" s="51" t="s">
        <v>1984</v>
      </c>
      <c r="B251" s="51" t="s">
        <v>1985</v>
      </c>
      <c r="C251" s="52" t="s">
        <v>1986</v>
      </c>
      <c r="D251" t="s">
        <v>2955</v>
      </c>
      <c r="E251" t="str">
        <f t="shared" si="3"/>
        <v xml:space="preserve">har-kaithal-branch@ujjivan.com;helpdeskdelhi@ujjivan.com; </v>
      </c>
    </row>
    <row r="252" spans="1:5" x14ac:dyDescent="0.25">
      <c r="A252" s="51" t="s">
        <v>1987</v>
      </c>
      <c r="B252" s="51" t="s">
        <v>1988</v>
      </c>
      <c r="C252" s="52" t="s">
        <v>1989</v>
      </c>
      <c r="D252" t="s">
        <v>2955</v>
      </c>
      <c r="E252" t="str">
        <f t="shared" si="3"/>
        <v xml:space="preserve">har-kurushetra-branch@ujjivan.com;helpdeskdelhi@ujjivan.com; </v>
      </c>
    </row>
    <row r="253" spans="1:5" x14ac:dyDescent="0.25">
      <c r="A253" s="51" t="s">
        <v>1990</v>
      </c>
      <c r="B253" s="51" t="s">
        <v>929</v>
      </c>
      <c r="C253" s="52" t="s">
        <v>1991</v>
      </c>
      <c r="D253" t="s">
        <v>2955</v>
      </c>
      <c r="E253" t="str">
        <f t="shared" si="3"/>
        <v xml:space="preserve">har-yamunanagar-branch@ujjivan.com;helpdeskdelhi@ujjivan.com; </v>
      </c>
    </row>
    <row r="254" spans="1:5" x14ac:dyDescent="0.25">
      <c r="A254" s="51" t="s">
        <v>1992</v>
      </c>
      <c r="B254" s="51" t="s">
        <v>1001</v>
      </c>
      <c r="C254" s="52" t="s">
        <v>1993</v>
      </c>
      <c r="D254" t="s">
        <v>2955</v>
      </c>
      <c r="E254" t="str">
        <f t="shared" si="3"/>
        <v xml:space="preserve">up-meerut2-branch up-meerut2-branch &lt;meerut2@ujjivan.com&gt;;helpdeskdelhi@ujjivan.com; </v>
      </c>
    </row>
    <row r="255" spans="1:5" x14ac:dyDescent="0.25">
      <c r="A255" s="51" t="s">
        <v>1994</v>
      </c>
      <c r="B255" s="51" t="s">
        <v>932</v>
      </c>
      <c r="C255" s="55" t="s">
        <v>1995</v>
      </c>
      <c r="D255" t="s">
        <v>2955</v>
      </c>
      <c r="E255" t="str">
        <f t="shared" si="3"/>
        <v xml:space="preserve">hp-una-branch@ujjivan.com ;helpdeskdelhi@ujjivan.com; </v>
      </c>
    </row>
    <row r="256" spans="1:5" x14ac:dyDescent="0.25">
      <c r="A256" s="51" t="s">
        <v>1996</v>
      </c>
      <c r="B256" s="51" t="s">
        <v>933</v>
      </c>
      <c r="C256" s="55" t="s">
        <v>1997</v>
      </c>
      <c r="D256" t="s">
        <v>2955</v>
      </c>
      <c r="E256" t="str">
        <f t="shared" si="3"/>
        <v xml:space="preserve">har-narayangarh-branch@ujjivan.com ;helpdeskdelhi@ujjivan.com; </v>
      </c>
    </row>
    <row r="257" spans="1:5" x14ac:dyDescent="0.25">
      <c r="A257" s="51" t="s">
        <v>1998</v>
      </c>
      <c r="B257" s="51" t="s">
        <v>935</v>
      </c>
      <c r="C257" s="52" t="s">
        <v>1999</v>
      </c>
      <c r="D257" t="s">
        <v>2955</v>
      </c>
      <c r="E257" t="str">
        <f t="shared" si="3"/>
        <v xml:space="preserve">har-jhajjar-branch@ujjivan.com;helpdeskdelhi@ujjivan.com; </v>
      </c>
    </row>
    <row r="258" spans="1:5" x14ac:dyDescent="0.25">
      <c r="A258" s="51" t="s">
        <v>2000</v>
      </c>
      <c r="B258" s="51" t="s">
        <v>891</v>
      </c>
      <c r="C258" s="55" t="s">
        <v>2001</v>
      </c>
      <c r="D258" t="s">
        <v>2955</v>
      </c>
      <c r="E258" t="str">
        <f t="shared" si="3"/>
        <v xml:space="preserve">mp-khargone-branch@ujjivan.com ;helpdeskdelhi@ujjivan.com; </v>
      </c>
    </row>
    <row r="259" spans="1:5" x14ac:dyDescent="0.25">
      <c r="A259" s="51" t="s">
        <v>2002</v>
      </c>
      <c r="B259" s="51" t="s">
        <v>892</v>
      </c>
      <c r="C259" s="55" t="s">
        <v>2003</v>
      </c>
      <c r="D259" t="s">
        <v>2955</v>
      </c>
      <c r="E259" t="str">
        <f t="shared" ref="E259:E322" si="4">CONCATENATE(C259,";",D259)</f>
        <v xml:space="preserve">mp-khandwa-branch@ujjivan.com ;helpdeskdelhi@ujjivan.com; </v>
      </c>
    </row>
    <row r="260" spans="1:5" x14ac:dyDescent="0.25">
      <c r="A260" s="51" t="s">
        <v>2004</v>
      </c>
      <c r="B260" s="51" t="s">
        <v>893</v>
      </c>
      <c r="C260" s="55" t="s">
        <v>2005</v>
      </c>
      <c r="D260" t="s">
        <v>2955</v>
      </c>
      <c r="E260" t="str">
        <f t="shared" si="4"/>
        <v xml:space="preserve">mp-sanawad-branch@ujjivan.com ;helpdeskdelhi@ujjivan.com; </v>
      </c>
    </row>
    <row r="261" spans="1:5" x14ac:dyDescent="0.25">
      <c r="A261" s="51" t="s">
        <v>2006</v>
      </c>
      <c r="B261" s="51" t="s">
        <v>894</v>
      </c>
      <c r="C261" s="55" t="s">
        <v>2007</v>
      </c>
      <c r="D261" t="s">
        <v>2955</v>
      </c>
      <c r="E261" t="str">
        <f t="shared" si="4"/>
        <v xml:space="preserve">mp-nagda-branch@ujjivan.com ;helpdeskdelhi@ujjivan.com; </v>
      </c>
    </row>
    <row r="262" spans="1:5" x14ac:dyDescent="0.25">
      <c r="A262" t="s">
        <v>2008</v>
      </c>
      <c r="B262" s="51" t="s">
        <v>972</v>
      </c>
      <c r="C262" t="s">
        <v>2009</v>
      </c>
      <c r="D262" t="s">
        <v>2955</v>
      </c>
      <c r="E262" t="str">
        <f t="shared" si="4"/>
        <v xml:space="preserve">raj-khairthal-branch@ujjivan.com;helpdeskdelhi@ujjivan.com; </v>
      </c>
    </row>
    <row r="263" spans="1:5" x14ac:dyDescent="0.25">
      <c r="A263" t="s">
        <v>2010</v>
      </c>
      <c r="B263" s="51" t="s">
        <v>936</v>
      </c>
      <c r="C263" t="s">
        <v>2011</v>
      </c>
      <c r="D263" t="s">
        <v>2955</v>
      </c>
      <c r="E263" t="str">
        <f t="shared" si="4"/>
        <v xml:space="preserve">har-narwana-branch@ujjivan.com;helpdeskdelhi@ujjivan.com; </v>
      </c>
    </row>
    <row r="264" spans="1:5" x14ac:dyDescent="0.25">
      <c r="A264" t="s">
        <v>2012</v>
      </c>
      <c r="B264" s="51" t="s">
        <v>937</v>
      </c>
      <c r="C264" t="s">
        <v>2013</v>
      </c>
      <c r="D264" t="s">
        <v>2955</v>
      </c>
      <c r="E264" t="str">
        <f t="shared" si="4"/>
        <v xml:space="preserve">pnb-barnala-branch@ujjivan.com;helpdeskdelhi@ujjivan.com; </v>
      </c>
    </row>
    <row r="265" spans="1:5" x14ac:dyDescent="0.25">
      <c r="A265" t="s">
        <v>2014</v>
      </c>
      <c r="B265" s="51" t="s">
        <v>938</v>
      </c>
      <c r="C265" t="s">
        <v>2015</v>
      </c>
      <c r="D265" t="s">
        <v>2955</v>
      </c>
      <c r="E265" t="str">
        <f t="shared" si="4"/>
        <v xml:space="preserve">pnb-mansa-branch@ujjivan.com;helpdeskdelhi@ujjivan.com; </v>
      </c>
    </row>
    <row r="266" spans="1:5" x14ac:dyDescent="0.25">
      <c r="A266" t="s">
        <v>2016</v>
      </c>
      <c r="B266" s="51" t="s">
        <v>939</v>
      </c>
      <c r="C266" t="s">
        <v>2017</v>
      </c>
      <c r="D266" t="s">
        <v>2955</v>
      </c>
      <c r="E266" t="str">
        <f t="shared" si="4"/>
        <v xml:space="preserve">pnb-gidderbaha-branch@ujjivan.com;helpdeskdelhi@ujjivan.com; </v>
      </c>
    </row>
    <row r="267" spans="1:5" x14ac:dyDescent="0.25">
      <c r="A267" t="s">
        <v>2018</v>
      </c>
      <c r="B267" s="51" t="s">
        <v>1002</v>
      </c>
      <c r="C267" t="s">
        <v>2019</v>
      </c>
      <c r="D267" t="s">
        <v>2955</v>
      </c>
      <c r="E267" t="str">
        <f t="shared" si="4"/>
        <v xml:space="preserve">up-agrarajpur-branch@ujjivan.com;helpdeskdelhi@ujjivan.com; </v>
      </c>
    </row>
    <row r="268" spans="1:5" x14ac:dyDescent="0.25">
      <c r="A268" t="s">
        <v>2020</v>
      </c>
      <c r="B268" s="51" t="s">
        <v>974</v>
      </c>
      <c r="C268" t="s">
        <v>2021</v>
      </c>
      <c r="D268" t="s">
        <v>2955</v>
      </c>
      <c r="E268" t="str">
        <f t="shared" si="4"/>
        <v xml:space="preserve">raj-kotputli-branch@ujjivan.com;helpdeskdelhi@ujjivan.com; </v>
      </c>
    </row>
    <row r="269" spans="1:5" x14ac:dyDescent="0.25">
      <c r="A269" t="s">
        <v>2022</v>
      </c>
      <c r="B269" s="51" t="s">
        <v>940</v>
      </c>
      <c r="C269" t="s">
        <v>2023</v>
      </c>
      <c r="D269" t="s">
        <v>2955</v>
      </c>
      <c r="E269" t="str">
        <f t="shared" si="4"/>
        <v xml:space="preserve">har-guhana-branch@ujjivan.com;helpdeskdelhi@ujjivan.com; </v>
      </c>
    </row>
    <row r="270" spans="1:5" x14ac:dyDescent="0.25">
      <c r="A270" t="s">
        <v>2024</v>
      </c>
      <c r="B270" s="51" t="s">
        <v>941</v>
      </c>
      <c r="C270" t="s">
        <v>2025</v>
      </c>
      <c r="D270" t="s">
        <v>2955</v>
      </c>
      <c r="E270" t="str">
        <f t="shared" si="4"/>
        <v xml:space="preserve">har-brara-branch@ujjivan.com;helpdeskdelhi@ujjivan.com; </v>
      </c>
    </row>
    <row r="271" spans="1:5" x14ac:dyDescent="0.25">
      <c r="A271" t="s">
        <v>2026</v>
      </c>
      <c r="B271" s="51" t="s">
        <v>1003</v>
      </c>
      <c r="C271" t="s">
        <v>2027</v>
      </c>
      <c r="D271" t="s">
        <v>2955</v>
      </c>
      <c r="E271" t="str">
        <f t="shared" si="4"/>
        <v xml:space="preserve">up-siyana-branch@ujjivan.com;helpdeskdelhi@ujjivan.com; </v>
      </c>
    </row>
    <row r="272" spans="1:5" x14ac:dyDescent="0.25">
      <c r="A272" t="s">
        <v>2028</v>
      </c>
      <c r="B272" s="51" t="s">
        <v>1005</v>
      </c>
      <c r="C272" t="s">
        <v>2029</v>
      </c>
      <c r="D272" t="s">
        <v>2955</v>
      </c>
      <c r="E272" t="str">
        <f t="shared" si="4"/>
        <v xml:space="preserve">up-mathura-branch@ujjivan.com;helpdeskdelhi@ujjivan.com; </v>
      </c>
    </row>
    <row r="273" spans="1:5" x14ac:dyDescent="0.25">
      <c r="A273" t="s">
        <v>2030</v>
      </c>
      <c r="B273" s="51" t="s">
        <v>1006</v>
      </c>
      <c r="C273" t="s">
        <v>2031</v>
      </c>
      <c r="D273" t="s">
        <v>2955</v>
      </c>
      <c r="E273" t="str">
        <f t="shared" si="4"/>
        <v xml:space="preserve">up-hathras-branch@ujjivan.com;helpdeskdelhi@ujjivan.com; </v>
      </c>
    </row>
    <row r="274" spans="1:5" x14ac:dyDescent="0.25">
      <c r="A274" t="s">
        <v>2032</v>
      </c>
      <c r="B274" s="51" t="s">
        <v>884</v>
      </c>
      <c r="C274" t="s">
        <v>2033</v>
      </c>
      <c r="D274" t="s">
        <v>2955</v>
      </c>
      <c r="E274" t="str">
        <f t="shared" si="4"/>
        <v xml:space="preserve">har-samalkha-branch@ujjivan.com;helpdeskdelhi@ujjivan.com; </v>
      </c>
    </row>
    <row r="275" spans="1:5" x14ac:dyDescent="0.25">
      <c r="A275" t="s">
        <v>2034</v>
      </c>
      <c r="B275" s="51" t="s">
        <v>1007</v>
      </c>
      <c r="C275" t="s">
        <v>2035</v>
      </c>
      <c r="D275" t="s">
        <v>2955</v>
      </c>
      <c r="E275" t="str">
        <f t="shared" si="4"/>
        <v xml:space="preserve">up-saharanpur2-branch@ujjivan.com;helpdeskdelhi@ujjivan.com; </v>
      </c>
    </row>
    <row r="276" spans="1:5" x14ac:dyDescent="0.25">
      <c r="A276" t="s">
        <v>2036</v>
      </c>
      <c r="B276" s="51" t="s">
        <v>897</v>
      </c>
      <c r="C276" t="s">
        <v>2037</v>
      </c>
      <c r="D276" t="s">
        <v>2955</v>
      </c>
      <c r="E276" t="str">
        <f t="shared" si="4"/>
        <v xml:space="preserve">mp-dhar-branch@ujjivan.com;helpdeskdelhi@ujjivan.com; </v>
      </c>
    </row>
    <row r="277" spans="1:5" x14ac:dyDescent="0.25">
      <c r="A277" t="s">
        <v>2038</v>
      </c>
      <c r="B277" s="51" t="s">
        <v>898</v>
      </c>
      <c r="C277" t="s">
        <v>2039</v>
      </c>
      <c r="D277" t="s">
        <v>2955</v>
      </c>
      <c r="E277" t="str">
        <f t="shared" si="4"/>
        <v xml:space="preserve">mp-burhanpur-branch@ujjivan.com;helpdeskdelhi@ujjivan.com; </v>
      </c>
    </row>
    <row r="278" spans="1:5" x14ac:dyDescent="0.25">
      <c r="A278" t="s">
        <v>2040</v>
      </c>
      <c r="B278" s="51" t="s">
        <v>899</v>
      </c>
      <c r="C278" t="s">
        <v>2041</v>
      </c>
      <c r="D278" t="s">
        <v>2955</v>
      </c>
      <c r="E278" t="str">
        <f t="shared" si="4"/>
        <v xml:space="preserve">mp-badnagar-branch@ujjivan.com;helpdeskdelhi@ujjivan.com; </v>
      </c>
    </row>
    <row r="279" spans="1:5" x14ac:dyDescent="0.25">
      <c r="A279" t="s">
        <v>2042</v>
      </c>
      <c r="B279" s="51" t="s">
        <v>942</v>
      </c>
      <c r="C279" t="s">
        <v>2043</v>
      </c>
      <c r="D279" t="s">
        <v>2955</v>
      </c>
      <c r="E279" t="str">
        <f t="shared" si="4"/>
        <v xml:space="preserve">har-charkhidadri-branch@ujjivan.com;helpdeskdelhi@ujjivan.com; </v>
      </c>
    </row>
    <row r="280" spans="1:5" x14ac:dyDescent="0.25">
      <c r="A280" t="s">
        <v>2044</v>
      </c>
      <c r="B280" s="51" t="s">
        <v>1008</v>
      </c>
      <c r="C280" t="s">
        <v>2045</v>
      </c>
      <c r="D280" t="s">
        <v>2955</v>
      </c>
      <c r="E280" t="str">
        <f t="shared" si="4"/>
        <v xml:space="preserve">up-moradabad-branch@ujjivan.com;helpdeskdelhi@ujjivan.com; </v>
      </c>
    </row>
    <row r="281" spans="1:5" x14ac:dyDescent="0.25">
      <c r="A281" t="s">
        <v>2046</v>
      </c>
      <c r="B281" s="51" t="s">
        <v>943</v>
      </c>
      <c r="C281" t="s">
        <v>2047</v>
      </c>
      <c r="D281" t="s">
        <v>2955</v>
      </c>
      <c r="E281" t="str">
        <f t="shared" si="4"/>
        <v xml:space="preserve">har-fatehabad-branch@ujjivan.com;helpdeskdelhi@ujjivan.com; </v>
      </c>
    </row>
    <row r="282" spans="1:5" x14ac:dyDescent="0.25">
      <c r="A282" t="s">
        <v>2048</v>
      </c>
      <c r="B282" s="51" t="s">
        <v>901</v>
      </c>
      <c r="C282" t="s">
        <v>2049</v>
      </c>
      <c r="D282" t="s">
        <v>2955</v>
      </c>
      <c r="E282" t="str">
        <f t="shared" si="4"/>
        <v xml:space="preserve">mp-barwani-branch@ujjivan.com;helpdeskdelhi@ujjivan.com; </v>
      </c>
    </row>
    <row r="283" spans="1:5" x14ac:dyDescent="0.25">
      <c r="A283" t="s">
        <v>2050</v>
      </c>
      <c r="B283" s="51" t="s">
        <v>902</v>
      </c>
      <c r="C283" t="s">
        <v>2051</v>
      </c>
      <c r="D283" t="s">
        <v>2955</v>
      </c>
      <c r="E283" t="str">
        <f t="shared" si="4"/>
        <v xml:space="preserve">mp-dhamnod-branch@ujjivan.com;helpdeskdelhi@ujjivan.com; </v>
      </c>
    </row>
    <row r="284" spans="1:5" x14ac:dyDescent="0.25">
      <c r="A284" t="s">
        <v>2052</v>
      </c>
      <c r="B284" s="51" t="s">
        <v>944</v>
      </c>
      <c r="C284" t="s">
        <v>2053</v>
      </c>
      <c r="D284" t="s">
        <v>2955</v>
      </c>
      <c r="E284" t="str">
        <f t="shared" si="4"/>
        <v xml:space="preserve">har-safidon-branch@ujjivan.com;helpdeskdelhi@ujjivan.com; </v>
      </c>
    </row>
    <row r="285" spans="1:5" x14ac:dyDescent="0.25">
      <c r="A285" t="s">
        <v>2054</v>
      </c>
      <c r="B285" s="51" t="s">
        <v>885</v>
      </c>
      <c r="C285" t="s">
        <v>2055</v>
      </c>
      <c r="D285" t="s">
        <v>2955</v>
      </c>
      <c r="E285" t="str">
        <f t="shared" si="4"/>
        <v xml:space="preserve">har-hodal-branch@ujjivan.com;helpdeskdelhi@ujjivan.com; </v>
      </c>
    </row>
    <row r="286" spans="1:5" x14ac:dyDescent="0.25">
      <c r="A286" t="s">
        <v>2056</v>
      </c>
      <c r="B286" s="51" t="s">
        <v>945</v>
      </c>
      <c r="C286" t="s">
        <v>2057</v>
      </c>
      <c r="D286" t="s">
        <v>2955</v>
      </c>
      <c r="E286" t="str">
        <f t="shared" si="4"/>
        <v xml:space="preserve">pnb-kapurthala-branch@ujjivan.com;helpdeskdelhi@ujjivan.com; </v>
      </c>
    </row>
    <row r="287" spans="1:5" x14ac:dyDescent="0.25">
      <c r="A287" t="s">
        <v>2058</v>
      </c>
      <c r="B287" s="51" t="s">
        <v>1009</v>
      </c>
      <c r="C287" t="s">
        <v>2059</v>
      </c>
      <c r="D287" t="s">
        <v>2955</v>
      </c>
      <c r="E287" t="str">
        <f t="shared" si="4"/>
        <v xml:space="preserve">mp-gwalior-branch@ujjivan.com;helpdeskdelhi@ujjivan.com; </v>
      </c>
    </row>
    <row r="288" spans="1:5" x14ac:dyDescent="0.25">
      <c r="A288" t="s">
        <v>2060</v>
      </c>
      <c r="B288" s="51" t="s">
        <v>886</v>
      </c>
      <c r="C288" t="s">
        <v>2061</v>
      </c>
      <c r="D288" t="s">
        <v>2955</v>
      </c>
      <c r="E288" t="str">
        <f t="shared" si="4"/>
        <v xml:space="preserve">del-badarpur-branch@ujjivan.com;helpdeskdelhi@ujjivan.com; </v>
      </c>
    </row>
    <row r="289" spans="1:5" x14ac:dyDescent="0.25">
      <c r="A289" t="s">
        <v>2062</v>
      </c>
      <c r="B289" s="51" t="s">
        <v>946</v>
      </c>
      <c r="C289" t="s">
        <v>2063</v>
      </c>
      <c r="D289" t="s">
        <v>2955</v>
      </c>
      <c r="E289" t="str">
        <f t="shared" si="4"/>
        <v xml:space="preserve">har-ellenabad-branch@ujjivan.com;helpdeskdelhi@ujjivan.com; </v>
      </c>
    </row>
    <row r="290" spans="1:5" x14ac:dyDescent="0.25">
      <c r="A290" t="s">
        <v>2064</v>
      </c>
      <c r="B290" s="51" t="s">
        <v>948</v>
      </c>
      <c r="C290" t="s">
        <v>2065</v>
      </c>
      <c r="D290" t="s">
        <v>2955</v>
      </c>
      <c r="E290" t="str">
        <f t="shared" si="4"/>
        <v xml:space="preserve">pnb-muktsar-branch@ujjivan.com;helpdeskdelhi@ujjivan.com; </v>
      </c>
    </row>
    <row r="291" spans="1:5" x14ac:dyDescent="0.25">
      <c r="A291" t="s">
        <v>2066</v>
      </c>
      <c r="B291" s="51" t="s">
        <v>950</v>
      </c>
      <c r="C291" t="s">
        <v>2065</v>
      </c>
      <c r="D291" t="s">
        <v>2955</v>
      </c>
      <c r="E291" t="str">
        <f t="shared" si="4"/>
        <v xml:space="preserve">pnb-muktsar-branch@ujjivan.com;helpdeskdelhi@ujjivan.com; </v>
      </c>
    </row>
    <row r="292" spans="1:5" x14ac:dyDescent="0.25">
      <c r="A292" t="s">
        <v>2067</v>
      </c>
      <c r="B292" s="51" t="s">
        <v>951</v>
      </c>
      <c r="C292" t="s">
        <v>2068</v>
      </c>
      <c r="D292" t="s">
        <v>2955</v>
      </c>
      <c r="E292" t="str">
        <f t="shared" si="4"/>
        <v xml:space="preserve">har-narnaul-branch@ujjivan.com;helpdeskdelhi@ujjivan.com; </v>
      </c>
    </row>
    <row r="293" spans="1:5" x14ac:dyDescent="0.25">
      <c r="A293" t="s">
        <v>2069</v>
      </c>
      <c r="B293" s="51" t="s">
        <v>975</v>
      </c>
      <c r="C293" t="s">
        <v>2070</v>
      </c>
      <c r="D293" t="s">
        <v>2955</v>
      </c>
      <c r="E293" t="str">
        <f t="shared" si="4"/>
        <v xml:space="preserve">raj-falna-branch@ujjivan.com;helpdeskdelhi@ujjivan.com; </v>
      </c>
    </row>
    <row r="294" spans="1:5" x14ac:dyDescent="0.25">
      <c r="A294" t="s">
        <v>2071</v>
      </c>
      <c r="B294" s="51" t="s">
        <v>921</v>
      </c>
      <c r="C294" t="s">
        <v>2072</v>
      </c>
      <c r="D294" t="s">
        <v>2955</v>
      </c>
      <c r="E294" t="str">
        <f t="shared" si="4"/>
        <v xml:space="preserve">pnb-goniana-branch@ujjivan.com;helpdeskdelhi@ujjivan.com; </v>
      </c>
    </row>
    <row r="295" spans="1:5" x14ac:dyDescent="0.25">
      <c r="A295" t="s">
        <v>2073</v>
      </c>
      <c r="B295" s="51" t="s">
        <v>2074</v>
      </c>
      <c r="C295" t="s">
        <v>2075</v>
      </c>
      <c r="D295" t="s">
        <v>2955</v>
      </c>
      <c r="E295" t="str">
        <f t="shared" si="4"/>
        <v xml:space="preserve">har-panipatkishanpura-branch@ujjivan.com;helpdeskdelhi@ujjivan.com; </v>
      </c>
    </row>
    <row r="296" spans="1:5" x14ac:dyDescent="0.25">
      <c r="A296" t="s">
        <v>2076</v>
      </c>
      <c r="B296" s="51" t="s">
        <v>2077</v>
      </c>
      <c r="C296" s="56" t="s">
        <v>2078</v>
      </c>
      <c r="D296" t="s">
        <v>2955</v>
      </c>
      <c r="E296" t="str">
        <f t="shared" si="4"/>
        <v xml:space="preserve">pnb-phagwara-branch@ujjivan.com;helpdeskdelhi@ujjivan.com; </v>
      </c>
    </row>
    <row r="297" spans="1:5" x14ac:dyDescent="0.25">
      <c r="A297" t="s">
        <v>2079</v>
      </c>
      <c r="B297" s="51" t="s">
        <v>2080</v>
      </c>
      <c r="C297" s="56" t="s">
        <v>2081</v>
      </c>
      <c r="D297" t="s">
        <v>2955</v>
      </c>
      <c r="E297" t="str">
        <f t="shared" si="4"/>
        <v xml:space="preserve">raj-kathumar-branch@ujjivan.com;helpdeskdelhi@ujjivan.com; </v>
      </c>
    </row>
    <row r="298" spans="1:5" x14ac:dyDescent="0.25">
      <c r="A298" s="54" t="s">
        <v>2082</v>
      </c>
      <c r="B298" s="51" t="s">
        <v>2083</v>
      </c>
      <c r="C298" s="56" t="s">
        <v>2084</v>
      </c>
      <c r="D298" t="s">
        <v>2955</v>
      </c>
      <c r="E298" t="str">
        <f t="shared" si="4"/>
        <v xml:space="preserve">raj-sanganer-branch@ujjivan.com;helpdeskdelhi@ujjivan.com; </v>
      </c>
    </row>
    <row r="299" spans="1:5" x14ac:dyDescent="0.25">
      <c r="A299" s="51" t="s">
        <v>2085</v>
      </c>
      <c r="B299" s="51" t="s">
        <v>600</v>
      </c>
      <c r="C299" s="52" t="s">
        <v>2086</v>
      </c>
      <c r="D299" t="s">
        <v>2956</v>
      </c>
      <c r="E299" t="str">
        <f t="shared" si="4"/>
        <v xml:space="preserve">cal-garcha-branch@ujjivan.com ;helpdeskkolkata@ujjivan.com; </v>
      </c>
    </row>
    <row r="300" spans="1:5" x14ac:dyDescent="0.25">
      <c r="A300" s="51" t="s">
        <v>2087</v>
      </c>
      <c r="B300" s="51" t="s">
        <v>603</v>
      </c>
      <c r="C300" s="52" t="s">
        <v>2088</v>
      </c>
      <c r="D300" t="s">
        <v>2956</v>
      </c>
      <c r="E300" t="str">
        <f t="shared" si="4"/>
        <v xml:space="preserve">cal-tollygunge-branch@ujjivan.com ;helpdeskkolkata@ujjivan.com; </v>
      </c>
    </row>
    <row r="301" spans="1:5" x14ac:dyDescent="0.25">
      <c r="A301" s="51" t="s">
        <v>2089</v>
      </c>
      <c r="B301" s="51" t="s">
        <v>604</v>
      </c>
      <c r="C301" s="52" t="s">
        <v>2090</v>
      </c>
      <c r="D301" t="s">
        <v>2956</v>
      </c>
      <c r="E301" t="str">
        <f t="shared" si="4"/>
        <v xml:space="preserve">cal-kalighat-branch@ujjivan.com ;helpdeskkolkata@ujjivan.com; </v>
      </c>
    </row>
    <row r="302" spans="1:5" x14ac:dyDescent="0.25">
      <c r="A302" s="51" t="s">
        <v>2091</v>
      </c>
      <c r="B302" s="51" t="s">
        <v>605</v>
      </c>
      <c r="C302" s="52" t="s">
        <v>2092</v>
      </c>
      <c r="D302" t="s">
        <v>2956</v>
      </c>
      <c r="E302" t="str">
        <f t="shared" si="4"/>
        <v xml:space="preserve">cal-bidhannagar-branch@ujjivan.com ;helpdeskkolkata@ujjivan.com; </v>
      </c>
    </row>
    <row r="303" spans="1:5" x14ac:dyDescent="0.25">
      <c r="A303" s="51" t="s">
        <v>2093</v>
      </c>
      <c r="B303" s="51" t="s">
        <v>607</v>
      </c>
      <c r="C303" s="52" t="s">
        <v>2094</v>
      </c>
      <c r="D303" t="s">
        <v>2956</v>
      </c>
      <c r="E303" t="str">
        <f t="shared" si="4"/>
        <v xml:space="preserve">cal-garia-branch@ujjivan.com ;helpdeskkolkata@ujjivan.com; </v>
      </c>
    </row>
    <row r="304" spans="1:5" x14ac:dyDescent="0.25">
      <c r="A304" s="51" t="s">
        <v>2095</v>
      </c>
      <c r="B304" s="51" t="s">
        <v>609</v>
      </c>
      <c r="C304" s="52" t="s">
        <v>2096</v>
      </c>
      <c r="D304" t="s">
        <v>2956</v>
      </c>
      <c r="E304" t="str">
        <f t="shared" si="4"/>
        <v xml:space="preserve">cal-dakhineswar-branch@ujjivan.com ;helpdeskkolkata@ujjivan.com; </v>
      </c>
    </row>
    <row r="305" spans="1:5" x14ac:dyDescent="0.25">
      <c r="A305" s="51" t="s">
        <v>2097</v>
      </c>
      <c r="B305" s="51" t="s">
        <v>2098</v>
      </c>
      <c r="C305" s="52" t="s">
        <v>2099</v>
      </c>
      <c r="D305" t="s">
        <v>2956</v>
      </c>
      <c r="E305" t="str">
        <f t="shared" si="4"/>
        <v xml:space="preserve">cal-salkia-branch@ujjivan.com ;helpdeskkolkata@ujjivan.com; </v>
      </c>
    </row>
    <row r="306" spans="1:5" x14ac:dyDescent="0.25">
      <c r="A306" s="51" t="s">
        <v>2100</v>
      </c>
      <c r="B306" s="51" t="s">
        <v>611</v>
      </c>
      <c r="C306" s="52" t="s">
        <v>2101</v>
      </c>
      <c r="D306" t="s">
        <v>2956</v>
      </c>
      <c r="E306" t="str">
        <f t="shared" si="4"/>
        <v xml:space="preserve">cal-kasba-branch@ujjivan.com ;helpdeskkolkata@ujjivan.com; </v>
      </c>
    </row>
    <row r="307" spans="1:5" x14ac:dyDescent="0.25">
      <c r="A307" s="51" t="s">
        <v>2102</v>
      </c>
      <c r="B307" s="51" t="s">
        <v>612</v>
      </c>
      <c r="C307" s="52" t="s">
        <v>2103</v>
      </c>
      <c r="D307" t="s">
        <v>2956</v>
      </c>
      <c r="E307" t="str">
        <f t="shared" si="4"/>
        <v xml:space="preserve">cal-thakurpukur-branch@ujjivan.com ;helpdeskkolkata@ujjivan.com; </v>
      </c>
    </row>
    <row r="308" spans="1:5" x14ac:dyDescent="0.25">
      <c r="A308" s="51" t="s">
        <v>2104</v>
      </c>
      <c r="B308" s="51" t="s">
        <v>613</v>
      </c>
      <c r="C308" s="52" t="s">
        <v>2105</v>
      </c>
      <c r="D308" t="s">
        <v>2956</v>
      </c>
      <c r="E308" t="str">
        <f t="shared" si="4"/>
        <v xml:space="preserve">cal-dumdum-branch@ujjivan.com;helpdeskkolkata@ujjivan.com; </v>
      </c>
    </row>
    <row r="309" spans="1:5" x14ac:dyDescent="0.25">
      <c r="A309" s="51" t="s">
        <v>2106</v>
      </c>
      <c r="B309" s="51" t="s">
        <v>615</v>
      </c>
      <c r="C309" s="52" t="s">
        <v>2107</v>
      </c>
      <c r="D309" t="s">
        <v>2956</v>
      </c>
      <c r="E309" t="str">
        <f t="shared" si="4"/>
        <v xml:space="preserve">cal-parkcircus-branch@ujjivan.com;helpdeskkolkata@ujjivan.com; </v>
      </c>
    </row>
    <row r="310" spans="1:5" x14ac:dyDescent="0.25">
      <c r="A310" s="51" t="s">
        <v>2108</v>
      </c>
      <c r="B310" s="51" t="s">
        <v>616</v>
      </c>
      <c r="C310" s="52" t="s">
        <v>2109</v>
      </c>
      <c r="D310" t="s">
        <v>2956</v>
      </c>
      <c r="E310" t="str">
        <f t="shared" si="4"/>
        <v xml:space="preserve">cal-shibpur-branch@ujjivan.com;helpdeskkolkata@ujjivan.com; </v>
      </c>
    </row>
    <row r="311" spans="1:5" x14ac:dyDescent="0.25">
      <c r="A311" s="51" t="s">
        <v>2110</v>
      </c>
      <c r="B311" s="51" t="s">
        <v>617</v>
      </c>
      <c r="C311" s="52" t="s">
        <v>2111</v>
      </c>
      <c r="D311" t="s">
        <v>2956</v>
      </c>
      <c r="E311" t="str">
        <f t="shared" si="4"/>
        <v xml:space="preserve">cal-barasat-branch@ujjivan.com;helpdeskkolkata@ujjivan.com; </v>
      </c>
    </row>
    <row r="312" spans="1:5" x14ac:dyDescent="0.25">
      <c r="A312" s="51" t="s">
        <v>2112</v>
      </c>
      <c r="B312" s="51" t="s">
        <v>618</v>
      </c>
      <c r="C312" s="52" t="s">
        <v>2113</v>
      </c>
      <c r="D312" t="s">
        <v>2956</v>
      </c>
      <c r="E312" t="str">
        <f t="shared" si="4"/>
        <v xml:space="preserve">cal-sodepur-branch@ujjivan.com;helpdeskkolkata@ujjivan.com; </v>
      </c>
    </row>
    <row r="313" spans="1:5" x14ac:dyDescent="0.25">
      <c r="A313" s="51" t="s">
        <v>2114</v>
      </c>
      <c r="B313" s="51" t="s">
        <v>2115</v>
      </c>
      <c r="C313" s="52" t="s">
        <v>2116</v>
      </c>
      <c r="D313" t="s">
        <v>2956</v>
      </c>
      <c r="E313" t="str">
        <f t="shared" si="4"/>
        <v xml:space="preserve">cal-baruipur-branch@ujjivan.com;helpdeskkolkata@ujjivan.com; </v>
      </c>
    </row>
    <row r="314" spans="1:5" x14ac:dyDescent="0.25">
      <c r="A314" s="51" t="s">
        <v>2117</v>
      </c>
      <c r="B314" s="51" t="s">
        <v>620</v>
      </c>
      <c r="C314" s="52" t="s">
        <v>2118</v>
      </c>
      <c r="D314" t="s">
        <v>2956</v>
      </c>
      <c r="E314" t="str">
        <f t="shared" si="4"/>
        <v xml:space="preserve">cal-habra-branch@ujjivan.com ;helpdeskkolkata@ujjivan.com; </v>
      </c>
    </row>
    <row r="315" spans="1:5" x14ac:dyDescent="0.25">
      <c r="A315" s="51" t="s">
        <v>2119</v>
      </c>
      <c r="B315" s="51" t="s">
        <v>2120</v>
      </c>
      <c r="C315" s="52" t="s">
        <v>2121</v>
      </c>
      <c r="D315" t="s">
        <v>2956</v>
      </c>
      <c r="E315" t="str">
        <f t="shared" si="4"/>
        <v xml:space="preserve">cal-shyamnagar-branch@ujjivan.com ;helpdeskkolkata@ujjivan.com; </v>
      </c>
    </row>
    <row r="316" spans="1:5" x14ac:dyDescent="0.25">
      <c r="A316" s="51" t="s">
        <v>2122</v>
      </c>
      <c r="B316" s="51" t="s">
        <v>621</v>
      </c>
      <c r="C316" s="52" t="s">
        <v>2123</v>
      </c>
      <c r="D316" t="s">
        <v>2956</v>
      </c>
      <c r="E316" t="str">
        <f t="shared" si="4"/>
        <v xml:space="preserve">cal-bally-branch@ujjivan.com ;helpdeskkolkata@ujjivan.com; </v>
      </c>
    </row>
    <row r="317" spans="1:5" x14ac:dyDescent="0.25">
      <c r="A317" s="51" t="s">
        <v>2124</v>
      </c>
      <c r="B317" s="51" t="s">
        <v>2125</v>
      </c>
      <c r="C317" s="52" t="s">
        <v>2126</v>
      </c>
      <c r="D317" t="s">
        <v>2956</v>
      </c>
      <c r="E317" t="str">
        <f t="shared" si="4"/>
        <v xml:space="preserve">cal-sreerampore-branch@ujjivan.com ;helpdeskkolkata@ujjivan.com; </v>
      </c>
    </row>
    <row r="318" spans="1:5" x14ac:dyDescent="0.25">
      <c r="A318" s="51" t="s">
        <v>2127</v>
      </c>
      <c r="B318" s="51" t="s">
        <v>622</v>
      </c>
      <c r="C318" s="52" t="s">
        <v>2128</v>
      </c>
      <c r="D318" t="s">
        <v>2956</v>
      </c>
      <c r="E318" t="str">
        <f t="shared" si="4"/>
        <v xml:space="preserve">cal-chakdaha-branch@ujjivan.com ;helpdeskkolkata@ujjivan.com; </v>
      </c>
    </row>
    <row r="319" spans="1:5" x14ac:dyDescent="0.25">
      <c r="A319" s="51" t="s">
        <v>2129</v>
      </c>
      <c r="B319" s="51" t="s">
        <v>623</v>
      </c>
      <c r="C319" s="52" t="s">
        <v>2130</v>
      </c>
      <c r="D319" t="s">
        <v>2956</v>
      </c>
      <c r="E319" t="str">
        <f t="shared" si="4"/>
        <v xml:space="preserve">cal-chandannagar-branch@ujjivan.com ;helpdeskkolkata@ujjivan.com; </v>
      </c>
    </row>
    <row r="320" spans="1:5" x14ac:dyDescent="0.25">
      <c r="A320" s="51" t="s">
        <v>2131</v>
      </c>
      <c r="B320" s="51" t="s">
        <v>2132</v>
      </c>
      <c r="C320" s="52" t="s">
        <v>1860</v>
      </c>
      <c r="D320" t="s">
        <v>2956</v>
      </c>
      <c r="E320" t="str">
        <f t="shared" si="4"/>
        <v xml:space="preserve">thippesh.j@ujjivan.com;helpdeskkolkata@ujjivan.com; </v>
      </c>
    </row>
    <row r="321" spans="1:5" x14ac:dyDescent="0.25">
      <c r="A321" s="51" t="s">
        <v>2133</v>
      </c>
      <c r="B321" s="51" t="s">
        <v>2134</v>
      </c>
      <c r="C321" s="52" t="s">
        <v>2135</v>
      </c>
      <c r="D321" t="s">
        <v>2956</v>
      </c>
      <c r="E321" t="str">
        <f t="shared" si="4"/>
        <v xml:space="preserve">cal-uluberia-branch@ujjivan.com ;helpdeskkolkata@ujjivan.com; </v>
      </c>
    </row>
    <row r="322" spans="1:5" x14ac:dyDescent="0.25">
      <c r="A322" s="51" t="s">
        <v>2136</v>
      </c>
      <c r="B322" s="51" t="s">
        <v>624</v>
      </c>
      <c r="C322" s="52" t="s">
        <v>2137</v>
      </c>
      <c r="D322" t="s">
        <v>2956</v>
      </c>
      <c r="E322" t="str">
        <f t="shared" si="4"/>
        <v xml:space="preserve">cal-bandel-branch@ujjivan.com;helpdeskkolkata@ujjivan.com; </v>
      </c>
    </row>
    <row r="323" spans="1:5" x14ac:dyDescent="0.25">
      <c r="A323" s="51" t="s">
        <v>2138</v>
      </c>
      <c r="B323" s="51" t="s">
        <v>625</v>
      </c>
      <c r="C323" s="52" t="s">
        <v>2139</v>
      </c>
      <c r="D323" t="s">
        <v>2956</v>
      </c>
      <c r="E323" t="str">
        <f t="shared" ref="E323:E386" si="5">CONCATENATE(C323,";",D323)</f>
        <v xml:space="preserve">cal-sankrail-branch@ujjivan.com;helpdeskkolkata@ujjivan.com; </v>
      </c>
    </row>
    <row r="324" spans="1:5" x14ac:dyDescent="0.25">
      <c r="A324" s="51" t="s">
        <v>2140</v>
      </c>
      <c r="B324" s="51" t="s">
        <v>627</v>
      </c>
      <c r="C324" s="52" t="s">
        <v>2141</v>
      </c>
      <c r="D324" t="s">
        <v>2956</v>
      </c>
      <c r="E324" t="str">
        <f t="shared" si="5"/>
        <v xml:space="preserve">jha-baridih-branch@ujjivan.com;helpdeskkolkata@ujjivan.com; </v>
      </c>
    </row>
    <row r="325" spans="1:5" x14ac:dyDescent="0.25">
      <c r="A325" s="51" t="s">
        <v>2142</v>
      </c>
      <c r="B325" s="51" t="s">
        <v>629</v>
      </c>
      <c r="C325" s="52" t="s">
        <v>2143</v>
      </c>
      <c r="D325" t="s">
        <v>2956</v>
      </c>
      <c r="E325" t="str">
        <f t="shared" si="5"/>
        <v xml:space="preserve">jha-mango-branch@ujjivan.com ;helpdeskkolkata@ujjivan.com; </v>
      </c>
    </row>
    <row r="326" spans="1:5" x14ac:dyDescent="0.25">
      <c r="A326" s="51" t="s">
        <v>2144</v>
      </c>
      <c r="B326" s="51" t="s">
        <v>630</v>
      </c>
      <c r="C326" s="52" t="s">
        <v>2145</v>
      </c>
      <c r="D326" t="s">
        <v>2956</v>
      </c>
      <c r="E326" t="str">
        <f t="shared" si="5"/>
        <v xml:space="preserve">jha-parsudih-branch@ujjivan.com ;helpdeskkolkata@ujjivan.com; </v>
      </c>
    </row>
    <row r="327" spans="1:5" x14ac:dyDescent="0.25">
      <c r="A327" s="51" t="s">
        <v>2146</v>
      </c>
      <c r="B327" s="51" t="s">
        <v>631</v>
      </c>
      <c r="C327" s="52" t="s">
        <v>2147</v>
      </c>
      <c r="D327" t="s">
        <v>2956</v>
      </c>
      <c r="E327" t="str">
        <f t="shared" si="5"/>
        <v xml:space="preserve">cal-domjur-branch@ujjivan.com;helpdeskkolkata@ujjivan.com; </v>
      </c>
    </row>
    <row r="328" spans="1:5" x14ac:dyDescent="0.25">
      <c r="A328" s="51" t="s">
        <v>2148</v>
      </c>
      <c r="B328" s="51" t="s">
        <v>633</v>
      </c>
      <c r="C328" s="52" t="s">
        <v>2149</v>
      </c>
      <c r="D328" t="s">
        <v>2956</v>
      </c>
      <c r="E328" t="str">
        <f t="shared" si="5"/>
        <v xml:space="preserve">cal-subhasgram-branch@ujjivan.com;helpdeskkolkata@ujjivan.com; </v>
      </c>
    </row>
    <row r="329" spans="1:5" x14ac:dyDescent="0.25">
      <c r="A329" s="51" t="s">
        <v>2150</v>
      </c>
      <c r="B329" s="51" t="s">
        <v>635</v>
      </c>
      <c r="C329" s="52" t="s">
        <v>2151</v>
      </c>
      <c r="D329" t="s">
        <v>2956</v>
      </c>
      <c r="E329" t="str">
        <f t="shared" si="5"/>
        <v xml:space="preserve">cal-halisahar-branch@ujjivan.com;helpdeskkolkata@ujjivan.com; </v>
      </c>
    </row>
    <row r="330" spans="1:5" x14ac:dyDescent="0.25">
      <c r="A330" s="51" t="s">
        <v>2152</v>
      </c>
      <c r="B330" s="51" t="s">
        <v>2153</v>
      </c>
      <c r="C330" s="52" t="s">
        <v>1860</v>
      </c>
      <c r="D330" t="s">
        <v>2956</v>
      </c>
      <c r="E330" t="str">
        <f t="shared" si="5"/>
        <v xml:space="preserve">thippesh.j@ujjivan.com;helpdeskkolkata@ujjivan.com; </v>
      </c>
    </row>
    <row r="331" spans="1:5" x14ac:dyDescent="0.25">
      <c r="A331" s="51" t="s">
        <v>2154</v>
      </c>
      <c r="B331" s="51" t="s">
        <v>636</v>
      </c>
      <c r="C331" s="52" t="s">
        <v>2155</v>
      </c>
      <c r="D331" t="s">
        <v>2956</v>
      </c>
      <c r="E331" t="str">
        <f t="shared" si="5"/>
        <v xml:space="preserve">cal-batanagar-branch@ujjivan.com;helpdeskkolkata@ujjivan.com; </v>
      </c>
    </row>
    <row r="332" spans="1:5" x14ac:dyDescent="0.25">
      <c r="A332" s="51" t="s">
        <v>2156</v>
      </c>
      <c r="B332" s="51" t="s">
        <v>2157</v>
      </c>
      <c r="C332" s="52" t="s">
        <v>2158</v>
      </c>
      <c r="D332" t="s">
        <v>2956</v>
      </c>
      <c r="E332" t="str">
        <f t="shared" si="5"/>
        <v xml:space="preserve">cal-shantipur-branch@ujjivan.com;helpdeskkolkata@ujjivan.com; </v>
      </c>
    </row>
    <row r="333" spans="1:5" x14ac:dyDescent="0.25">
      <c r="A333" s="51" t="s">
        <v>2159</v>
      </c>
      <c r="B333" s="51" t="s">
        <v>638</v>
      </c>
      <c r="C333" s="52" t="s">
        <v>2160</v>
      </c>
      <c r="D333" t="s">
        <v>2956</v>
      </c>
      <c r="E333" t="str">
        <f t="shared" si="5"/>
        <v xml:space="preserve">jha-dhanbad-branch@ujjivan.com;helpdeskkolkata@ujjivan.com; </v>
      </c>
    </row>
    <row r="334" spans="1:5" x14ac:dyDescent="0.25">
      <c r="A334" s="51" t="s">
        <v>2161</v>
      </c>
      <c r="B334" s="51" t="s">
        <v>641</v>
      </c>
      <c r="C334" s="52" t="s">
        <v>2162</v>
      </c>
      <c r="D334" t="s">
        <v>2956</v>
      </c>
      <c r="E334" t="str">
        <f t="shared" si="5"/>
        <v xml:space="preserve">jha-katras-branch@ujjivan.com;helpdeskkolkata@ujjivan.com; </v>
      </c>
    </row>
    <row r="335" spans="1:5" x14ac:dyDescent="0.25">
      <c r="A335" s="51" t="s">
        <v>2163</v>
      </c>
      <c r="B335" s="51" t="s">
        <v>2164</v>
      </c>
      <c r="C335" s="52" t="s">
        <v>1860</v>
      </c>
      <c r="D335" t="s">
        <v>2956</v>
      </c>
      <c r="E335" t="str">
        <f t="shared" si="5"/>
        <v xml:space="preserve">thippesh.j@ujjivan.com;helpdeskkolkata@ujjivan.com; </v>
      </c>
    </row>
    <row r="336" spans="1:5" x14ac:dyDescent="0.25">
      <c r="A336" s="51" t="s">
        <v>2165</v>
      </c>
      <c r="B336" s="51" t="s">
        <v>642</v>
      </c>
      <c r="C336" s="52" t="s">
        <v>2166</v>
      </c>
      <c r="D336" t="s">
        <v>2956</v>
      </c>
      <c r="E336" t="str">
        <f t="shared" si="5"/>
        <v xml:space="preserve">ori-chandrasekharpur-branch@ujjivan.com;helpdeskkolkata@ujjivan.com; </v>
      </c>
    </row>
    <row r="337" spans="1:5" x14ac:dyDescent="0.25">
      <c r="A337" s="51" t="s">
        <v>2167</v>
      </c>
      <c r="B337" s="51" t="s">
        <v>644</v>
      </c>
      <c r="C337" s="52" t="s">
        <v>2168</v>
      </c>
      <c r="D337" t="s">
        <v>2956</v>
      </c>
      <c r="E337" t="str">
        <f t="shared" si="5"/>
        <v xml:space="preserve">cal-bagnan-branch@ujjivan.com;helpdeskkolkata@ujjivan.com; </v>
      </c>
    </row>
    <row r="338" spans="1:5" x14ac:dyDescent="0.25">
      <c r="A338" s="51" t="s">
        <v>2169</v>
      </c>
      <c r="B338" s="51" t="s">
        <v>2170</v>
      </c>
      <c r="C338" s="52" t="s">
        <v>2171</v>
      </c>
      <c r="D338" t="s">
        <v>2956</v>
      </c>
      <c r="E338" t="str">
        <f t="shared" si="5"/>
        <v xml:space="preserve">cal-krishnanagar-branch@ujjivan.com;helpdeskkolkata@ujjivan.com; </v>
      </c>
    </row>
    <row r="339" spans="1:5" x14ac:dyDescent="0.25">
      <c r="A339" s="51" t="s">
        <v>2172</v>
      </c>
      <c r="B339" s="51" t="s">
        <v>2173</v>
      </c>
      <c r="C339" s="52" t="s">
        <v>1860</v>
      </c>
      <c r="D339" t="s">
        <v>2956</v>
      </c>
      <c r="E339" t="str">
        <f t="shared" si="5"/>
        <v xml:space="preserve">thippesh.j@ujjivan.com;helpdeskkolkata@ujjivan.com; </v>
      </c>
    </row>
    <row r="340" spans="1:5" x14ac:dyDescent="0.25">
      <c r="A340" s="51" t="s">
        <v>2174</v>
      </c>
      <c r="B340" s="51" t="s">
        <v>645</v>
      </c>
      <c r="C340" s="52" t="s">
        <v>2175</v>
      </c>
      <c r="D340" t="s">
        <v>2956</v>
      </c>
      <c r="E340" t="str">
        <f t="shared" si="5"/>
        <v xml:space="preserve">ori-samantarapur-branch@ujjivan.com;helpdeskkolkata@ujjivan.com; </v>
      </c>
    </row>
    <row r="341" spans="1:5" x14ac:dyDescent="0.25">
      <c r="A341" s="51" t="s">
        <v>2176</v>
      </c>
      <c r="B341" s="51" t="s">
        <v>646</v>
      </c>
      <c r="C341" s="52" t="s">
        <v>2177</v>
      </c>
      <c r="D341" t="s">
        <v>2956</v>
      </c>
      <c r="E341" t="str">
        <f t="shared" si="5"/>
        <v xml:space="preserve">ori-baramunda-branch@ujjivan.com;helpdeskkolkata@ujjivan.com; </v>
      </c>
    </row>
    <row r="342" spans="1:5" x14ac:dyDescent="0.25">
      <c r="A342" s="51" t="s">
        <v>2178</v>
      </c>
      <c r="B342" s="51" t="s">
        <v>648</v>
      </c>
      <c r="C342" s="52" t="s">
        <v>2179</v>
      </c>
      <c r="D342" t="s">
        <v>2956</v>
      </c>
      <c r="E342" t="str">
        <f t="shared" si="5"/>
        <v xml:space="preserve">jha-raturoad-branch@ujjivan.com;helpdeskkolkata@ujjivan.com; </v>
      </c>
    </row>
    <row r="343" spans="1:5" x14ac:dyDescent="0.25">
      <c r="A343" s="51" t="s">
        <v>2180</v>
      </c>
      <c r="B343" s="51" t="s">
        <v>2181</v>
      </c>
      <c r="C343" s="52" t="s">
        <v>2182</v>
      </c>
      <c r="D343" t="s">
        <v>2956</v>
      </c>
      <c r="E343" t="str">
        <f t="shared" si="5"/>
        <v xml:space="preserve">jha-hinoo-branch@ujjivan.com;helpdeskkolkata@ujjivan.com; </v>
      </c>
    </row>
    <row r="344" spans="1:5" x14ac:dyDescent="0.25">
      <c r="A344" s="51" t="s">
        <v>2183</v>
      </c>
      <c r="B344" s="51" t="s">
        <v>649</v>
      </c>
      <c r="C344" s="52" t="s">
        <v>2184</v>
      </c>
      <c r="D344" t="s">
        <v>2956</v>
      </c>
      <c r="E344" t="str">
        <f t="shared" si="5"/>
        <v xml:space="preserve">cal-panskura-branch@ujjivan.com;helpdeskkolkata@ujjivan.com; </v>
      </c>
    </row>
    <row r="345" spans="1:5" x14ac:dyDescent="0.25">
      <c r="A345" s="51" t="s">
        <v>2185</v>
      </c>
      <c r="B345" s="51" t="s">
        <v>2186</v>
      </c>
      <c r="C345" s="52" t="s">
        <v>2187</v>
      </c>
      <c r="D345" t="s">
        <v>2956</v>
      </c>
      <c r="E345" t="str">
        <f t="shared" si="5"/>
        <v xml:space="preserve">cal-tribeni-branch@ujjivan.com;helpdeskkolkata@ujjivan.com; </v>
      </c>
    </row>
    <row r="346" spans="1:5" x14ac:dyDescent="0.25">
      <c r="A346" s="51" t="s">
        <v>2188</v>
      </c>
      <c r="B346" s="51" t="s">
        <v>651</v>
      </c>
      <c r="C346" s="52" t="s">
        <v>2189</v>
      </c>
      <c r="D346" t="s">
        <v>2956</v>
      </c>
      <c r="E346" t="str">
        <f t="shared" si="5"/>
        <v xml:space="preserve">jha-kokar-branch@ujjivan.com;helpdeskkolkata@ujjivan.com; </v>
      </c>
    </row>
    <row r="347" spans="1:5" x14ac:dyDescent="0.25">
      <c r="A347" s="51" t="s">
        <v>2190</v>
      </c>
      <c r="B347" s="51" t="s">
        <v>652</v>
      </c>
      <c r="C347" s="52" t="s">
        <v>2191</v>
      </c>
      <c r="D347" t="s">
        <v>2956</v>
      </c>
      <c r="E347" t="str">
        <f t="shared" si="5"/>
        <v xml:space="preserve">jha-govindpur-branch@ujjivan.com;helpdeskkolkata@ujjivan.com; </v>
      </c>
    </row>
    <row r="348" spans="1:5" x14ac:dyDescent="0.25">
      <c r="A348" s="51" t="s">
        <v>2192</v>
      </c>
      <c r="B348" s="51" t="s">
        <v>2193</v>
      </c>
      <c r="C348" s="52" t="s">
        <v>1860</v>
      </c>
      <c r="D348" t="s">
        <v>2956</v>
      </c>
      <c r="E348" t="str">
        <f t="shared" si="5"/>
        <v xml:space="preserve">thippesh.j@ujjivan.com;helpdeskkolkata@ujjivan.com; </v>
      </c>
    </row>
    <row r="349" spans="1:5" x14ac:dyDescent="0.25">
      <c r="A349" s="51" t="s">
        <v>2194</v>
      </c>
      <c r="B349" s="51" t="s">
        <v>654</v>
      </c>
      <c r="C349" s="52" t="s">
        <v>2195</v>
      </c>
      <c r="D349" t="s">
        <v>2956</v>
      </c>
      <c r="E349" t="str">
        <f t="shared" si="5"/>
        <v xml:space="preserve">bhr-danapur-branch@ujjivan.com;helpdeskkolkata@ujjivan.com; </v>
      </c>
    </row>
    <row r="350" spans="1:5" x14ac:dyDescent="0.25">
      <c r="A350" s="51" t="s">
        <v>2194</v>
      </c>
      <c r="B350" s="51" t="s">
        <v>654</v>
      </c>
      <c r="C350" s="52" t="s">
        <v>1860</v>
      </c>
      <c r="D350" t="s">
        <v>2956</v>
      </c>
      <c r="E350" t="str">
        <f t="shared" si="5"/>
        <v xml:space="preserve">thippesh.j@ujjivan.com;helpdeskkolkata@ujjivan.com; </v>
      </c>
    </row>
    <row r="351" spans="1:5" x14ac:dyDescent="0.25">
      <c r="A351" s="51" t="s">
        <v>2196</v>
      </c>
      <c r="B351" s="51" t="s">
        <v>655</v>
      </c>
      <c r="C351" s="52" t="s">
        <v>2197</v>
      </c>
      <c r="D351" t="s">
        <v>2956</v>
      </c>
      <c r="E351" t="str">
        <f t="shared" si="5"/>
        <v xml:space="preserve">bhr-patnacity-branch@ujjivan.com;helpdeskkolkata@ujjivan.com; </v>
      </c>
    </row>
    <row r="352" spans="1:5" x14ac:dyDescent="0.25">
      <c r="A352" s="51" t="s">
        <v>2198</v>
      </c>
      <c r="B352" s="51" t="s">
        <v>656</v>
      </c>
      <c r="C352" s="52" t="s">
        <v>2199</v>
      </c>
      <c r="D352" t="s">
        <v>2956</v>
      </c>
      <c r="E352" t="str">
        <f t="shared" si="5"/>
        <v xml:space="preserve">jha-adityapur-branch@ujjivan.com ;helpdeskkolkata@ujjivan.com; </v>
      </c>
    </row>
    <row r="353" spans="1:5" x14ac:dyDescent="0.25">
      <c r="A353" s="51" t="s">
        <v>2200</v>
      </c>
      <c r="B353" s="51" t="s">
        <v>2201</v>
      </c>
      <c r="C353" s="52" t="s">
        <v>2202</v>
      </c>
      <c r="D353" t="s">
        <v>2956</v>
      </c>
      <c r="E353" t="str">
        <f t="shared" si="5"/>
        <v xml:space="preserve">ORI-KHURDHA-BRANCH@UJJIVAN.COM;helpdeskkolkata@ujjivan.com; </v>
      </c>
    </row>
    <row r="354" spans="1:5" x14ac:dyDescent="0.25">
      <c r="A354" s="51" t="s">
        <v>2203</v>
      </c>
      <c r="B354" s="51" t="s">
        <v>658</v>
      </c>
      <c r="C354" s="52" t="s">
        <v>2204</v>
      </c>
      <c r="D354" t="s">
        <v>2956</v>
      </c>
      <c r="E354" t="str">
        <f t="shared" si="5"/>
        <v xml:space="preserve">ori-puri-branch@ujjivan.com ;helpdeskkolkata@ujjivan.com; </v>
      </c>
    </row>
    <row r="355" spans="1:5" x14ac:dyDescent="0.25">
      <c r="A355" s="51" t="s">
        <v>2205</v>
      </c>
      <c r="B355" s="51" t="s">
        <v>660</v>
      </c>
      <c r="C355" s="52" t="s">
        <v>2206</v>
      </c>
      <c r="D355" t="s">
        <v>2956</v>
      </c>
      <c r="E355" t="str">
        <f t="shared" si="5"/>
        <v xml:space="preserve">jha-ghatsila-branch@ujjivan.com ;helpdeskkolkata@ujjivan.com; </v>
      </c>
    </row>
    <row r="356" spans="1:5" x14ac:dyDescent="0.25">
      <c r="A356" s="51" t="s">
        <v>2207</v>
      </c>
      <c r="B356" s="51" t="s">
        <v>662</v>
      </c>
      <c r="C356" s="52" t="s">
        <v>2208</v>
      </c>
      <c r="D356" t="s">
        <v>2956</v>
      </c>
      <c r="E356" t="str">
        <f t="shared" si="5"/>
        <v xml:space="preserve">bhr-hajipur-branch@ujjivan.com ;helpdeskkolkata@ujjivan.com; </v>
      </c>
    </row>
    <row r="357" spans="1:5" x14ac:dyDescent="0.25">
      <c r="A357" s="51" t="s">
        <v>2209</v>
      </c>
      <c r="B357" s="51" t="s">
        <v>663</v>
      </c>
      <c r="C357" s="52" t="s">
        <v>2210</v>
      </c>
      <c r="D357" t="s">
        <v>2956</v>
      </c>
      <c r="E357" t="str">
        <f t="shared" si="5"/>
        <v xml:space="preserve">cal-kalnagate-branch@ujjivan.com ;helpdeskkolkata@ujjivan.com; </v>
      </c>
    </row>
    <row r="358" spans="1:5" x14ac:dyDescent="0.25">
      <c r="A358" s="51" t="s">
        <v>2211</v>
      </c>
      <c r="B358" s="51" t="s">
        <v>666</v>
      </c>
      <c r="C358" s="52" t="s">
        <v>2212</v>
      </c>
      <c r="D358" t="s">
        <v>2956</v>
      </c>
      <c r="E358" t="str">
        <f t="shared" si="5"/>
        <v xml:space="preserve">cal-arambagh-branch@ujjivan.com  ;helpdeskkolkata@ujjivan.com; </v>
      </c>
    </row>
    <row r="359" spans="1:5" x14ac:dyDescent="0.25">
      <c r="A359" s="51" t="s">
        <v>2213</v>
      </c>
      <c r="B359" s="51" t="s">
        <v>668</v>
      </c>
      <c r="C359" s="52" t="s">
        <v>2214</v>
      </c>
      <c r="D359" t="s">
        <v>2956</v>
      </c>
      <c r="E359" t="str">
        <f t="shared" si="5"/>
        <v xml:space="preserve">cal-budbud-branch@ujjivan.com;helpdeskkolkata@ujjivan.com; </v>
      </c>
    </row>
    <row r="360" spans="1:5" x14ac:dyDescent="0.25">
      <c r="A360" s="51" t="s">
        <v>2215</v>
      </c>
      <c r="B360" s="51" t="s">
        <v>670</v>
      </c>
      <c r="C360" s="52" t="s">
        <v>2216</v>
      </c>
      <c r="D360" t="s">
        <v>2956</v>
      </c>
      <c r="E360" t="str">
        <f t="shared" si="5"/>
        <v xml:space="preserve">jha-chas-branch@ujjivan.com  ;helpdeskkolkata@ujjivan.com; </v>
      </c>
    </row>
    <row r="361" spans="1:5" x14ac:dyDescent="0.25">
      <c r="A361" s="51" t="s">
        <v>2217</v>
      </c>
      <c r="B361" s="51" t="s">
        <v>2218</v>
      </c>
      <c r="C361" s="52" t="s">
        <v>2219</v>
      </c>
      <c r="D361" t="s">
        <v>2956</v>
      </c>
      <c r="E361" t="str">
        <f t="shared" si="5"/>
        <v xml:space="preserve">jha-jayanamore-branch@ujjivan.com  ;helpdeskkolkata@ujjivan.com; </v>
      </c>
    </row>
    <row r="362" spans="1:5" x14ac:dyDescent="0.25">
      <c r="A362" s="51" t="s">
        <v>2220</v>
      </c>
      <c r="B362" s="51" t="s">
        <v>671</v>
      </c>
      <c r="C362" s="52" t="s">
        <v>2221</v>
      </c>
      <c r="D362" t="s">
        <v>2956</v>
      </c>
      <c r="E362" t="str">
        <f t="shared" si="5"/>
        <v xml:space="preserve">jha-jharia-branch@ujjivan.com;helpdeskkolkata@ujjivan.com; </v>
      </c>
    </row>
    <row r="363" spans="1:5" x14ac:dyDescent="0.25">
      <c r="A363" s="51" t="s">
        <v>2222</v>
      </c>
      <c r="B363" s="51" t="s">
        <v>673</v>
      </c>
      <c r="C363" s="52" t="s">
        <v>2223</v>
      </c>
      <c r="D363" t="s">
        <v>2956</v>
      </c>
      <c r="E363" t="str">
        <f t="shared" si="5"/>
        <v xml:space="preserve">jha-hazaribagh-branch@ujjivan.com;helpdeskkolkata@ujjivan.com; </v>
      </c>
    </row>
    <row r="364" spans="1:5" x14ac:dyDescent="0.25">
      <c r="A364" s="51" t="s">
        <v>2224</v>
      </c>
      <c r="B364" s="51" t="s">
        <v>674</v>
      </c>
      <c r="C364" s="52" t="s">
        <v>2225</v>
      </c>
      <c r="D364" t="s">
        <v>2956</v>
      </c>
      <c r="E364" t="str">
        <f t="shared" si="5"/>
        <v xml:space="preserve">jha-purulia-branch@ujjivan.com;helpdeskkolkata@ujjivan.com; </v>
      </c>
    </row>
    <row r="365" spans="1:5" x14ac:dyDescent="0.25">
      <c r="A365" s="51" t="s">
        <v>2226</v>
      </c>
      <c r="B365" s="51" t="s">
        <v>675</v>
      </c>
      <c r="C365" s="52" t="s">
        <v>2227</v>
      </c>
      <c r="D365" t="s">
        <v>2956</v>
      </c>
      <c r="E365" t="str">
        <f t="shared" si="5"/>
        <v xml:space="preserve">cal-rasulpur-branch@ujjivan.com;helpdeskkolkata@ujjivan.com; </v>
      </c>
    </row>
    <row r="366" spans="1:5" x14ac:dyDescent="0.25">
      <c r="A366" s="51" t="s">
        <v>2228</v>
      </c>
      <c r="B366" s="51" t="s">
        <v>676</v>
      </c>
      <c r="C366" s="52" t="s">
        <v>2229</v>
      </c>
      <c r="D366" t="s">
        <v>2956</v>
      </c>
      <c r="E366" t="str">
        <f t="shared" si="5"/>
        <v xml:space="preserve">cal-bolpur-branch@ujjivan.com;helpdeskkolkata@ujjivan.com; </v>
      </c>
    </row>
    <row r="367" spans="1:5" x14ac:dyDescent="0.25">
      <c r="A367" s="51" t="s">
        <v>2230</v>
      </c>
      <c r="B367" s="51" t="s">
        <v>677</v>
      </c>
      <c r="C367" s="52" t="s">
        <v>669</v>
      </c>
      <c r="D367" t="s">
        <v>2956</v>
      </c>
      <c r="E367" t="str">
        <f t="shared" si="5"/>
        <v xml:space="preserve">cal-durgapur-branch@ujjivan.com;helpdeskkolkata@ujjivan.com; </v>
      </c>
    </row>
    <row r="368" spans="1:5" x14ac:dyDescent="0.25">
      <c r="A368" s="51" t="s">
        <v>2231</v>
      </c>
      <c r="B368" s="51" t="s">
        <v>679</v>
      </c>
      <c r="C368" s="52" t="s">
        <v>2232</v>
      </c>
      <c r="D368" t="s">
        <v>2956</v>
      </c>
      <c r="E368" t="str">
        <f t="shared" si="5"/>
        <v xml:space="preserve">cal-asansol-branch@ujjivan.com;helpdeskkolkata@ujjivan.com; </v>
      </c>
    </row>
    <row r="369" spans="1:5" x14ac:dyDescent="0.25">
      <c r="A369" s="51" t="s">
        <v>2233</v>
      </c>
      <c r="B369" s="51" t="s">
        <v>2234</v>
      </c>
      <c r="C369" s="52" t="s">
        <v>2235</v>
      </c>
      <c r="D369" t="s">
        <v>2956</v>
      </c>
      <c r="E369" t="str">
        <f t="shared" si="5"/>
        <v xml:space="preserve">jha-korra-branch@ujjivan.com ;helpdeskkolkata@ujjivan.com; </v>
      </c>
    </row>
    <row r="370" spans="1:5" x14ac:dyDescent="0.25">
      <c r="A370" s="51" t="s">
        <v>2236</v>
      </c>
      <c r="B370" s="51" t="s">
        <v>2237</v>
      </c>
      <c r="C370" s="52" t="s">
        <v>2238</v>
      </c>
      <c r="D370" t="s">
        <v>2956</v>
      </c>
      <c r="E370" t="str">
        <f t="shared" si="5"/>
        <v xml:space="preserve">bhr-lalganj-branch@ujjivan.com;helpdeskkolkata@ujjivan.com; </v>
      </c>
    </row>
    <row r="371" spans="1:5" x14ac:dyDescent="0.25">
      <c r="A371" s="51" t="s">
        <v>2239</v>
      </c>
      <c r="B371" s="51" t="s">
        <v>680</v>
      </c>
      <c r="C371" s="52" t="s">
        <v>2240</v>
      </c>
      <c r="D371" t="s">
        <v>2956</v>
      </c>
      <c r="E371" t="str">
        <f t="shared" si="5"/>
        <v xml:space="preserve">bhr-fatuah-branch@ujjivan.com ;helpdeskkolkata@ujjivan.com; </v>
      </c>
    </row>
    <row r="372" spans="1:5" x14ac:dyDescent="0.25">
      <c r="A372" s="51" t="s">
        <v>2241</v>
      </c>
      <c r="B372" s="51" t="s">
        <v>681</v>
      </c>
      <c r="C372" s="52" t="s">
        <v>2242</v>
      </c>
      <c r="D372" t="s">
        <v>2956</v>
      </c>
      <c r="E372" t="str">
        <f t="shared" si="5"/>
        <v xml:space="preserve">bhr-gandhimaidan-branch@ujjivan.com;helpdeskkolkata@ujjivan.com; </v>
      </c>
    </row>
    <row r="373" spans="1:5" x14ac:dyDescent="0.25">
      <c r="A373" s="51" t="s">
        <v>2243</v>
      </c>
      <c r="B373" s="51" t="s">
        <v>682</v>
      </c>
      <c r="C373" s="52" t="s">
        <v>2244</v>
      </c>
      <c r="D373" t="s">
        <v>2956</v>
      </c>
      <c r="E373" t="str">
        <f t="shared" si="5"/>
        <v xml:space="preserve">bhr-fulwarishariff-branch@ujjivan.com ;helpdeskkolkata@ujjivan.com; </v>
      </c>
    </row>
    <row r="374" spans="1:5" x14ac:dyDescent="0.25">
      <c r="A374" s="51" t="s">
        <v>2245</v>
      </c>
      <c r="B374" s="51" t="s">
        <v>683</v>
      </c>
      <c r="C374" s="52" t="s">
        <v>2246</v>
      </c>
      <c r="D374" t="s">
        <v>2956</v>
      </c>
      <c r="E374" t="str">
        <f t="shared" si="5"/>
        <v xml:space="preserve">cal-dhaniakhali-branch@ujjivan.com ;helpdeskkolkata@ujjivan.com; </v>
      </c>
    </row>
    <row r="375" spans="1:5" x14ac:dyDescent="0.25">
      <c r="A375" s="51" t="s">
        <v>2247</v>
      </c>
      <c r="B375" s="51" t="s">
        <v>685</v>
      </c>
      <c r="C375" s="52" t="s">
        <v>2248</v>
      </c>
      <c r="D375" t="s">
        <v>2956</v>
      </c>
      <c r="E375" t="str">
        <f t="shared" si="5"/>
        <v xml:space="preserve">ori-rajgangpur-branch@ujjivan.com ;helpdeskkolkata@ujjivan.com; </v>
      </c>
    </row>
    <row r="376" spans="1:5" x14ac:dyDescent="0.25">
      <c r="A376" s="51" t="s">
        <v>2249</v>
      </c>
      <c r="B376" s="51" t="s">
        <v>686</v>
      </c>
      <c r="C376" s="52" t="s">
        <v>2250</v>
      </c>
      <c r="D376" t="s">
        <v>2956</v>
      </c>
      <c r="E376" t="str">
        <f t="shared" si="5"/>
        <v xml:space="preserve">ori-rourkela-branch@ujjivan.com;helpdeskkolkata@ujjivan.com; </v>
      </c>
    </row>
    <row r="377" spans="1:5" x14ac:dyDescent="0.25">
      <c r="A377" s="51" t="s">
        <v>2251</v>
      </c>
      <c r="B377" s="51" t="s">
        <v>688</v>
      </c>
      <c r="C377" s="52" t="s">
        <v>2252</v>
      </c>
      <c r="D377" t="s">
        <v>2956</v>
      </c>
      <c r="E377" t="str">
        <f t="shared" si="5"/>
        <v xml:space="preserve">ori-koelnagar-branch@ujjivan.com ;helpdeskkolkata@ujjivan.com; </v>
      </c>
    </row>
    <row r="378" spans="1:5" x14ac:dyDescent="0.25">
      <c r="A378" s="51" t="s">
        <v>2253</v>
      </c>
      <c r="B378" s="51" t="s">
        <v>2254</v>
      </c>
      <c r="C378" s="52" t="s">
        <v>2255</v>
      </c>
      <c r="D378" t="s">
        <v>2956</v>
      </c>
      <c r="E378" t="str">
        <f t="shared" si="5"/>
        <v xml:space="preserve">jha-kadma-branch@ujjivan.com ;helpdeskkolkata@ujjivan.com; </v>
      </c>
    </row>
    <row r="379" spans="1:5" x14ac:dyDescent="0.25">
      <c r="A379" s="51" t="s">
        <v>2256</v>
      </c>
      <c r="B379" s="51" t="s">
        <v>689</v>
      </c>
      <c r="C379" s="52" t="s">
        <v>2257</v>
      </c>
      <c r="D379" t="s">
        <v>2956</v>
      </c>
      <c r="E379" t="str">
        <f t="shared" si="5"/>
        <v xml:space="preserve">jha-tilaiya-branch@ujjivan.com;helpdeskkolkata@ujjivan.com; </v>
      </c>
    </row>
    <row r="380" spans="1:5" x14ac:dyDescent="0.25">
      <c r="A380" s="51" t="s">
        <v>2258</v>
      </c>
      <c r="B380" s="51" t="s">
        <v>690</v>
      </c>
      <c r="C380" s="52" t="s">
        <v>2259</v>
      </c>
      <c r="D380" t="s">
        <v>2956</v>
      </c>
      <c r="E380" t="str">
        <f t="shared" si="5"/>
        <v xml:space="preserve">cal-sainthiya-branch@ujjivan.com ;helpdeskkolkata@ujjivan.com; </v>
      </c>
    </row>
    <row r="381" spans="1:5" x14ac:dyDescent="0.25">
      <c r="A381" s="51" t="s">
        <v>2260</v>
      </c>
      <c r="B381" s="51" t="s">
        <v>692</v>
      </c>
      <c r="C381" s="52" t="s">
        <v>2261</v>
      </c>
      <c r="D381" t="s">
        <v>2956</v>
      </c>
      <c r="E381" t="str">
        <f t="shared" si="5"/>
        <v xml:space="preserve">cal-kulti-branch@ujjivan.com;helpdeskkolkata@ujjivan.com; </v>
      </c>
    </row>
    <row r="382" spans="1:5" x14ac:dyDescent="0.25">
      <c r="A382" s="51" t="s">
        <v>2262</v>
      </c>
      <c r="B382" s="51" t="s">
        <v>693</v>
      </c>
      <c r="C382" s="52" t="s">
        <v>695</v>
      </c>
      <c r="D382" t="s">
        <v>2956</v>
      </c>
      <c r="E382" t="str">
        <f t="shared" si="5"/>
        <v xml:space="preserve">cal-kharagpur-branch@ujjivan.com;helpdeskkolkata@ujjivan.com; </v>
      </c>
    </row>
    <row r="383" spans="1:5" x14ac:dyDescent="0.25">
      <c r="A383" s="51" t="s">
        <v>2263</v>
      </c>
      <c r="B383" s="51" t="s">
        <v>694</v>
      </c>
      <c r="C383" s="52" t="s">
        <v>2264</v>
      </c>
      <c r="D383" t="s">
        <v>2956</v>
      </c>
      <c r="E383" t="str">
        <f t="shared" si="5"/>
        <v xml:space="preserve">cal-midnapur-branch@ujjivan.com;helpdeskkolkata@ujjivan.com; </v>
      </c>
    </row>
    <row r="384" spans="1:5" x14ac:dyDescent="0.25">
      <c r="A384" s="51" t="s">
        <v>2265</v>
      </c>
      <c r="B384" s="51" t="s">
        <v>696</v>
      </c>
      <c r="C384" s="52" t="s">
        <v>2266</v>
      </c>
      <c r="D384" t="s">
        <v>2956</v>
      </c>
      <c r="E384" t="str">
        <f t="shared" si="5"/>
        <v xml:space="preserve">cal-baharampur-branch@ujjivan.com;helpdeskkolkata@ujjivan.com; </v>
      </c>
    </row>
    <row r="385" spans="1:5" x14ac:dyDescent="0.25">
      <c r="A385" s="51" t="s">
        <v>2267</v>
      </c>
      <c r="B385" s="51" t="s">
        <v>698</v>
      </c>
      <c r="C385" s="52" t="s">
        <v>2268</v>
      </c>
      <c r="D385" t="s">
        <v>2956</v>
      </c>
      <c r="E385" t="str">
        <f t="shared" si="5"/>
        <v xml:space="preserve">cal-malda-branch@ujjivan.com;helpdeskkolkata@ujjivan.com; </v>
      </c>
    </row>
    <row r="386" spans="1:5" x14ac:dyDescent="0.25">
      <c r="A386" s="51" t="s">
        <v>2269</v>
      </c>
      <c r="B386" s="51" t="s">
        <v>700</v>
      </c>
      <c r="C386" s="52" t="s">
        <v>2270</v>
      </c>
      <c r="D386" t="s">
        <v>2956</v>
      </c>
      <c r="E386" t="str">
        <f t="shared" si="5"/>
        <v xml:space="preserve">bhr-mddmcollege-branch@ujjivan.com;helpdeskkolkata@ujjivan.com; </v>
      </c>
    </row>
    <row r="387" spans="1:5" x14ac:dyDescent="0.25">
      <c r="A387" s="51" t="s">
        <v>2271</v>
      </c>
      <c r="B387" s="51" t="s">
        <v>701</v>
      </c>
      <c r="C387" s="52" t="s">
        <v>2272</v>
      </c>
      <c r="D387" t="s">
        <v>2956</v>
      </c>
      <c r="E387" t="str">
        <f t="shared" ref="E387:E450" si="6">CONCATENATE(C387,";",D387)</f>
        <v xml:space="preserve">bhr-zeromile-branch@ujjivan.com;helpdeskkolkata@ujjivan.com; </v>
      </c>
    </row>
    <row r="388" spans="1:5" x14ac:dyDescent="0.25">
      <c r="A388" s="51" t="s">
        <v>2273</v>
      </c>
      <c r="B388" s="51" t="s">
        <v>2274</v>
      </c>
      <c r="C388" s="52" t="s">
        <v>2275</v>
      </c>
      <c r="D388" t="s">
        <v>2956</v>
      </c>
      <c r="E388" t="str">
        <f t="shared" si="6"/>
        <v xml:space="preserve">cal-bargachia-branch@ujjivan.com;helpdeskkolkata@ujjivan.com; </v>
      </c>
    </row>
    <row r="389" spans="1:5" x14ac:dyDescent="0.25">
      <c r="A389" s="51" t="s">
        <v>2276</v>
      </c>
      <c r="B389" s="51" t="s">
        <v>2277</v>
      </c>
      <c r="C389" s="53" t="s">
        <v>1566</v>
      </c>
      <c r="D389" t="s">
        <v>2956</v>
      </c>
      <c r="E389" t="str">
        <f t="shared" si="6"/>
        <v xml:space="preserve">helpdesk@ujjivan.com;helpdeskkolkata@ujjivan.com; </v>
      </c>
    </row>
    <row r="390" spans="1:5" x14ac:dyDescent="0.25">
      <c r="A390" s="51" t="s">
        <v>2278</v>
      </c>
      <c r="B390" s="51" t="s">
        <v>702</v>
      </c>
      <c r="C390" s="52" t="s">
        <v>703</v>
      </c>
      <c r="D390" t="s">
        <v>2956</v>
      </c>
      <c r="E390" t="str">
        <f t="shared" si="6"/>
        <v xml:space="preserve">cal-contai-branch@ujjivan.com;helpdeskkolkata@ujjivan.com; </v>
      </c>
    </row>
    <row r="391" spans="1:5" x14ac:dyDescent="0.25">
      <c r="A391" s="51" t="s">
        <v>2279</v>
      </c>
      <c r="B391" s="51" t="s">
        <v>704</v>
      </c>
      <c r="C391" s="52" t="s">
        <v>2280</v>
      </c>
      <c r="D391" t="s">
        <v>2956</v>
      </c>
      <c r="E391" t="str">
        <f t="shared" si="6"/>
        <v xml:space="preserve">cal-tamluk-branch@ujjivan.com;helpdeskkolkata@ujjivan.com; </v>
      </c>
    </row>
    <row r="392" spans="1:5" x14ac:dyDescent="0.25">
      <c r="A392" s="51" t="s">
        <v>2281</v>
      </c>
      <c r="B392" s="51" t="s">
        <v>705</v>
      </c>
      <c r="C392" s="52" t="s">
        <v>2282</v>
      </c>
      <c r="D392" t="s">
        <v>2956</v>
      </c>
      <c r="E392" t="str">
        <f t="shared" si="6"/>
        <v xml:space="preserve">jha-deoghar-branch@ujjivan.com ;helpdeskkolkata@ujjivan.com; </v>
      </c>
    </row>
    <row r="393" spans="1:5" x14ac:dyDescent="0.25">
      <c r="A393" s="51" t="s">
        <v>2283</v>
      </c>
      <c r="B393" s="51" t="s">
        <v>707</v>
      </c>
      <c r="C393" s="52" t="s">
        <v>2284</v>
      </c>
      <c r="D393" t="s">
        <v>2956</v>
      </c>
      <c r="E393" t="str">
        <f t="shared" si="6"/>
        <v xml:space="preserve">ori-ainthapalli-branch@ujjivan.com;helpdeskkolkata@ujjivan.com; </v>
      </c>
    </row>
    <row r="394" spans="1:5" x14ac:dyDescent="0.25">
      <c r="A394" s="51" t="s">
        <v>2285</v>
      </c>
      <c r="B394" s="51" t="s">
        <v>2286</v>
      </c>
      <c r="C394" s="52" t="s">
        <v>2287</v>
      </c>
      <c r="D394" t="s">
        <v>2956</v>
      </c>
      <c r="E394" t="str">
        <f t="shared" si="6"/>
        <v xml:space="preserve">ori-dhankauda-branch@ujjivan.com ;helpdeskkolkata@ujjivan.com; </v>
      </c>
    </row>
    <row r="395" spans="1:5" x14ac:dyDescent="0.25">
      <c r="A395" s="51" t="s">
        <v>2288</v>
      </c>
      <c r="B395" s="51" t="s">
        <v>708</v>
      </c>
      <c r="C395" s="52" t="s">
        <v>2289</v>
      </c>
      <c r="D395" t="s">
        <v>2956</v>
      </c>
      <c r="E395" t="str">
        <f t="shared" si="6"/>
        <v xml:space="preserve">cal-balurghat-branch@ujjivan.com ;helpdeskkolkata@ujjivan.com; </v>
      </c>
    </row>
    <row r="396" spans="1:5" x14ac:dyDescent="0.25">
      <c r="A396" s="51" t="s">
        <v>2290</v>
      </c>
      <c r="B396" s="51" t="s">
        <v>709</v>
      </c>
      <c r="C396" s="52" t="s">
        <v>2291</v>
      </c>
      <c r="D396" t="s">
        <v>2956</v>
      </c>
      <c r="E396" t="str">
        <f t="shared" si="6"/>
        <v xml:space="preserve">cal-jalpaiguri-branch@ujjivan.com ;helpdeskkolkata@ujjivan.com; </v>
      </c>
    </row>
    <row r="397" spans="1:5" x14ac:dyDescent="0.25">
      <c r="A397" s="51" t="s">
        <v>2292</v>
      </c>
      <c r="B397" s="51" t="s">
        <v>710</v>
      </c>
      <c r="C397" s="52" t="s">
        <v>2293</v>
      </c>
      <c r="D397" t="s">
        <v>2956</v>
      </c>
      <c r="E397" t="str">
        <f t="shared" si="6"/>
        <v xml:space="preserve">cal-kaliaganj-branch@ujjivan.com ;helpdeskkolkata@ujjivan.com; </v>
      </c>
    </row>
    <row r="398" spans="1:5" x14ac:dyDescent="0.25">
      <c r="A398" s="51" t="s">
        <v>2294</v>
      </c>
      <c r="B398" s="51" t="s">
        <v>712</v>
      </c>
      <c r="C398" s="52" t="s">
        <v>2295</v>
      </c>
      <c r="D398" t="s">
        <v>2956</v>
      </c>
      <c r="E398" t="str">
        <f t="shared" si="6"/>
        <v xml:space="preserve">cal-raiganj-branch@ujjivan.com ;helpdeskkolkata@ujjivan.com; </v>
      </c>
    </row>
    <row r="399" spans="1:5" x14ac:dyDescent="0.25">
      <c r="A399" s="51" t="s">
        <v>2296</v>
      </c>
      <c r="B399" s="51" t="s">
        <v>713</v>
      </c>
      <c r="C399" s="52" t="s">
        <v>2297</v>
      </c>
      <c r="D399" t="s">
        <v>2956</v>
      </c>
      <c r="E399" t="str">
        <f t="shared" si="6"/>
        <v xml:space="preserve">cal-siliguri-branch@ujjivan.com ;helpdeskkolkata@ujjivan.com; </v>
      </c>
    </row>
    <row r="400" spans="1:5" x14ac:dyDescent="0.25">
      <c r="A400" s="51" t="s">
        <v>2298</v>
      </c>
      <c r="B400" s="51" t="s">
        <v>1011</v>
      </c>
      <c r="C400" s="52" t="s">
        <v>2299</v>
      </c>
      <c r="D400" t="s">
        <v>2956</v>
      </c>
      <c r="E400" t="str">
        <f t="shared" si="6"/>
        <v xml:space="preserve">ne-dispur-branch@ujjivan.com ;helpdeskkolkata@ujjivan.com; </v>
      </c>
    </row>
    <row r="401" spans="1:5" x14ac:dyDescent="0.25">
      <c r="A401" s="51" t="s">
        <v>2300</v>
      </c>
      <c r="B401" s="51" t="s">
        <v>714</v>
      </c>
      <c r="C401" s="52" t="s">
        <v>2301</v>
      </c>
      <c r="D401" t="s">
        <v>2956</v>
      </c>
      <c r="E401" t="str">
        <f t="shared" si="6"/>
        <v xml:space="preserve">ne-kalapahar-branch@ujjivan.com ;helpdeskkolkata@ujjivan.com; </v>
      </c>
    </row>
    <row r="402" spans="1:5" x14ac:dyDescent="0.25">
      <c r="A402" s="51" t="s">
        <v>2302</v>
      </c>
      <c r="B402" s="51" t="s">
        <v>716</v>
      </c>
      <c r="C402" s="52" t="s">
        <v>2303</v>
      </c>
      <c r="D402" t="s">
        <v>2956</v>
      </c>
      <c r="E402" t="str">
        <f t="shared" si="6"/>
        <v xml:space="preserve">ne-maligaon-branch@ujjivan.com ;helpdeskkolkata@ujjivan.com; </v>
      </c>
    </row>
    <row r="403" spans="1:5" x14ac:dyDescent="0.25">
      <c r="A403" s="51" t="s">
        <v>2304</v>
      </c>
      <c r="B403" s="51" t="s">
        <v>717</v>
      </c>
      <c r="C403" s="52" t="s">
        <v>2305</v>
      </c>
      <c r="D403" t="s">
        <v>2956</v>
      </c>
      <c r="E403" t="str">
        <f t="shared" si="6"/>
        <v xml:space="preserve">ne-mawlai-branch@ujjivan.com ;helpdeskkolkata@ujjivan.com; </v>
      </c>
    </row>
    <row r="404" spans="1:5" x14ac:dyDescent="0.25">
      <c r="A404" s="51" t="s">
        <v>2306</v>
      </c>
      <c r="B404" s="51" t="s">
        <v>718</v>
      </c>
      <c r="C404" s="52" t="s">
        <v>2307</v>
      </c>
      <c r="D404" t="s">
        <v>2956</v>
      </c>
      <c r="E404" t="str">
        <f t="shared" si="6"/>
        <v xml:space="preserve">cal-coochbehar-branch@ujjivan.com ;helpdeskkolkata@ujjivan.com; </v>
      </c>
    </row>
    <row r="405" spans="1:5" x14ac:dyDescent="0.25">
      <c r="A405" s="51" t="s">
        <v>2308</v>
      </c>
      <c r="B405" s="51" t="s">
        <v>720</v>
      </c>
      <c r="C405" s="52" t="s">
        <v>2309</v>
      </c>
      <c r="D405" t="s">
        <v>2956</v>
      </c>
      <c r="E405" t="str">
        <f t="shared" si="6"/>
        <v xml:space="preserve">cal-alipurduar-branch@ujjivan.com ;helpdeskkolkata@ujjivan.com; </v>
      </c>
    </row>
    <row r="406" spans="1:5" x14ac:dyDescent="0.25">
      <c r="A406" s="51" t="s">
        <v>2310</v>
      </c>
      <c r="B406" s="51" t="s">
        <v>2311</v>
      </c>
      <c r="C406" s="52" t="s">
        <v>2312</v>
      </c>
      <c r="D406" t="s">
        <v>2956</v>
      </c>
      <c r="E406" t="str">
        <f t="shared" si="6"/>
        <v xml:space="preserve">cal-dinhata-branch@ujjivan.com ;helpdeskkolkata@ujjivan.com; </v>
      </c>
    </row>
    <row r="407" spans="1:5" x14ac:dyDescent="0.25">
      <c r="A407" s="51" t="s">
        <v>2313</v>
      </c>
      <c r="B407" s="51" t="s">
        <v>721</v>
      </c>
      <c r="C407" s="52" t="s">
        <v>2314</v>
      </c>
      <c r="D407" t="s">
        <v>2956</v>
      </c>
      <c r="E407" t="str">
        <f t="shared" si="6"/>
        <v xml:space="preserve">ne-policebazar@ujjivan.com ;helpdeskkolkata@ujjivan.com; </v>
      </c>
    </row>
    <row r="408" spans="1:5" x14ac:dyDescent="0.25">
      <c r="A408" s="51" t="s">
        <v>2315</v>
      </c>
      <c r="B408" s="51" t="s">
        <v>1010</v>
      </c>
      <c r="C408" s="52" t="s">
        <v>2316</v>
      </c>
      <c r="D408" t="s">
        <v>2956</v>
      </c>
      <c r="E408" t="str">
        <f t="shared" si="6"/>
        <v xml:space="preserve">ori-bargarh-branch@ujjivan.com ;helpdeskkolkata@ujjivan.com; </v>
      </c>
    </row>
    <row r="409" spans="1:5" x14ac:dyDescent="0.25">
      <c r="A409" s="51" t="s">
        <v>2317</v>
      </c>
      <c r="B409" s="51" t="s">
        <v>722</v>
      </c>
      <c r="C409" s="52" t="s">
        <v>2318</v>
      </c>
      <c r="D409" t="s">
        <v>2956</v>
      </c>
      <c r="E409" t="str">
        <f t="shared" si="6"/>
        <v xml:space="preserve">ori-jharsuguda-branch@ujjivan.com ;helpdeskkolkata@ujjivan.com; </v>
      </c>
    </row>
    <row r="410" spans="1:5" x14ac:dyDescent="0.25">
      <c r="A410" s="51" t="s">
        <v>2319</v>
      </c>
      <c r="B410" s="51" t="s">
        <v>2320</v>
      </c>
      <c r="C410" s="52" t="s">
        <v>2321</v>
      </c>
      <c r="D410" t="s">
        <v>2956</v>
      </c>
      <c r="E410" t="str">
        <f t="shared" si="6"/>
        <v xml:space="preserve">ori-brajrajnagar-branch@ujjivan.com ;helpdeskkolkata@ujjivan.com; </v>
      </c>
    </row>
    <row r="411" spans="1:5" x14ac:dyDescent="0.25">
      <c r="A411" s="51" t="s">
        <v>2322</v>
      </c>
      <c r="B411" s="51" t="s">
        <v>723</v>
      </c>
      <c r="C411" s="52" t="s">
        <v>2323</v>
      </c>
      <c r="D411" t="s">
        <v>2956</v>
      </c>
      <c r="E411" t="str">
        <f t="shared" si="6"/>
        <v xml:space="preserve">ori-phulanakhara-branch@ujjivan.com ;helpdeskkolkata@ujjivan.com; </v>
      </c>
    </row>
    <row r="412" spans="1:5" x14ac:dyDescent="0.25">
      <c r="A412" s="51" t="s">
        <v>2324</v>
      </c>
      <c r="B412" s="51" t="s">
        <v>724</v>
      </c>
      <c r="C412" s="52" t="s">
        <v>743</v>
      </c>
      <c r="D412" t="s">
        <v>2956</v>
      </c>
      <c r="E412" t="str">
        <f t="shared" si="6"/>
        <v xml:space="preserve">bhr-sultanganj-branch@ujjivan.com;helpdeskkolkata@ujjivan.com; </v>
      </c>
    </row>
    <row r="413" spans="1:5" x14ac:dyDescent="0.25">
      <c r="A413" s="51" t="s">
        <v>2325</v>
      </c>
      <c r="B413" s="51" t="s">
        <v>727</v>
      </c>
      <c r="C413" s="52" t="s">
        <v>2326</v>
      </c>
      <c r="D413" t="s">
        <v>2956</v>
      </c>
      <c r="E413" t="str">
        <f t="shared" si="6"/>
        <v xml:space="preserve">bhr-kahelgaon-branch@ujjivan.com ;helpdeskkolkata@ujjivan.com; </v>
      </c>
    </row>
    <row r="414" spans="1:5" x14ac:dyDescent="0.25">
      <c r="A414" s="51" t="s">
        <v>2327</v>
      </c>
      <c r="B414" s="51" t="s">
        <v>2328</v>
      </c>
      <c r="C414" s="52" t="s">
        <v>2329</v>
      </c>
      <c r="D414" t="s">
        <v>2956</v>
      </c>
      <c r="E414" t="str">
        <f t="shared" si="6"/>
        <v xml:space="preserve">bhr-nathnagar-branch@ujjivan.com ;helpdeskkolkata@ujjivan.com; </v>
      </c>
    </row>
    <row r="415" spans="1:5" x14ac:dyDescent="0.25">
      <c r="A415" s="51" t="s">
        <v>2330</v>
      </c>
      <c r="B415" s="51" t="s">
        <v>728</v>
      </c>
      <c r="C415" s="52" t="s">
        <v>2331</v>
      </c>
      <c r="D415" t="s">
        <v>2956</v>
      </c>
      <c r="E415" t="str">
        <f t="shared" si="6"/>
        <v xml:space="preserve">bhr-bhagalpurcentral-branch@ujjivan.com ;helpdeskkolkata@ujjivan.com; </v>
      </c>
    </row>
    <row r="416" spans="1:5" x14ac:dyDescent="0.25">
      <c r="A416" s="51" t="s">
        <v>2332</v>
      </c>
      <c r="B416" s="51" t="s">
        <v>2333</v>
      </c>
      <c r="C416" s="52" t="s">
        <v>2334</v>
      </c>
      <c r="D416" t="s">
        <v>2956</v>
      </c>
      <c r="E416" t="str">
        <f t="shared" si="6"/>
        <v xml:space="preserve"> bhr-purniacity-branch@ujjivan.com ;helpdeskkolkata@ujjivan.com; </v>
      </c>
    </row>
    <row r="417" spans="1:5" x14ac:dyDescent="0.25">
      <c r="A417" s="51" t="s">
        <v>2335</v>
      </c>
      <c r="B417" s="51" t="s">
        <v>730</v>
      </c>
      <c r="C417" s="52" t="s">
        <v>2336</v>
      </c>
      <c r="D417" t="s">
        <v>2956</v>
      </c>
      <c r="E417" t="str">
        <f t="shared" si="6"/>
        <v xml:space="preserve"> bhr-rnshahchowk-branch@ujjivan.com ;helpdeskkolkata@ujjivan.com; </v>
      </c>
    </row>
    <row r="418" spans="1:5" x14ac:dyDescent="0.25">
      <c r="A418" s="51" t="s">
        <v>2337</v>
      </c>
      <c r="B418" s="51" t="s">
        <v>2338</v>
      </c>
      <c r="C418" s="52" t="s">
        <v>2339</v>
      </c>
      <c r="D418" t="s">
        <v>2956</v>
      </c>
      <c r="E418" t="str">
        <f t="shared" si="6"/>
        <v xml:space="preserve"> bhr-katihar-branch@ujjivan.com ;helpdeskkolkata@ujjivan.com; </v>
      </c>
    </row>
    <row r="419" spans="1:5" x14ac:dyDescent="0.25">
      <c r="A419" s="51" t="s">
        <v>2340</v>
      </c>
      <c r="B419" s="51" t="s">
        <v>731</v>
      </c>
      <c r="C419" s="52" t="s">
        <v>2341</v>
      </c>
      <c r="D419" t="s">
        <v>2956</v>
      </c>
      <c r="E419" t="str">
        <f t="shared" si="6"/>
        <v xml:space="preserve"> ne-khanapara-branch@ujjivan.com ;helpdeskkolkata@ujjivan.com; </v>
      </c>
    </row>
    <row r="420" spans="1:5" x14ac:dyDescent="0.25">
      <c r="A420" s="51" t="s">
        <v>2342</v>
      </c>
      <c r="B420" s="51" t="s">
        <v>2343</v>
      </c>
      <c r="C420" s="52" t="s">
        <v>2344</v>
      </c>
      <c r="D420" t="s">
        <v>2956</v>
      </c>
      <c r="E420" t="str">
        <f t="shared" si="6"/>
        <v xml:space="preserve"> ne-lokhra-branch@ujjivan.com ;helpdeskkolkata@ujjivan.com; </v>
      </c>
    </row>
    <row r="421" spans="1:5" x14ac:dyDescent="0.25">
      <c r="A421" s="51" t="s">
        <v>2345</v>
      </c>
      <c r="B421" s="51" t="s">
        <v>733</v>
      </c>
      <c r="C421" s="52" t="s">
        <v>2346</v>
      </c>
      <c r="D421" t="s">
        <v>2956</v>
      </c>
      <c r="E421" t="str">
        <f t="shared" si="6"/>
        <v xml:space="preserve"> ne-bamunimaidan-branch@ujjivan.com ;helpdeskkolkata@ujjivan.com; </v>
      </c>
    </row>
    <row r="422" spans="1:5" x14ac:dyDescent="0.25">
      <c r="A422" s="51" t="s">
        <v>2347</v>
      </c>
      <c r="B422" s="51" t="s">
        <v>735</v>
      </c>
      <c r="C422" s="52" t="s">
        <v>2348</v>
      </c>
      <c r="D422" t="s">
        <v>2956</v>
      </c>
      <c r="E422" t="str">
        <f t="shared" si="6"/>
        <v xml:space="preserve"> cal-sutahata-branch@ujjivan.com ;helpdeskkolkata@ujjivan.com; </v>
      </c>
    </row>
    <row r="423" spans="1:5" x14ac:dyDescent="0.25">
      <c r="A423" s="51" t="s">
        <v>2349</v>
      </c>
      <c r="B423" s="51" t="s">
        <v>736</v>
      </c>
      <c r="C423" s="52" t="s">
        <v>2350</v>
      </c>
      <c r="D423" t="s">
        <v>2956</v>
      </c>
      <c r="E423" t="str">
        <f t="shared" si="6"/>
        <v xml:space="preserve">bhr-gaya-branch@ujjivan.com;helpdeskkolkata@ujjivan.com; </v>
      </c>
    </row>
    <row r="424" spans="1:5" x14ac:dyDescent="0.25">
      <c r="A424" s="51" t="s">
        <v>2351</v>
      </c>
      <c r="B424" s="51" t="s">
        <v>2352</v>
      </c>
      <c r="C424" s="52" t="s">
        <v>2353</v>
      </c>
      <c r="D424" t="s">
        <v>2956</v>
      </c>
      <c r="E424" t="str">
        <f t="shared" si="6"/>
        <v xml:space="preserve">bhr-bodhgaya-branch@ujjivan.com;helpdeskkolkata@ujjivan.com; </v>
      </c>
    </row>
    <row r="425" spans="1:5" x14ac:dyDescent="0.25">
      <c r="A425" s="51" t="s">
        <v>2354</v>
      </c>
      <c r="B425" s="51" t="s">
        <v>737</v>
      </c>
      <c r="C425" s="52" t="s">
        <v>2355</v>
      </c>
      <c r="D425" t="s">
        <v>2956</v>
      </c>
      <c r="E425" t="str">
        <f t="shared" si="6"/>
        <v xml:space="preserve">bhr-jehanabad-branch@ujjivan.com;helpdeskkolkata@ujjivan.com; </v>
      </c>
    </row>
    <row r="426" spans="1:5" x14ac:dyDescent="0.25">
      <c r="A426" s="51" t="s">
        <v>2356</v>
      </c>
      <c r="B426" s="51" t="s">
        <v>738</v>
      </c>
      <c r="C426" s="52" t="s">
        <v>2357</v>
      </c>
      <c r="D426" t="s">
        <v>2956</v>
      </c>
      <c r="E426" t="str">
        <f t="shared" si="6"/>
        <v xml:space="preserve"> ne-azara-branch@ujjivan.com ;helpdeskkolkata@ujjivan.com; </v>
      </c>
    </row>
    <row r="427" spans="1:5" x14ac:dyDescent="0.25">
      <c r="A427" s="51" t="s">
        <v>2358</v>
      </c>
      <c r="B427" s="51" t="s">
        <v>739</v>
      </c>
      <c r="C427" s="52" t="s">
        <v>765</v>
      </c>
      <c r="D427" t="s">
        <v>2956</v>
      </c>
      <c r="E427" t="str">
        <f t="shared" si="6"/>
        <v xml:space="preserve">ne-sualkuchi-branch@ujjivan.com;helpdeskkolkata@ujjivan.com; </v>
      </c>
    </row>
    <row r="428" spans="1:5" x14ac:dyDescent="0.25">
      <c r="A428" s="51" t="s">
        <v>2359</v>
      </c>
      <c r="B428" s="51" t="s">
        <v>2360</v>
      </c>
      <c r="C428" s="52" t="s">
        <v>2361</v>
      </c>
      <c r="D428" t="s">
        <v>2956</v>
      </c>
      <c r="E428" t="str">
        <f t="shared" si="6"/>
        <v xml:space="preserve">cal-bagdogra-Branch@ujjivan.com;helpdeskkolkata@ujjivan.com; </v>
      </c>
    </row>
    <row r="429" spans="1:5" x14ac:dyDescent="0.25">
      <c r="A429" s="51" t="s">
        <v>2362</v>
      </c>
      <c r="B429" s="51" t="s">
        <v>740</v>
      </c>
      <c r="C429" s="52" t="s">
        <v>2363</v>
      </c>
      <c r="D429" t="s">
        <v>2956</v>
      </c>
      <c r="E429" t="str">
        <f t="shared" si="6"/>
        <v xml:space="preserve"> cal-dhupguri-branch@ujjivan.com ;helpdeskkolkata@ujjivan.com; </v>
      </c>
    </row>
    <row r="430" spans="1:5" x14ac:dyDescent="0.25">
      <c r="A430" s="51" t="s">
        <v>2364</v>
      </c>
      <c r="B430" s="51" t="s">
        <v>742</v>
      </c>
      <c r="C430" s="52" t="s">
        <v>2365</v>
      </c>
      <c r="D430" t="s">
        <v>2956</v>
      </c>
      <c r="E430" t="str">
        <f t="shared" si="6"/>
        <v xml:space="preserve">bhr-maner-branch@ujjivan.com;helpdeskkolkata@ujjivan.com; </v>
      </c>
    </row>
    <row r="431" spans="1:5" x14ac:dyDescent="0.25">
      <c r="A431" s="51" t="s">
        <v>2366</v>
      </c>
      <c r="B431" s="51" t="s">
        <v>744</v>
      </c>
      <c r="C431" s="52" t="s">
        <v>1860</v>
      </c>
      <c r="D431" t="s">
        <v>2956</v>
      </c>
      <c r="E431" t="str">
        <f t="shared" si="6"/>
        <v xml:space="preserve">thippesh.j@ujjivan.com;helpdeskkolkata@ujjivan.com; </v>
      </c>
    </row>
    <row r="432" spans="1:5" x14ac:dyDescent="0.25">
      <c r="A432" s="51" t="s">
        <v>2367</v>
      </c>
      <c r="B432" s="51" t="s">
        <v>745</v>
      </c>
      <c r="C432" s="53" t="s">
        <v>1566</v>
      </c>
      <c r="D432" t="s">
        <v>2956</v>
      </c>
      <c r="E432" t="str">
        <f t="shared" si="6"/>
        <v xml:space="preserve">helpdesk@ujjivan.com;helpdeskkolkata@ujjivan.com; </v>
      </c>
    </row>
    <row r="433" spans="1:5" x14ac:dyDescent="0.25">
      <c r="A433" s="51" t="s">
        <v>2368</v>
      </c>
      <c r="B433" s="51" t="s">
        <v>746</v>
      </c>
      <c r="C433" s="53" t="s">
        <v>1566</v>
      </c>
      <c r="D433" t="s">
        <v>2956</v>
      </c>
      <c r="E433" t="str">
        <f t="shared" si="6"/>
        <v xml:space="preserve">helpdesk@ujjivan.com;helpdeskkolkata@ujjivan.com; </v>
      </c>
    </row>
    <row r="434" spans="1:5" x14ac:dyDescent="0.25">
      <c r="A434" s="51" t="s">
        <v>2369</v>
      </c>
      <c r="B434" s="51" t="s">
        <v>747</v>
      </c>
      <c r="C434" s="53" t="s">
        <v>1566</v>
      </c>
      <c r="D434" t="s">
        <v>2956</v>
      </c>
      <c r="E434" t="str">
        <f t="shared" si="6"/>
        <v xml:space="preserve">helpdesk@ujjivan.com;helpdeskkolkata@ujjivan.com; </v>
      </c>
    </row>
    <row r="435" spans="1:5" x14ac:dyDescent="0.25">
      <c r="A435" s="51" t="s">
        <v>2370</v>
      </c>
      <c r="B435" s="51" t="s">
        <v>748</v>
      </c>
      <c r="C435" s="53" t="s">
        <v>1566</v>
      </c>
      <c r="D435" t="s">
        <v>2956</v>
      </c>
      <c r="E435" t="str">
        <f t="shared" si="6"/>
        <v xml:space="preserve">helpdesk@ujjivan.com;helpdeskkolkata@ujjivan.com; </v>
      </c>
    </row>
    <row r="436" spans="1:5" x14ac:dyDescent="0.25">
      <c r="A436" s="57" t="s">
        <v>2371</v>
      </c>
      <c r="B436" s="51" t="s">
        <v>749</v>
      </c>
      <c r="C436" s="57" t="s">
        <v>2372</v>
      </c>
      <c r="D436" t="s">
        <v>2956</v>
      </c>
      <c r="E436" t="str">
        <f t="shared" si="6"/>
        <v xml:space="preserve">ne-agartalasouth- branch &lt;ne-agartalasouth-branch@ujjivan.com&gt;;helpdeskkolkata@ujjivan.com; </v>
      </c>
    </row>
    <row r="437" spans="1:5" x14ac:dyDescent="0.25">
      <c r="A437" s="57" t="s">
        <v>2373</v>
      </c>
      <c r="B437" s="51" t="s">
        <v>751</v>
      </c>
      <c r="C437" s="57" t="s">
        <v>2374</v>
      </c>
      <c r="D437" t="s">
        <v>2956</v>
      </c>
      <c r="E437" t="str">
        <f t="shared" si="6"/>
        <v xml:space="preserve">ne-agartalacentral- branch &lt;ne-agartalacentral-branch@ujjivan.com&gt;;helpdeskkolkata@ujjivan.com; </v>
      </c>
    </row>
    <row r="438" spans="1:5" x14ac:dyDescent="0.25">
      <c r="A438" s="57" t="s">
        <v>2375</v>
      </c>
      <c r="B438" s="51" t="s">
        <v>752</v>
      </c>
      <c r="C438" s="57" t="s">
        <v>2376</v>
      </c>
      <c r="D438" t="s">
        <v>2956</v>
      </c>
      <c r="E438" t="str">
        <f t="shared" si="6"/>
        <v xml:space="preserve">agartalanorth &lt;ne-agartalanorth-branch@ujjivan.com&gt;;helpdeskkolkata@ujjivan.com; </v>
      </c>
    </row>
    <row r="439" spans="1:5" x14ac:dyDescent="0.25">
      <c r="A439" s="57" t="s">
        <v>2377</v>
      </c>
      <c r="B439" s="51" t="s">
        <v>754</v>
      </c>
      <c r="C439" s="57" t="s">
        <v>2378</v>
      </c>
      <c r="D439" t="s">
        <v>2956</v>
      </c>
      <c r="E439" t="str">
        <f t="shared" si="6"/>
        <v xml:space="preserve">ne-bishalgarh- branch &lt;ne-bishalgarh-branch@ujjivan.com&gt;;helpdeskkolkata@ujjivan.com; </v>
      </c>
    </row>
    <row r="440" spans="1:5" x14ac:dyDescent="0.25">
      <c r="A440" s="57" t="s">
        <v>2379</v>
      </c>
      <c r="B440" s="51" t="s">
        <v>755</v>
      </c>
      <c r="C440" s="57" t="s">
        <v>2380</v>
      </c>
      <c r="D440" t="s">
        <v>2956</v>
      </c>
      <c r="E440" t="str">
        <f t="shared" si="6"/>
        <v xml:space="preserve">ne-udaipur- branch &lt;ne-udaipur-branch@ujjivan.com&gt;;helpdeskkolkata@ujjivan.com; </v>
      </c>
    </row>
    <row r="441" spans="1:5" x14ac:dyDescent="0.25">
      <c r="A441" s="57" t="s">
        <v>2381</v>
      </c>
      <c r="B441" s="51" t="s">
        <v>756</v>
      </c>
      <c r="C441" s="57" t="s">
        <v>2382</v>
      </c>
      <c r="D441" t="s">
        <v>2956</v>
      </c>
      <c r="E441" t="str">
        <f t="shared" si="6"/>
        <v xml:space="preserve">ne-melagarh- branch &lt;melagarh@ujjivan.com&gt;;helpdeskkolkata@ujjivan.com; </v>
      </c>
    </row>
    <row r="442" spans="1:5" x14ac:dyDescent="0.25">
      <c r="A442" s="57" t="s">
        <v>2383</v>
      </c>
      <c r="B442" s="51" t="s">
        <v>757</v>
      </c>
      <c r="C442" s="57" t="s">
        <v>2384</v>
      </c>
      <c r="D442" t="s">
        <v>2956</v>
      </c>
      <c r="E442" t="str">
        <f t="shared" si="6"/>
        <v xml:space="preserve">Choudwar &lt;ori-choudwar-branch@ujjivan.com&gt;;helpdeskkolkata@ujjivan.com; </v>
      </c>
    </row>
    <row r="443" spans="1:5" x14ac:dyDescent="0.25">
      <c r="A443" s="57" t="s">
        <v>2385</v>
      </c>
      <c r="B443" s="51" t="s">
        <v>759</v>
      </c>
      <c r="C443" s="57" t="s">
        <v>2386</v>
      </c>
      <c r="D443" t="s">
        <v>2956</v>
      </c>
      <c r="E443" t="str">
        <f t="shared" si="6"/>
        <v xml:space="preserve">bhr-motihari- branch &lt;bhr-motihari-branch@ujjivan.com&gt;;helpdeskkolkata@ujjivan.com; </v>
      </c>
    </row>
    <row r="444" spans="1:5" x14ac:dyDescent="0.25">
      <c r="A444" s="57" t="s">
        <v>2387</v>
      </c>
      <c r="B444" s="51" t="s">
        <v>760</v>
      </c>
      <c r="C444" s="57" t="s">
        <v>2388</v>
      </c>
      <c r="D444" t="s">
        <v>2956</v>
      </c>
      <c r="E444" t="str">
        <f t="shared" si="6"/>
        <v xml:space="preserve">bhr-samastipur- branch &lt;bhr-samastipur-branch@ujjivan.com&gt;;helpdeskkolkata@ujjivan.com; </v>
      </c>
    </row>
    <row r="445" spans="1:5" x14ac:dyDescent="0.25">
      <c r="A445" s="57" t="s">
        <v>2389</v>
      </c>
      <c r="B445" s="51" t="s">
        <v>761</v>
      </c>
      <c r="C445" s="57" t="s">
        <v>2390</v>
      </c>
      <c r="D445" t="s">
        <v>2956</v>
      </c>
      <c r="E445" t="str">
        <f t="shared" si="6"/>
        <v xml:space="preserve">bhr-dalsingsarai- branch &lt;bhr-dalsingsarai-branch@ujjivan.com&gt;;helpdeskkolkata@ujjivan.com; </v>
      </c>
    </row>
    <row r="446" spans="1:5" x14ac:dyDescent="0.25">
      <c r="A446" s="57" t="s">
        <v>2391</v>
      </c>
      <c r="B446" s="51" t="s">
        <v>762</v>
      </c>
      <c r="C446" s="57" t="s">
        <v>2392</v>
      </c>
      <c r="D446" t="s">
        <v>2956</v>
      </c>
      <c r="E446" t="str">
        <f t="shared" si="6"/>
        <v xml:space="preserve">ne-tezpur- branch &lt;ne-tezpur-branch@ujjivan.com&gt;;helpdeskkolkata@ujjivan.com; </v>
      </c>
    </row>
    <row r="447" spans="1:5" x14ac:dyDescent="0.25">
      <c r="A447" s="57" t="s">
        <v>2393</v>
      </c>
      <c r="B447" s="51" t="s">
        <v>763</v>
      </c>
      <c r="C447" s="57" t="s">
        <v>2394</v>
      </c>
      <c r="D447" t="s">
        <v>2956</v>
      </c>
      <c r="E447" t="str">
        <f t="shared" si="6"/>
        <v xml:space="preserve">ne-nagaon &lt;ne-nagaon-branch@ujjivan.com&gt;;helpdeskkolkata@ujjivan.com; </v>
      </c>
    </row>
    <row r="448" spans="1:5" x14ac:dyDescent="0.25">
      <c r="A448" s="57" t="s">
        <v>2395</v>
      </c>
      <c r="B448" s="51" t="s">
        <v>764</v>
      </c>
      <c r="C448" s="57" t="s">
        <v>2396</v>
      </c>
      <c r="D448" t="s">
        <v>2956</v>
      </c>
      <c r="E448" t="str">
        <f t="shared" si="6"/>
        <v xml:space="preserve">ne-nalbari- branch &lt;ne-nalbari-branch@ujjivan.com&gt;;helpdeskkolkata@ujjivan.com; </v>
      </c>
    </row>
    <row r="449" spans="1:5" x14ac:dyDescent="0.25">
      <c r="A449" s="57" t="s">
        <v>2397</v>
      </c>
      <c r="B449" s="51" t="s">
        <v>766</v>
      </c>
      <c r="C449" s="57" t="s">
        <v>2398</v>
      </c>
      <c r="D449" t="s">
        <v>2956</v>
      </c>
      <c r="E449" t="str">
        <f t="shared" si="6"/>
        <v xml:space="preserve">ne-baihatichairali &lt;ne-baihatichairali-branch@ujjivan.com&gt;;helpdeskkolkata@ujjivan.com; </v>
      </c>
    </row>
    <row r="450" spans="1:5" x14ac:dyDescent="0.25">
      <c r="A450" s="57" t="s">
        <v>2399</v>
      </c>
      <c r="B450" s="51" t="s">
        <v>1012</v>
      </c>
      <c r="C450" s="57" t="s">
        <v>2400</v>
      </c>
      <c r="D450" t="s">
        <v>2956</v>
      </c>
      <c r="E450" t="str">
        <f t="shared" si="6"/>
        <v xml:space="preserve">Cashier-Golaghat &lt;ne-golaghat-branch@ujjivan.com&gt;;helpdeskkolkata@ujjivan.com; </v>
      </c>
    </row>
    <row r="451" spans="1:5" x14ac:dyDescent="0.25">
      <c r="A451" s="57" t="s">
        <v>2401</v>
      </c>
      <c r="B451" s="51" t="s">
        <v>1015</v>
      </c>
      <c r="C451" s="57" t="s">
        <v>2402</v>
      </c>
      <c r="D451" t="s">
        <v>2956</v>
      </c>
      <c r="E451" t="str">
        <f t="shared" ref="E451:E514" si="7">CONCATENATE(C451,";",D451)</f>
        <v xml:space="preserve">ne-jorhat1- branch &lt;ne-jorhat1-branch@ujjivan.com&gt;;helpdeskkolkata@ujjivan.com; </v>
      </c>
    </row>
    <row r="452" spans="1:5" x14ac:dyDescent="0.25">
      <c r="A452" s="57" t="s">
        <v>2403</v>
      </c>
      <c r="B452" s="51" t="s">
        <v>1016</v>
      </c>
      <c r="C452" s="57" t="s">
        <v>2404</v>
      </c>
      <c r="D452" t="s">
        <v>2956</v>
      </c>
      <c r="E452" t="str">
        <f t="shared" si="7"/>
        <v xml:space="preserve">Cashier-Jorhat-2 &lt;ne-jorhat2-branch@ujjivan.com&gt;;helpdeskkolkata@ujjivan.com; </v>
      </c>
    </row>
    <row r="453" spans="1:5" x14ac:dyDescent="0.25">
      <c r="A453" s="57" t="s">
        <v>2405</v>
      </c>
      <c r="B453" s="51" t="s">
        <v>1017</v>
      </c>
      <c r="C453" s="57" t="s">
        <v>2406</v>
      </c>
      <c r="D453" t="s">
        <v>2956</v>
      </c>
      <c r="E453" t="str">
        <f t="shared" si="7"/>
        <v xml:space="preserve">Cashier-Nagaon-2 &lt;ne-nagaon2-branch@ujjivan.com&gt;;helpdeskkolkata@ujjivan.com; </v>
      </c>
    </row>
    <row r="454" spans="1:5" x14ac:dyDescent="0.25">
      <c r="A454" s="57" t="s">
        <v>2407</v>
      </c>
      <c r="B454" s="51" t="s">
        <v>1021</v>
      </c>
      <c r="C454" s="57" t="s">
        <v>2408</v>
      </c>
      <c r="D454" t="s">
        <v>2956</v>
      </c>
      <c r="E454" t="str">
        <f t="shared" si="7"/>
        <v xml:space="preserve">Cashier-Titabor &lt;ne-titabor-branch@ujjivan.com&gt;;helpdeskkolkata@ujjivan.com; </v>
      </c>
    </row>
    <row r="455" spans="1:5" x14ac:dyDescent="0.25">
      <c r="A455" s="57" t="s">
        <v>2409</v>
      </c>
      <c r="B455" s="51" t="s">
        <v>1019</v>
      </c>
      <c r="C455" s="57" t="s">
        <v>2410</v>
      </c>
      <c r="D455" t="s">
        <v>2956</v>
      </c>
      <c r="E455" t="str">
        <f t="shared" si="7"/>
        <v xml:space="preserve">ne-pathsala- branch &lt;ne-pathsala-branch@ujjivan.com&gt;;helpdeskkolkata@ujjivan.com; </v>
      </c>
    </row>
    <row r="456" spans="1:5" x14ac:dyDescent="0.25">
      <c r="A456" s="57" t="s">
        <v>2411</v>
      </c>
      <c r="B456" s="51" t="s">
        <v>2412</v>
      </c>
      <c r="C456" s="57" t="s">
        <v>2413</v>
      </c>
      <c r="D456" t="s">
        <v>2956</v>
      </c>
      <c r="E456" t="str">
        <f t="shared" si="7"/>
        <v xml:space="preserve">ne-teliamura- branch &lt;ne-teliamura-branch@ujjivan.com&gt;;helpdeskkolkata@ujjivan.com; </v>
      </c>
    </row>
    <row r="457" spans="1:5" x14ac:dyDescent="0.25">
      <c r="A457" s="57" t="s">
        <v>2414</v>
      </c>
      <c r="B457" s="51" t="s">
        <v>2415</v>
      </c>
      <c r="C457" s="57" t="s">
        <v>2416</v>
      </c>
      <c r="D457" t="s">
        <v>2956</v>
      </c>
      <c r="E457" t="str">
        <f t="shared" si="7"/>
        <v xml:space="preserve">ne-kumarghat- branch &lt;ne-kumarghat-branch@ujjivan.com&gt;;helpdeskkolkata@ujjivan.com; </v>
      </c>
    </row>
    <row r="458" spans="1:5" x14ac:dyDescent="0.25">
      <c r="A458" s="51" t="s">
        <v>2417</v>
      </c>
      <c r="B458" s="51" t="s">
        <v>2418</v>
      </c>
      <c r="C458" s="53" t="s">
        <v>2419</v>
      </c>
      <c r="D458" t="s">
        <v>2957</v>
      </c>
      <c r="E458" t="str">
        <f t="shared" si="7"/>
        <v xml:space="preserve">west-punenorth-branch@ujjivan.com;ccr-punenorth@ujjivan.com;aniket.adhikari@ujjivan.com;amar.adiwarekar@ujjivan.com;helpdeskwest@ujjivan.com; </v>
      </c>
    </row>
    <row r="459" spans="1:5" x14ac:dyDescent="0.25">
      <c r="A459" s="51" t="s">
        <v>2420</v>
      </c>
      <c r="B459" s="51" t="s">
        <v>770</v>
      </c>
      <c r="C459" s="55" t="s">
        <v>3030</v>
      </c>
      <c r="D459" t="s">
        <v>2957</v>
      </c>
      <c r="E459" t="str">
        <f t="shared" si="7"/>
        <v xml:space="preserve">west-punesouth-branch@ujjivan.com;ccr-swargate@ujjivan.com;pravin.singh@ujjivan.com;dinesh.fulambarkar@ujjivan.com;atul.mule@ujjivan.com;yogesh.kamble@ujjivan.com;helpdeskwest@ujjivan.com; </v>
      </c>
    </row>
    <row r="460" spans="1:5" x14ac:dyDescent="0.25">
      <c r="A460" s="51" t="s">
        <v>2421</v>
      </c>
      <c r="B460" s="51" t="s">
        <v>772</v>
      </c>
      <c r="C460" s="53" t="s">
        <v>3027</v>
      </c>
      <c r="D460" t="s">
        <v>2957</v>
      </c>
      <c r="E460" t="str">
        <f t="shared" si="7"/>
        <v xml:space="preserve">ccr-hadapsar@ujjivan.com;anas.ahmad@ujjivan.com;parameshwari.suryavanshi@ujjivan.com;anita.musudage@ujjivan.com ;helpdeskwest@ujjivan.com; </v>
      </c>
    </row>
    <row r="461" spans="1:5" x14ac:dyDescent="0.25">
      <c r="A461" s="51" t="s">
        <v>2422</v>
      </c>
      <c r="B461" s="51" t="s">
        <v>773</v>
      </c>
      <c r="C461" s="53" t="s">
        <v>2423</v>
      </c>
      <c r="D461" t="s">
        <v>2957</v>
      </c>
      <c r="E461" t="str">
        <f t="shared" si="7"/>
        <v xml:space="preserve">west-aundh-branch@ujjivan.com;ccr-aundh@ujjivan.com;amar.adiwarekar@ujjivan.com;helpdeskwest@ujjivan.com; </v>
      </c>
    </row>
    <row r="462" spans="1:5" x14ac:dyDescent="0.25">
      <c r="A462" s="51" t="s">
        <v>2424</v>
      </c>
      <c r="B462" s="51" t="s">
        <v>2425</v>
      </c>
      <c r="C462" s="55" t="s">
        <v>3020</v>
      </c>
      <c r="D462" t="s">
        <v>2957</v>
      </c>
      <c r="E462" t="str">
        <f t="shared" si="7"/>
        <v xml:space="preserve">ccr-akurdi@ujjivan.com;west-akurdi-branch@ujjivan.com;dinesh.bidkar@ujjivan.com;tushar.mali@ujjivan.com;anil.patil@ujjivan.com;amar.adiwarekar@ujjivan.com;helpdeskwest@ujjivan.com; </v>
      </c>
    </row>
    <row r="463" spans="1:5" x14ac:dyDescent="0.25">
      <c r="A463" s="51" t="s">
        <v>2426</v>
      </c>
      <c r="B463" s="51" t="s">
        <v>774</v>
      </c>
      <c r="C463" s="55" t="s">
        <v>3029</v>
      </c>
      <c r="D463" t="s">
        <v>2957</v>
      </c>
      <c r="E463" t="str">
        <f t="shared" si="7"/>
        <v xml:space="preserve">west-pimpri-branch@ujjivan.com;;ccr-pimpri@ujjivan.com;kunal.deokar@ujjivan.com;sandeep.gadre@ujjivan.com;yogesh.kamble@ujjivan.com;helpdeskwest@ujjivan.com; </v>
      </c>
    </row>
    <row r="464" spans="1:5" x14ac:dyDescent="0.25">
      <c r="A464" s="51" t="s">
        <v>2427</v>
      </c>
      <c r="B464" s="51" t="s">
        <v>775</v>
      </c>
      <c r="C464" s="53" t="s">
        <v>2428</v>
      </c>
      <c r="D464" t="s">
        <v>2957</v>
      </c>
      <c r="E464" t="str">
        <f t="shared" si="7"/>
        <v xml:space="preserve">west-punewest-branch@ujjivan.com;ccr.punewest@ujjivan.com;yogesh.vankar@ujjivan.com;yogesh.kamble@ujjivan.com;helpdeskwest@ujjivan.com; </v>
      </c>
    </row>
    <row r="465" spans="1:5" x14ac:dyDescent="0.25">
      <c r="A465" s="51" t="s">
        <v>2429</v>
      </c>
      <c r="B465" s="51" t="s">
        <v>778</v>
      </c>
      <c r="C465" s="53" t="s">
        <v>2430</v>
      </c>
      <c r="D465" t="s">
        <v>2957</v>
      </c>
      <c r="E465" t="str">
        <f t="shared" si="7"/>
        <v xml:space="preserve">west-nashikroad-branch@ujjivan.com;ccr-nashikroad@ujjivan.com;gayatri.patil@ujjivan.com;deepak.jagtap@ujjivan.com;shreeram.walawe@ujjivan.com;helpdeskwest@ujjivan.com; </v>
      </c>
    </row>
    <row r="466" spans="1:5" x14ac:dyDescent="0.25">
      <c r="A466" s="51" t="s">
        <v>2431</v>
      </c>
      <c r="B466" s="51" t="s">
        <v>780</v>
      </c>
      <c r="C466" s="53" t="s">
        <v>2432</v>
      </c>
      <c r="D466" t="s">
        <v>2957</v>
      </c>
      <c r="E466" t="str">
        <f t="shared" si="7"/>
        <v xml:space="preserve">west-cidco-branch@ujjivan.com;ccr-cidco@ujjivan.com;sameer.gadigaonkar@ujjivan.com;induben.jadav@ujjivan.com;shreeram.walawe@ujjivan.com;helpdeskwest@ujjivan.com; </v>
      </c>
    </row>
    <row r="467" spans="1:5" x14ac:dyDescent="0.25">
      <c r="A467" s="51" t="s">
        <v>2433</v>
      </c>
      <c r="B467" s="51" t="s">
        <v>781</v>
      </c>
      <c r="C467" s="53" t="s">
        <v>2434</v>
      </c>
      <c r="D467" t="s">
        <v>2957</v>
      </c>
      <c r="E467" t="str">
        <f t="shared" si="7"/>
        <v xml:space="preserve">west-navimumbai-branch@ujjivan.com;ccr-navimumbai@ujjivan.com;bhushan.belwale@ujjivan.com;sumaiya.qureshi@ujjivan.com;vijay.bhalerao@ujjivan.com;helpdeskwest@ujjivan.com; </v>
      </c>
    </row>
    <row r="468" spans="1:5" x14ac:dyDescent="0.25">
      <c r="A468" s="51" t="s">
        <v>2435</v>
      </c>
      <c r="B468" s="51" t="s">
        <v>2436</v>
      </c>
      <c r="C468" s="53" t="s">
        <v>2437</v>
      </c>
      <c r="D468" t="s">
        <v>2957</v>
      </c>
      <c r="E468" t="str">
        <f t="shared" si="7"/>
        <v xml:space="preserve">west-thane-branch@ujjivan.com;ccr-thane@ujjivan.com;utkarsh.tawade@ujjivan.com;pramod.shinde@ujjivan.com;vijay.bhalerao@ujjivan.com;helpdeskwest@ujjivan.com; </v>
      </c>
    </row>
    <row r="469" spans="1:5" x14ac:dyDescent="0.25">
      <c r="A469" s="51" t="s">
        <v>2438</v>
      </c>
      <c r="B469" s="51" t="s">
        <v>784</v>
      </c>
      <c r="C469" s="53" t="s">
        <v>2439</v>
      </c>
      <c r="D469" t="s">
        <v>2957</v>
      </c>
      <c r="E469" t="str">
        <f t="shared" si="7"/>
        <v xml:space="preserve">west-chembur-branch@ujjivan.com;ccr-chembur@ujjivan.com;navin.acharya@ujjivan.com;sachin.rewale@ujjivan.com;kaveri.pawar@ujjivan.com;helpdeskwest@ujjivan.com; </v>
      </c>
    </row>
    <row r="470" spans="1:5" x14ac:dyDescent="0.25">
      <c r="A470" s="51" t="s">
        <v>2440</v>
      </c>
      <c r="B470" s="51" t="s">
        <v>2441</v>
      </c>
      <c r="C470" s="53" t="s">
        <v>2442</v>
      </c>
      <c r="D470" t="s">
        <v>2957</v>
      </c>
      <c r="E470" t="str">
        <f t="shared" si="7"/>
        <v xml:space="preserve">west-govandi-branch@ujjivan.com;ccr-mankhurd@ujjivan.com;hitesh.rohra@ujjivan.com;anil.salve@ujjivan.com;kaveri.pawar@ujjivan.com;helpdeskwest@ujjivan.com; </v>
      </c>
    </row>
    <row r="471" spans="1:5" x14ac:dyDescent="0.25">
      <c r="A471" s="51" t="s">
        <v>2443</v>
      </c>
      <c r="B471" s="51" t="s">
        <v>785</v>
      </c>
      <c r="C471" s="53" t="s">
        <v>2444</v>
      </c>
      <c r="D471" t="s">
        <v>2957</v>
      </c>
      <c r="E471" t="str">
        <f t="shared" si="7"/>
        <v xml:space="preserve">katraj@ujjivan.com;ccr-katraj@ujjivan.com;deepak.markad@ujjivan.com;anita.musudage@ujjivan.com;yogesh.kamble@ujjivan.com;helpdeskwest@ujjivan.com; </v>
      </c>
    </row>
    <row r="472" spans="1:5" x14ac:dyDescent="0.25">
      <c r="A472" s="51" t="s">
        <v>2445</v>
      </c>
      <c r="B472" s="51" t="s">
        <v>787</v>
      </c>
      <c r="C472" s="53" t="s">
        <v>2446</v>
      </c>
      <c r="D472" t="s">
        <v>2957</v>
      </c>
      <c r="E472" t="str">
        <f t="shared" si="7"/>
        <v xml:space="preserve">kalyan@ujjivan.com;ccr-kalyan@ujjivan.com;dipmala.jadhav@ujjivan.com;tanaji.bansode@ujjivan.com;vijay.bhalerao@ujjivan.com;helpdeskwest@ujjivan.com; </v>
      </c>
    </row>
    <row r="473" spans="1:5" x14ac:dyDescent="0.25">
      <c r="A473" s="51" t="s">
        <v>2447</v>
      </c>
      <c r="B473" s="51" t="s">
        <v>2448</v>
      </c>
      <c r="C473" s="52" t="s">
        <v>2449</v>
      </c>
      <c r="D473" t="s">
        <v>2957</v>
      </c>
      <c r="E473" t="str">
        <f t="shared" si="7"/>
        <v xml:space="preserve">west-vikhroli-branch@ujjivan.com;helpdeskwest@ujjivan.com; </v>
      </c>
    </row>
    <row r="474" spans="1:5" x14ac:dyDescent="0.25">
      <c r="A474" s="51" t="s">
        <v>2450</v>
      </c>
      <c r="B474" s="51" t="s">
        <v>789</v>
      </c>
      <c r="C474" s="53" t="s">
        <v>2451</v>
      </c>
      <c r="D474" t="s">
        <v>2957</v>
      </c>
      <c r="E474" t="str">
        <f t="shared" si="7"/>
        <v xml:space="preserve">west-ghatkopar-branch@ujjivan.com;ccr-ghatkopar@ujjivan.com;tanaji.tambe@ujjivan.com;amol.joshi@ujjivan.com;priya.gaikwad@ujjivan.com;helpdeskwest@ujjivan.com; </v>
      </c>
    </row>
    <row r="475" spans="1:5" x14ac:dyDescent="0.25">
      <c r="A475" s="51" t="s">
        <v>2452</v>
      </c>
      <c r="B475" s="51" t="s">
        <v>790</v>
      </c>
      <c r="C475" s="53" t="s">
        <v>2453</v>
      </c>
      <c r="D475" t="s">
        <v>2957</v>
      </c>
      <c r="E475" t="str">
        <f t="shared" si="7"/>
        <v xml:space="preserve">west-ambernath-branch@ujjivan.com;ccr-ambernath@ujjivan.com;soniya.bhagat@ujjivan.com;sangeeta.pathak@ujjivan.com;rakesh.athavale@ujjivan.com;helpdeskwest@ujjivan.com; </v>
      </c>
    </row>
    <row r="476" spans="1:5" x14ac:dyDescent="0.25">
      <c r="A476" s="51" t="s">
        <v>2454</v>
      </c>
      <c r="B476" s="51" t="s">
        <v>791</v>
      </c>
      <c r="C476" s="53" t="s">
        <v>2455</v>
      </c>
      <c r="D476" t="s">
        <v>2957</v>
      </c>
      <c r="E476" t="str">
        <f t="shared" si="7"/>
        <v xml:space="preserve">west-kalwa-branch@ujjivan.com;ccr-kalwa@ujjivan.com;laxman.jetithor@ujjivan.com;singh.vijay@ujjivan.com;rakesh.athavale@ujjivan.com;helpdeskwest@ujjivan.com; </v>
      </c>
    </row>
    <row r="477" spans="1:5" x14ac:dyDescent="0.25">
      <c r="A477" s="51" t="s">
        <v>2456</v>
      </c>
      <c r="B477" s="51" t="s">
        <v>2457</v>
      </c>
      <c r="C477" s="53" t="s">
        <v>2458</v>
      </c>
      <c r="D477" t="s">
        <v>2957</v>
      </c>
      <c r="E477" t="str">
        <f t="shared" si="7"/>
        <v xml:space="preserve">west-bhandup-branch@ujjivan.com;ccr.bhandup@ujjivan.com;shankar.jadhav@ujjivan.com;ankur.verma@ujjivan.com;priya.gaikwad@ujjivan.com;helpdeskwest@ujjivan.com; </v>
      </c>
    </row>
    <row r="478" spans="1:5" x14ac:dyDescent="0.25">
      <c r="A478" s="51" t="s">
        <v>2459</v>
      </c>
      <c r="B478" s="51" t="s">
        <v>2460</v>
      </c>
      <c r="C478" s="53" t="s">
        <v>2461</v>
      </c>
      <c r="D478" t="s">
        <v>2957</v>
      </c>
      <c r="E478" t="str">
        <f t="shared" si="7"/>
        <v xml:space="preserve">west-mulund-branch@ujjivan.com;ccr.mulund@ujjivan.com;Jayesh.Vesvikar@ujjivan.com;sachin.mandavkar@ujjivan.com;priya.gaikwad@ujjivan.com;helpdeskwest@ujjivan.com; </v>
      </c>
    </row>
    <row r="479" spans="1:5" x14ac:dyDescent="0.25">
      <c r="A479" s="51" t="s">
        <v>2462</v>
      </c>
      <c r="B479" s="51" t="s">
        <v>793</v>
      </c>
      <c r="C479" s="53" t="s">
        <v>2463</v>
      </c>
      <c r="D479" t="s">
        <v>2957</v>
      </c>
      <c r="E479" t="str">
        <f t="shared" si="7"/>
        <v xml:space="preserve">west-nashikcity-branch@ujjivan.com;ccr-nashikcity@ujjivan.com;vaibhav.more@ujjivan.com;hemlata.pande@ujjivan.com;shreeram.walawe@ujjivan.com;helpdeskwest@ujjivan.com; </v>
      </c>
    </row>
    <row r="480" spans="1:5" x14ac:dyDescent="0.25">
      <c r="A480" s="51" t="s">
        <v>2464</v>
      </c>
      <c r="B480" s="51" t="s">
        <v>794</v>
      </c>
      <c r="C480" s="53" t="s">
        <v>2465</v>
      </c>
      <c r="D480" t="s">
        <v>2957</v>
      </c>
      <c r="E480" t="str">
        <f t="shared" si="7"/>
        <v xml:space="preserve">west-panchavati-branch@ujjivan.com;ccr-panchavati@ujjivan.com;harshada.patil@ujjivan.com;kundan.patil@ujjivan.com;shreeram.walawe@ujjivan.com;helpdeskwest@ujjivan.com; </v>
      </c>
    </row>
    <row r="481" spans="1:5" x14ac:dyDescent="0.25">
      <c r="A481" s="51" t="s">
        <v>2466</v>
      </c>
      <c r="B481" s="51" t="s">
        <v>2467</v>
      </c>
      <c r="C481" s="52" t="s">
        <v>2468</v>
      </c>
      <c r="D481" t="s">
        <v>2957</v>
      </c>
      <c r="E481" t="str">
        <f t="shared" si="7"/>
        <v xml:space="preserve">west-kurla-branch@ujjivan.com;helpdeskwest@ujjivan.com; </v>
      </c>
    </row>
    <row r="482" spans="1:5" x14ac:dyDescent="0.25">
      <c r="A482" s="51" t="s">
        <v>2469</v>
      </c>
      <c r="B482" s="51" t="s">
        <v>2470</v>
      </c>
      <c r="C482" s="52" t="s">
        <v>2471</v>
      </c>
      <c r="D482" t="s">
        <v>2957</v>
      </c>
      <c r="E482" t="str">
        <f t="shared" si="7"/>
        <v xml:space="preserve">west-andheri-branch@ujjivan.com;helpdeskwest@ujjivan.com; </v>
      </c>
    </row>
    <row r="483" spans="1:5" x14ac:dyDescent="0.25">
      <c r="A483" s="51" t="s">
        <v>2472</v>
      </c>
      <c r="B483" s="51" t="s">
        <v>796</v>
      </c>
      <c r="C483" s="53" t="s">
        <v>3028</v>
      </c>
      <c r="D483" t="s">
        <v>2957</v>
      </c>
      <c r="E483" t="str">
        <f t="shared" si="7"/>
        <v xml:space="preserve">ccr-chakala@ujjivan.com;arun.jagtap@ujjivan.com;priya.gaikwad@ujjivan.com;helpdeskwest@ujjivan.com; </v>
      </c>
    </row>
    <row r="484" spans="1:5" x14ac:dyDescent="0.25">
      <c r="A484" s="51" t="s">
        <v>2473</v>
      </c>
      <c r="B484" s="51" t="s">
        <v>797</v>
      </c>
      <c r="C484" s="53" t="s">
        <v>2474</v>
      </c>
      <c r="D484" t="s">
        <v>2957</v>
      </c>
      <c r="E484" t="str">
        <f t="shared" si="7"/>
        <v xml:space="preserve">west-udhana-branch@ujjivan.com;ccr-udhana@ujjivan.com;bhautik.kanani@ujjivan.com;girish.gamit@ujjivan.com;jenish.lapsiwala@ujjivan.com;helpdeskwest@ujjivan.com; </v>
      </c>
    </row>
    <row r="485" spans="1:5" x14ac:dyDescent="0.25">
      <c r="A485" s="51" t="s">
        <v>2475</v>
      </c>
      <c r="B485" s="51" t="s">
        <v>799</v>
      </c>
      <c r="C485" s="53" t="s">
        <v>2476</v>
      </c>
      <c r="D485" t="s">
        <v>2957</v>
      </c>
      <c r="E485" t="str">
        <f t="shared" si="7"/>
        <v xml:space="preserve">west-katargam-branch@ujjivan.com;ccr-katargam@ujjivan.com;denishkumar.bhandari@ujjivan.com;yashpal.jadhav@ujjivan.com;bhishma.mahajan@ujjivan.com;helpdeskwest@ujjivan.com; </v>
      </c>
    </row>
    <row r="486" spans="1:5" x14ac:dyDescent="0.25">
      <c r="A486" s="51" t="s">
        <v>2477</v>
      </c>
      <c r="B486" s="51" t="s">
        <v>800</v>
      </c>
      <c r="C486" s="53" t="s">
        <v>2478</v>
      </c>
      <c r="D486" t="s">
        <v>2957</v>
      </c>
      <c r="E486" t="str">
        <f t="shared" si="7"/>
        <v xml:space="preserve">west-limbayat-branch@ujjivan.com;ccr-limbayat@ujjivan.com;rahulkumar.paghdal@ujjivan.com;alpesh.surti@ujjivan.com;jenish.lapsiwala@ujjivan.com;helpdeskwest@ujjivan.com; </v>
      </c>
    </row>
    <row r="487" spans="1:5" x14ac:dyDescent="0.25">
      <c r="A487" s="51" t="s">
        <v>2479</v>
      </c>
      <c r="B487" s="51" t="s">
        <v>801</v>
      </c>
      <c r="C487" s="53" t="s">
        <v>2480</v>
      </c>
      <c r="D487" t="s">
        <v>2957</v>
      </c>
      <c r="E487" t="str">
        <f t="shared" si="7"/>
        <v xml:space="preserve">west-varachha-branch@ujjivan.com;ccr.varachha@ujjivan.com;prakash.patel@ujjivan.com;gaurav.mistry@ujjivan.com;bhishma.mahajan@ujjivan.com;helpdeskwest@ujjivan.com; </v>
      </c>
    </row>
    <row r="488" spans="1:5" x14ac:dyDescent="0.25">
      <c r="A488" s="51" t="s">
        <v>2481</v>
      </c>
      <c r="B488" s="51" t="s">
        <v>802</v>
      </c>
      <c r="C488" s="53" t="s">
        <v>2482</v>
      </c>
      <c r="D488" t="s">
        <v>2957</v>
      </c>
      <c r="E488" t="str">
        <f t="shared" si="7"/>
        <v xml:space="preserve">west-chandannagar-branch@ujjivan.com;ccr-west.chandannagar@ujjivan.com;prashant.kawade@ujjivan.com;prakash.gaikwad@ujjivan.com;yogesh.kamble@ujjivan.com;helpdeskwest@ujjivan.com; </v>
      </c>
    </row>
    <row r="489" spans="1:5" x14ac:dyDescent="0.25">
      <c r="A489" s="51" t="s">
        <v>2483</v>
      </c>
      <c r="B489" s="51" t="s">
        <v>803</v>
      </c>
      <c r="C489" s="55" t="s">
        <v>3204</v>
      </c>
      <c r="D489" t="s">
        <v>2957</v>
      </c>
      <c r="E489" t="str">
        <f t="shared" si="7"/>
        <v xml:space="preserve">west-goregaon-branch@ujjivan.com;ccr.goregaon@ujjivan.com;jyotsna.chipte@ujjivan.com;rameshwar.chaudhari@ujjivan.com;krishna.yadav@ujjivan.com;bhakti.nena@ujjivan.com;helpdeskwest@ujjivan.com; </v>
      </c>
    </row>
    <row r="490" spans="1:5" x14ac:dyDescent="0.25">
      <c r="A490" s="51" t="s">
        <v>2484</v>
      </c>
      <c r="B490" s="51" t="s">
        <v>2485</v>
      </c>
      <c r="C490" s="52" t="s">
        <v>2486</v>
      </c>
      <c r="D490" t="s">
        <v>2957</v>
      </c>
      <c r="E490" t="str">
        <f t="shared" si="7"/>
        <v xml:space="preserve">west-malad.east-branch@ujjivan.com;helpdeskwest@ujjivan.com; </v>
      </c>
    </row>
    <row r="491" spans="1:5" x14ac:dyDescent="0.25">
      <c r="A491" s="51" t="s">
        <v>2487</v>
      </c>
      <c r="B491" s="51" t="s">
        <v>2488</v>
      </c>
      <c r="C491" s="53" t="s">
        <v>2489</v>
      </c>
      <c r="D491" t="s">
        <v>2957</v>
      </c>
      <c r="E491" t="str">
        <f t="shared" si="7"/>
        <v xml:space="preserve">west-borivali-branch@ujjivan.com;ccr.borivali@ujjivan.com;anil.bhosle@ujjivan.com;kailas.gaikwad@ujjivan.com;rameshwar.chaudhari@ujjivan.com;helpdeskwest@ujjivan.com; </v>
      </c>
    </row>
    <row r="492" spans="1:5" x14ac:dyDescent="0.25">
      <c r="A492" s="51" t="s">
        <v>2490</v>
      </c>
      <c r="B492" s="51" t="s">
        <v>804</v>
      </c>
      <c r="C492" s="53" t="s">
        <v>2491</v>
      </c>
      <c r="D492" t="s">
        <v>2957</v>
      </c>
      <c r="E492" t="str">
        <f t="shared" si="7"/>
        <v xml:space="preserve">west-wadala-branch@ujjivan.com;ccr-wadala@ujjivan.com;amar.lagad@ujjivan.com;rakesh.athavale@ujjivan.com;helpdeskwest@ujjivan.com; </v>
      </c>
    </row>
    <row r="493" spans="1:5" x14ac:dyDescent="0.25">
      <c r="A493" s="51" t="s">
        <v>2492</v>
      </c>
      <c r="B493" s="51" t="s">
        <v>805</v>
      </c>
      <c r="C493" s="53" t="s">
        <v>2493</v>
      </c>
      <c r="D493" t="s">
        <v>2957</v>
      </c>
      <c r="E493" t="str">
        <f t="shared" si="7"/>
        <v xml:space="preserve">west-dharavi-branch@ujjivan.com;ccr-dharavi@ujjivan.com;vinod.sonawane@ujjivan.com;priya.gaikwad@ujjivan.com;helpdeskwest@ujjivan.com; </v>
      </c>
    </row>
    <row r="494" spans="1:5" x14ac:dyDescent="0.25">
      <c r="A494" s="51" t="s">
        <v>2494</v>
      </c>
      <c r="B494" s="51" t="s">
        <v>807</v>
      </c>
      <c r="C494" s="53" t="s">
        <v>2495</v>
      </c>
      <c r="D494" t="s">
        <v>2957</v>
      </c>
      <c r="E494" t="str">
        <f t="shared" si="7"/>
        <v xml:space="preserve">west-santacruz-branch@ujjivan.com;ccr.santacruz@ujjivan.com;bhagyashri.garade@ujjivan.com;rameshwar.chaudhari@ujjivan.com;helpdeskwest@ujjivan.com; </v>
      </c>
    </row>
    <row r="495" spans="1:5" x14ac:dyDescent="0.25">
      <c r="A495" s="51" t="s">
        <v>2496</v>
      </c>
      <c r="B495" s="51" t="s">
        <v>2497</v>
      </c>
      <c r="C495" s="52" t="s">
        <v>2498</v>
      </c>
      <c r="D495" t="s">
        <v>2957</v>
      </c>
      <c r="E495" t="str">
        <f t="shared" si="7"/>
        <v xml:space="preserve">west-dahisar-branch@ujjivan.com;helpdeskwest@ujjivan.com; </v>
      </c>
    </row>
    <row r="496" spans="1:5" x14ac:dyDescent="0.25">
      <c r="A496" s="51" t="s">
        <v>2496</v>
      </c>
      <c r="B496" s="51" t="s">
        <v>2497</v>
      </c>
      <c r="C496" s="52" t="s">
        <v>2498</v>
      </c>
      <c r="D496" t="s">
        <v>2957</v>
      </c>
      <c r="E496" t="str">
        <f t="shared" si="7"/>
        <v xml:space="preserve">west-dahisar-branch@ujjivan.com;helpdeskwest@ujjivan.com; </v>
      </c>
    </row>
    <row r="497" spans="1:5" x14ac:dyDescent="0.25">
      <c r="A497" s="51" t="s">
        <v>2499</v>
      </c>
      <c r="B497" s="51" t="s">
        <v>2497</v>
      </c>
      <c r="C497" s="52" t="s">
        <v>2498</v>
      </c>
      <c r="D497" t="s">
        <v>2957</v>
      </c>
      <c r="E497" t="str">
        <f t="shared" si="7"/>
        <v xml:space="preserve">west-dahisar-branch@ujjivan.com;helpdeskwest@ujjivan.com; </v>
      </c>
    </row>
    <row r="498" spans="1:5" x14ac:dyDescent="0.25">
      <c r="A498" s="54" t="s">
        <v>2500</v>
      </c>
      <c r="B498" s="51" t="s">
        <v>808</v>
      </c>
      <c r="C498" s="53" t="s">
        <v>2501</v>
      </c>
      <c r="D498" t="s">
        <v>2957</v>
      </c>
      <c r="E498" t="str">
        <f t="shared" si="7"/>
        <v xml:space="preserve">west-central.surat-branch@ujjivan.com;rinku.gokhru@ujjivan.com;sagar.bavishi@ujjivan.com;bhishma.mahajan@ujjivan.com;helpdeskwest@ujjivan.com; </v>
      </c>
    </row>
    <row r="499" spans="1:5" x14ac:dyDescent="0.25">
      <c r="A499" s="51" t="s">
        <v>2502</v>
      </c>
      <c r="B499" s="51" t="s">
        <v>2503</v>
      </c>
      <c r="C499" s="55" t="s">
        <v>2704</v>
      </c>
      <c r="D499" t="s">
        <v>2957</v>
      </c>
      <c r="E499" t="str">
        <f t="shared" si="7"/>
        <v xml:space="preserve">west-navsari-branch@ujjivan.com;ccr-navsari@ujjivan.com;alpesh.surti@ujjivan.com;ruchira.patel@ujjivan.com;helpdeskwest@ujjivan.com; </v>
      </c>
    </row>
    <row r="500" spans="1:5" x14ac:dyDescent="0.25">
      <c r="A500" s="51" t="s">
        <v>2504</v>
      </c>
      <c r="B500" s="51" t="s">
        <v>809</v>
      </c>
      <c r="C500" s="53" t="s">
        <v>2505</v>
      </c>
      <c r="D500" t="s">
        <v>2957</v>
      </c>
      <c r="E500" t="str">
        <f t="shared" si="7"/>
        <v xml:space="preserve">west-north.vadodara-branch@ujjivan.com;ccr-baroda-north@ujjivan.com;amitkumar.pandey@ujjivan.com;rajay.nikam@ujjivan.com;helpdeskwest@ujjivan.com; </v>
      </c>
    </row>
    <row r="501" spans="1:5" x14ac:dyDescent="0.25">
      <c r="A501" s="58" t="s">
        <v>2506</v>
      </c>
      <c r="B501" s="51" t="s">
        <v>810</v>
      </c>
      <c r="C501" s="55" t="s">
        <v>2507</v>
      </c>
      <c r="D501" t="s">
        <v>2957</v>
      </c>
      <c r="E501" t="str">
        <f t="shared" si="7"/>
        <v xml:space="preserve">west-south.vadodara-branch@ujjivan;ccr-baroda-south@ujjivan.com;sunita.rohit@ujjivan.com;viral.patel@ujjivan.com;ashok.gosawi@ujjivan.com;helpdeskwest@ujjivan.com; </v>
      </c>
    </row>
    <row r="502" spans="1:5" x14ac:dyDescent="0.25">
      <c r="A502" s="51" t="s">
        <v>2508</v>
      </c>
      <c r="B502" s="51" t="s">
        <v>811</v>
      </c>
      <c r="C502" s="53" t="s">
        <v>2509</v>
      </c>
      <c r="D502" t="s">
        <v>2957</v>
      </c>
      <c r="E502" t="str">
        <f t="shared" si="7"/>
        <v xml:space="preserve">west-east.vadodara-branch@ujjivan.com;ccr-baroda-east@ujjivan.com;anish.malik@ujjivan.com;samir.shah@ujjivan.com;ashok.gosawi@ujjivan.com;helpdeskwest@ujjivan.com; </v>
      </c>
    </row>
    <row r="503" spans="1:5" x14ac:dyDescent="0.25">
      <c r="A503" s="51" t="s">
        <v>2510</v>
      </c>
      <c r="B503" s="51" t="s">
        <v>2511</v>
      </c>
      <c r="C503" s="53" t="s">
        <v>2512</v>
      </c>
      <c r="D503" t="s">
        <v>2957</v>
      </c>
      <c r="E503" t="str">
        <f t="shared" si="7"/>
        <v xml:space="preserve">west-west.vadodara-branch@ujjivan.com;ccr-baroda-west@ujjivan.com;kuntal.patel@ujjivan.com;rajay.nikam@ujjivan.com;helpdeskwest@ujjivan.com; </v>
      </c>
    </row>
    <row r="504" spans="1:5" x14ac:dyDescent="0.25">
      <c r="A504" s="51" t="s">
        <v>2513</v>
      </c>
      <c r="B504" s="51" t="s">
        <v>2514</v>
      </c>
      <c r="C504" s="52" t="s">
        <v>2515</v>
      </c>
      <c r="D504" t="s">
        <v>2957</v>
      </c>
      <c r="E504" t="str">
        <f t="shared" si="7"/>
        <v xml:space="preserve">west-dharavi2-branch@ujjivan.com;helpdeskwest@ujjivan.com; </v>
      </c>
    </row>
    <row r="505" spans="1:5" x14ac:dyDescent="0.25">
      <c r="A505" s="51" t="s">
        <v>2516</v>
      </c>
      <c r="B505" s="51" t="s">
        <v>813</v>
      </c>
      <c r="C505" s="55" t="s">
        <v>2630</v>
      </c>
      <c r="D505" t="s">
        <v>2957</v>
      </c>
      <c r="E505" t="str">
        <f t="shared" si="7"/>
        <v xml:space="preserve">west-central.vadodara-branch@ujjivan.com;ccr-baroda-central@ujjivan.com;vikas.prajapati@ujjivan.com;rajay.nikam@ujjivan.com;helpdeskwest@ujjivan.com; </v>
      </c>
    </row>
    <row r="506" spans="1:5" x14ac:dyDescent="0.25">
      <c r="A506" s="51" t="s">
        <v>2517</v>
      </c>
      <c r="B506" s="51" t="s">
        <v>2518</v>
      </c>
      <c r="C506" s="55" t="s">
        <v>3017</v>
      </c>
      <c r="D506" t="s">
        <v>2957</v>
      </c>
      <c r="E506" t="str">
        <f t="shared" si="7"/>
        <v xml:space="preserve">west-ankleshwar-branch@ujjivan.com;ccr.ankaleshwar@ujjivan.com;dharmesh.vaghela@ujjivan.com;barkatali.vadhvania@ujjivan.com;ashok.gosawi@ujjivan.com;helpdeskwest@ujjivan.com; </v>
      </c>
    </row>
    <row r="507" spans="1:5" x14ac:dyDescent="0.25">
      <c r="A507" s="51" t="s">
        <v>2519</v>
      </c>
      <c r="B507" s="51" t="s">
        <v>814</v>
      </c>
      <c r="C507" s="53" t="s">
        <v>2520</v>
      </c>
      <c r="D507" t="s">
        <v>2957</v>
      </c>
      <c r="E507" t="str">
        <f t="shared" si="7"/>
        <v xml:space="preserve">west-bharuch-branch@ujjivan.com;ccr-bharuch@ujjivan.com;bipinkumar.chauhan@ujjivan.com;dharmesh.vaghela@ujjivan.com;ashok.gosawi@ujjivan.com;helpdeskwest@ujjivan.com; </v>
      </c>
    </row>
    <row r="508" spans="1:5" x14ac:dyDescent="0.25">
      <c r="A508" s="51" t="s">
        <v>2521</v>
      </c>
      <c r="B508" s="51" t="s">
        <v>2522</v>
      </c>
      <c r="C508" s="53" t="s">
        <v>2523</v>
      </c>
      <c r="D508" t="s">
        <v>2957</v>
      </c>
      <c r="E508" t="str">
        <f t="shared" si="7"/>
        <v xml:space="preserve">west-ahmednagarcity-branch@ujjivan.com;vishal.chougule@ujjivan.com;shrikant.rokade@ujjivan.com;ranjeet.mali@ujjivan.com;helpdeskwest@ujjivan.com; </v>
      </c>
    </row>
    <row r="509" spans="1:5" x14ac:dyDescent="0.25">
      <c r="A509" s="51" t="s">
        <v>2524</v>
      </c>
      <c r="B509" s="51" t="s">
        <v>2525</v>
      </c>
      <c r="C509" s="53" t="s">
        <v>2526</v>
      </c>
      <c r="D509" t="s">
        <v>2957</v>
      </c>
      <c r="E509" t="str">
        <f t="shared" si="7"/>
        <v xml:space="preserve">west-savedi-branch@ujjivan.com;ccr-savedi@ujjivan.com;pravin.singh@ujjivan.com;samadhan.sawant@ujjivan.com;ranjeet.mali@ujjivan.com;helpdeskwest@ujjivan.com; </v>
      </c>
    </row>
    <row r="510" spans="1:5" x14ac:dyDescent="0.25">
      <c r="A510" s="51" t="s">
        <v>2527</v>
      </c>
      <c r="B510" s="51" t="s">
        <v>815</v>
      </c>
      <c r="C510" s="55" t="s">
        <v>2703</v>
      </c>
      <c r="D510" t="s">
        <v>2957</v>
      </c>
      <c r="E510" t="str">
        <f t="shared" si="7"/>
        <v xml:space="preserve">west-satara-branch@ujjivan.com;ccr-satara@ujjivan.com;sunil.jadhav@ujjivan.com;nikhil.mohite@ujjivan.com;abhijeet.patil@ujjivan.com;helpdeskwest@ujjivan.com; </v>
      </c>
    </row>
    <row r="511" spans="1:5" x14ac:dyDescent="0.25">
      <c r="A511" s="51" t="s">
        <v>2528</v>
      </c>
      <c r="B511" s="51" t="s">
        <v>816</v>
      </c>
      <c r="C511" s="53" t="s">
        <v>2529</v>
      </c>
      <c r="D511" t="s">
        <v>2957</v>
      </c>
      <c r="E511" t="str">
        <f t="shared" si="7"/>
        <v xml:space="preserve">west-karad-branch@ujjivan.com;ccr-karad@ujjivan.com;ganesh.salunke@ujjivan.com;abhijeet.patil@ujjivan.com;helpdeskwest@ujjivan.com; </v>
      </c>
    </row>
    <row r="512" spans="1:5" x14ac:dyDescent="0.25">
      <c r="A512" s="51" t="s">
        <v>2530</v>
      </c>
      <c r="B512" s="51" t="s">
        <v>2531</v>
      </c>
      <c r="C512" s="53" t="s">
        <v>2532</v>
      </c>
      <c r="D512" t="s">
        <v>2957</v>
      </c>
      <c r="E512" t="str">
        <f t="shared" si="7"/>
        <v xml:space="preserve">west-aurangabadcity-branch@ujjivan.com;ccr-aurangabadcity-branch@ujjivan.com;ranjeet.mali@ujjivan.com;helpdeskwest@ujjivan.com; </v>
      </c>
    </row>
    <row r="513" spans="1:5" x14ac:dyDescent="0.25">
      <c r="A513" s="51" t="s">
        <v>2533</v>
      </c>
      <c r="B513" s="51" t="s">
        <v>817</v>
      </c>
      <c r="C513" s="53" t="s">
        <v>2534</v>
      </c>
      <c r="D513" t="s">
        <v>2957</v>
      </c>
      <c r="E513" t="str">
        <f t="shared" si="7"/>
        <v xml:space="preserve">west-aurangabadcbs-branch@ujjivan.com;ccr-aurangabadcbs-branch@ujjivan.com;yogesh.bagul@ujjivan.com;prafull.nirbhavane@ujjivan.com;ranjeet.mali@ujjivan.com;helpdeskwest@ujjivan.com; </v>
      </c>
    </row>
    <row r="514" spans="1:5" x14ac:dyDescent="0.25">
      <c r="A514" s="51" t="s">
        <v>2535</v>
      </c>
      <c r="B514" s="51" t="s">
        <v>818</v>
      </c>
      <c r="C514" s="53" t="s">
        <v>2536</v>
      </c>
      <c r="D514" t="s">
        <v>2957</v>
      </c>
      <c r="E514" t="str">
        <f t="shared" si="7"/>
        <v xml:space="preserve">west-bhiwandi-branch@ujjivan.com;ccr-bhiwandi@ujjivan.com;gaurav.pawar@ujjivan.com;rahul.lohar@ujjivan.com;vijay.bhalerao@ujjivan.com;helpdeskwest@ujjivan.com; </v>
      </c>
    </row>
    <row r="515" spans="1:5" x14ac:dyDescent="0.25">
      <c r="A515" s="51" t="s">
        <v>2537</v>
      </c>
      <c r="B515" s="51" t="s">
        <v>819</v>
      </c>
      <c r="C515" s="53" t="s">
        <v>2538</v>
      </c>
      <c r="D515" t="s">
        <v>2957</v>
      </c>
      <c r="E515" t="str">
        <f t="shared" ref="E515:E559" si="8">CONCATENATE(C515,";",D515)</f>
        <v xml:space="preserve">west-vapi-branch@ujjivan.com;ccr-vapi@ujjivan.com;hitesh.chaudhari@ujjivan.com;manoj.mali@ujjivan.com;ruchira.patel@ujjivan.com;helpdeskwest@ujjivan.com; </v>
      </c>
    </row>
    <row r="516" spans="1:5" x14ac:dyDescent="0.25">
      <c r="A516" s="56" t="s">
        <v>2539</v>
      </c>
      <c r="B516" s="51" t="s">
        <v>820</v>
      </c>
      <c r="C516" s="53" t="s">
        <v>2540</v>
      </c>
      <c r="D516" t="s">
        <v>2957</v>
      </c>
      <c r="E516" t="str">
        <f t="shared" si="8"/>
        <v xml:space="preserve">west-solapursouth-branch@ujjivan.com;ccr-solapursouth@ujjivan.com;pramod.pandit@ujjivan.com;sarika.patil@ujjivan.com;sachin.suryawanshi@ujjivan.com;helpdeskwest@ujjivan.com; </v>
      </c>
    </row>
    <row r="517" spans="1:5" x14ac:dyDescent="0.25">
      <c r="A517" s="56" t="s">
        <v>2541</v>
      </c>
      <c r="B517" s="51" t="s">
        <v>821</v>
      </c>
      <c r="C517" s="53" t="s">
        <v>2542</v>
      </c>
      <c r="D517" t="s">
        <v>2957</v>
      </c>
      <c r="E517" t="str">
        <f t="shared" si="8"/>
        <v xml:space="preserve">west-solapurnorth-branch@ujjivan.com;ccr-solapurnorth@ujjivan.com;arvind.sable@ujjivan.com;balkrishna.koukuntla@ujjivan.com;sachin.suryawanshi@ujjivan.com;helpdeskwest@ujjivan.com; </v>
      </c>
    </row>
    <row r="518" spans="1:5" x14ac:dyDescent="0.25">
      <c r="A518" s="56" t="s">
        <v>2543</v>
      </c>
      <c r="B518" s="51" t="s">
        <v>2544</v>
      </c>
      <c r="C518" s="53" t="s">
        <v>2545</v>
      </c>
      <c r="D518" t="s">
        <v>2957</v>
      </c>
      <c r="E518" t="str">
        <f t="shared" si="8"/>
        <v xml:space="preserve">west-sangli-branch@ujjivan.com;ccr-sangli@ujjivan.com;anjali.jain@ujjivan.com;pradnya.waghmare@ujjivan.com;sandip.gavali@ujjivan.com;helpdeskwest@ujjivan.com; </v>
      </c>
    </row>
    <row r="519" spans="1:5" x14ac:dyDescent="0.25">
      <c r="A519" s="56" t="s">
        <v>2546</v>
      </c>
      <c r="B519" s="51" t="s">
        <v>822</v>
      </c>
      <c r="C519" s="53" t="s">
        <v>2547</v>
      </c>
      <c r="D519" t="s">
        <v>2957</v>
      </c>
      <c r="E519" t="str">
        <f t="shared" si="8"/>
        <v xml:space="preserve">west-miraj-branch@ujjivan.com;ccr-miraj@ujjivan.com;namdev.chougale@ujjivan.com;pratap.chavan@ujjivan.com;sandip.gavali@ujjivan.com;helpdeskwest@ujjivan.com; </v>
      </c>
    </row>
    <row r="520" spans="1:5" x14ac:dyDescent="0.25">
      <c r="A520" t="s">
        <v>2548</v>
      </c>
      <c r="B520" s="51" t="s">
        <v>823</v>
      </c>
      <c r="C520" s="53" t="s">
        <v>2549</v>
      </c>
      <c r="D520" t="s">
        <v>2957</v>
      </c>
      <c r="E520" t="str">
        <f t="shared" si="8"/>
        <v xml:space="preserve">west-panvel-branch@ujjivan.com;mukesh.k@ujjivan.com;archana.shaha@ujjivan.com;kaveri.pawar@ujjivan.com;helpdeskwest@ujjivan.com; </v>
      </c>
    </row>
    <row r="521" spans="1:5" x14ac:dyDescent="0.25">
      <c r="A521" t="s">
        <v>2550</v>
      </c>
      <c r="B521" s="51" t="s">
        <v>825</v>
      </c>
      <c r="C521" s="53" t="s">
        <v>2551</v>
      </c>
      <c r="D521" t="s">
        <v>2957</v>
      </c>
      <c r="E521" t="str">
        <f t="shared" si="8"/>
        <v xml:space="preserve">west-nadiad-branch@ujjivan.com;ccr-nadiad-branch@ujjivan.com;alpesh.prajapati@ujjivan.com;nilesh.patel@ujjivan.com;rajay.nikam@ujjivan.com;helpdeskwest@ujjivan.com; </v>
      </c>
    </row>
    <row r="522" spans="1:5" x14ac:dyDescent="0.25">
      <c r="A522" t="s">
        <v>2552</v>
      </c>
      <c r="B522" s="51" t="s">
        <v>827</v>
      </c>
      <c r="C522" s="53" t="s">
        <v>2553</v>
      </c>
      <c r="D522" t="s">
        <v>2957</v>
      </c>
      <c r="E522" t="str">
        <f t="shared" si="8"/>
        <v xml:space="preserve">west-shahupuri-branch@ujjivan.com;abhijeet.patil@ujjivan.com;helpdeskwest@ujjivan.com; </v>
      </c>
    </row>
    <row r="523" spans="1:5" x14ac:dyDescent="0.25">
      <c r="A523" t="s">
        <v>2554</v>
      </c>
      <c r="B523" s="51" t="s">
        <v>828</v>
      </c>
      <c r="C523" s="53" t="s">
        <v>2555</v>
      </c>
      <c r="D523" s="71" t="s">
        <v>2957</v>
      </c>
      <c r="E523" t="str">
        <f t="shared" si="8"/>
        <v xml:space="preserve">west-sabarmati@ujjivan.com;raghu.mudaliar@ujjivan.com;tikesh.kumar@ujjivan.com;helpdeskwest@ujjivan.com; </v>
      </c>
    </row>
    <row r="524" spans="1:5" x14ac:dyDescent="0.25">
      <c r="A524" t="s">
        <v>2556</v>
      </c>
      <c r="B524" s="51" t="s">
        <v>830</v>
      </c>
      <c r="C524" s="53" t="s">
        <v>2557</v>
      </c>
      <c r="D524" t="s">
        <v>2957</v>
      </c>
      <c r="E524" t="str">
        <f t="shared" si="8"/>
        <v xml:space="preserve">west-isanpur@ujjivan.com;amit.parmar@ujjivan.com;vijay.dodia@ujjivan.com;helpdeskwest@ujjivan.com; </v>
      </c>
    </row>
    <row r="525" spans="1:5" x14ac:dyDescent="0.25">
      <c r="A525" t="s">
        <v>2558</v>
      </c>
      <c r="B525" s="51" t="s">
        <v>831</v>
      </c>
      <c r="C525" s="53" t="s">
        <v>2559</v>
      </c>
      <c r="D525" t="s">
        <v>2957</v>
      </c>
      <c r="E525" t="str">
        <f t="shared" si="8"/>
        <v xml:space="preserve">west-naroda@ujjivan.com;alpesh.patel@ujjivan.com;vijay.dodia@ujjivan.com;helpdeskwest@ujjivan.com; </v>
      </c>
    </row>
    <row r="526" spans="1:5" x14ac:dyDescent="0.25">
      <c r="A526" t="s">
        <v>2560</v>
      </c>
      <c r="B526" s="51" t="s">
        <v>832</v>
      </c>
      <c r="C526" s="53" t="s">
        <v>2561</v>
      </c>
      <c r="D526" t="s">
        <v>2957</v>
      </c>
      <c r="E526" t="str">
        <f t="shared" si="8"/>
        <v xml:space="preserve">west-hatkeshwar@ujjivan.com;vijay.dodia@ujjivan.com;helpdeskwest@ujjivan.com; </v>
      </c>
    </row>
    <row r="527" spans="1:5" x14ac:dyDescent="0.25">
      <c r="A527" t="s">
        <v>2562</v>
      </c>
      <c r="B527" s="51" t="s">
        <v>833</v>
      </c>
      <c r="C527" s="53" t="s">
        <v>2563</v>
      </c>
      <c r="D527" t="s">
        <v>2957</v>
      </c>
      <c r="E527" t="str">
        <f t="shared" si="8"/>
        <v xml:space="preserve">west-rankala-branch@ujjivan.com;rushikesh.yogi@ujjivan.com;abhijeet.patil@ujjivan.com;helpdeskwest@ujjivan.com; </v>
      </c>
    </row>
    <row r="528" spans="1:5" x14ac:dyDescent="0.25">
      <c r="A528" t="s">
        <v>2564</v>
      </c>
      <c r="B528" s="51" t="s">
        <v>834</v>
      </c>
      <c r="C528" s="53" t="s">
        <v>2565</v>
      </c>
      <c r="D528" t="s">
        <v>2957</v>
      </c>
      <c r="E528" t="str">
        <f t="shared" si="8"/>
        <v xml:space="preserve">west-ichalkaranji-branch@ujjivan.com;swapnil.patel@ujjivan.com;smita.joshi@ujjivan.com;sandip.gavali@ujjivan.com;helpdeskwest@ujjivan.com; </v>
      </c>
    </row>
    <row r="529" spans="1:5" x14ac:dyDescent="0.25">
      <c r="A529" t="s">
        <v>2566</v>
      </c>
      <c r="B529" s="51" t="s">
        <v>835</v>
      </c>
      <c r="C529" s="53" t="s">
        <v>2567</v>
      </c>
      <c r="D529" t="s">
        <v>2957</v>
      </c>
      <c r="E529" t="str">
        <f t="shared" si="8"/>
        <v xml:space="preserve">west-market-yard-branch@ujjivan.com;chintamani.adurkar@ujjivan.com;abhijeet.patil@ujjivan.com;helpdeskwest@ujjivan.com; </v>
      </c>
    </row>
    <row r="530" spans="1:5" x14ac:dyDescent="0.25">
      <c r="A530" t="s">
        <v>2568</v>
      </c>
      <c r="B530" s="51" t="s">
        <v>837</v>
      </c>
      <c r="C530" s="53" t="s">
        <v>2569</v>
      </c>
      <c r="D530" t="s">
        <v>2957</v>
      </c>
      <c r="E530" t="str">
        <f t="shared" si="8"/>
        <v xml:space="preserve">west-bardoli@ujjivan.com;rohan.shirsath@ujjivan.com;jenish.lapsiwala@ujjivan.com;helpdeskwest@ujjivan.com; </v>
      </c>
    </row>
    <row r="531" spans="1:5" x14ac:dyDescent="0.25">
      <c r="A531" t="s">
        <v>2570</v>
      </c>
      <c r="B531" s="51" t="s">
        <v>838</v>
      </c>
      <c r="C531" s="53" t="s">
        <v>2571</v>
      </c>
      <c r="D531" t="s">
        <v>2957</v>
      </c>
      <c r="E531" t="str">
        <f t="shared" si="8"/>
        <v xml:space="preserve">west-valsad@ujjivan.com;ccr-valsad@ujjivan.com;nilesh.girase@ujjivan.com;ruchira.patel@ujjivan.com;helpdeskwest@ujjivan.com; </v>
      </c>
    </row>
    <row r="532" spans="1:5" x14ac:dyDescent="0.25">
      <c r="A532" t="s">
        <v>2572</v>
      </c>
      <c r="B532" s="51" t="s">
        <v>839</v>
      </c>
      <c r="C532" s="53" t="s">
        <v>2573</v>
      </c>
      <c r="D532" t="s">
        <v>2957</v>
      </c>
      <c r="E532" t="str">
        <f t="shared" si="8"/>
        <v xml:space="preserve">west-jalgaon-north@ujjivan.com;dipaksingh.rajput@ujjivan.com;santosh.bhalerao@ujjivan.com;amit.jadhav@ujjivan.com;helpdeskwest@ujjivan.com; </v>
      </c>
    </row>
    <row r="533" spans="1:5" x14ac:dyDescent="0.25">
      <c r="A533" t="s">
        <v>2574</v>
      </c>
      <c r="B533" s="51" t="s">
        <v>841</v>
      </c>
      <c r="C533" s="53" t="s">
        <v>2575</v>
      </c>
      <c r="D533" t="s">
        <v>2957</v>
      </c>
      <c r="E533" t="str">
        <f t="shared" si="8"/>
        <v xml:space="preserve">west-bhusawal@ujjivan.com;somnath.bhusare@ujjivan.com;prashant.shimpi@ujjivan.com;amit.jadhav@ujjivan.com;helpdeskwest@ujjivan.com; </v>
      </c>
    </row>
    <row r="534" spans="1:5" x14ac:dyDescent="0.25">
      <c r="A534" t="s">
        <v>2576</v>
      </c>
      <c r="B534" s="51" t="s">
        <v>2944</v>
      </c>
      <c r="C534" s="55" t="s">
        <v>3015</v>
      </c>
      <c r="D534" s="71" t="s">
        <v>3019</v>
      </c>
      <c r="E534" t="str">
        <f t="shared" si="8"/>
        <v>west-aamapara-branch@ujjivan.com;ayush.tiwari@ujjivan.com;aalok.tiwari@ujjivan.com;mohit.pilani@ujjivan.com;helpdeskwest@ujjivan.com;vijay.choudhary@ujjivan.com;shiv.thanvi@ujjivan.com</v>
      </c>
    </row>
    <row r="535" spans="1:5" x14ac:dyDescent="0.25">
      <c r="A535" t="s">
        <v>2577</v>
      </c>
      <c r="B535" s="51" t="s">
        <v>2943</v>
      </c>
      <c r="C535" s="55" t="s">
        <v>3014</v>
      </c>
      <c r="D535" s="71" t="s">
        <v>3019</v>
      </c>
      <c r="E535" t="str">
        <f t="shared" si="8"/>
        <v>west-devendranagar-branch@ujjivan.com;akhilesh.mishra@ujjivan.com;prabhash.jha@ujjivan.com;aalok.tiwari@ujjivan.com;mohit.pilani@ujjivan.com;helpdeskwest@ujjivan.com;vijay.choudhary@ujjivan.com;shiv.thanvi@ujjivan.com</v>
      </c>
    </row>
    <row r="536" spans="1:5" x14ac:dyDescent="0.25">
      <c r="A536" t="s">
        <v>2578</v>
      </c>
      <c r="B536" s="51" t="s">
        <v>2579</v>
      </c>
      <c r="C536" s="53" t="s">
        <v>2580</v>
      </c>
      <c r="D536" t="s">
        <v>2957</v>
      </c>
      <c r="E536" t="str">
        <f t="shared" si="8"/>
        <v xml:space="preserve">west-jalgaon-south@ujjivan.com;kishor.sonar@ujjivan.com;amit.jadhav@ujjivan.com;helpdeskwest@ujjivan.com; </v>
      </c>
    </row>
    <row r="537" spans="1:5" x14ac:dyDescent="0.25">
      <c r="A537" t="s">
        <v>2581</v>
      </c>
      <c r="B537" s="51" t="s">
        <v>842</v>
      </c>
      <c r="C537" s="53" t="s">
        <v>2582</v>
      </c>
      <c r="D537" t="s">
        <v>2957</v>
      </c>
      <c r="E537" t="str">
        <f t="shared" si="8"/>
        <v xml:space="preserve">west-mehsana-branch@ujjivan.com;ashutosh.saxena@ujjivan.com;tikesh.kumar@ujjivan.com;helpdeskwest@ujjivan.com; </v>
      </c>
    </row>
    <row r="538" spans="1:5" x14ac:dyDescent="0.25">
      <c r="A538" t="s">
        <v>2583</v>
      </c>
      <c r="B538" s="51" t="s">
        <v>843</v>
      </c>
      <c r="C538" s="53" t="s">
        <v>2584</v>
      </c>
      <c r="D538" t="s">
        <v>2957</v>
      </c>
      <c r="E538" t="str">
        <f t="shared" si="8"/>
        <v xml:space="preserve">west-himmatnagar-branch@ujjivan.com;brijesh.parmar@ujjivan.com;tikesh.kumar@ujjivan.com;helpdeskwest@ujjivan.com; </v>
      </c>
    </row>
    <row r="539" spans="1:5" x14ac:dyDescent="0.25">
      <c r="A539" t="s">
        <v>2585</v>
      </c>
      <c r="B539" s="51" t="s">
        <v>2586</v>
      </c>
      <c r="C539" s="53" t="s">
        <v>2587</v>
      </c>
      <c r="D539" t="s">
        <v>2957</v>
      </c>
      <c r="E539" t="str">
        <f t="shared" si="8"/>
        <v xml:space="preserve">rajkot-west@ujjivan.com;virendra.jadeja@ujjivan.com;natubhai.desai@ujjivan.com;helpdeskwest@ujjivan.com; </v>
      </c>
    </row>
    <row r="540" spans="1:5" x14ac:dyDescent="0.25">
      <c r="A540" t="s">
        <v>2588</v>
      </c>
      <c r="B540" s="51" t="s">
        <v>844</v>
      </c>
      <c r="C540" s="53" t="s">
        <v>2589</v>
      </c>
      <c r="D540" t="s">
        <v>2957</v>
      </c>
      <c r="E540" t="str">
        <f t="shared" si="8"/>
        <v xml:space="preserve">rajkot-south@ujjivan.com;chirag.mehta@ujjivan.com;natubhai.desai@ujjivan.com;helpdeskwest@ujjivan.com; </v>
      </c>
    </row>
    <row r="541" spans="1:5" x14ac:dyDescent="0.25">
      <c r="A541" t="s">
        <v>2590</v>
      </c>
      <c r="B541" s="51" t="s">
        <v>846</v>
      </c>
      <c r="C541" s="53" t="s">
        <v>2591</v>
      </c>
      <c r="D541" t="s">
        <v>2957</v>
      </c>
      <c r="E541" t="str">
        <f t="shared" si="8"/>
        <v xml:space="preserve">rajkot- north;irfan.aibani@ujjivan.com;natubhai.desai@ujjivan.com;helpdeskwest@ujjivan.com; </v>
      </c>
    </row>
    <row r="542" spans="1:5" x14ac:dyDescent="0.25">
      <c r="A542" t="s">
        <v>2592</v>
      </c>
      <c r="B542" s="51" t="s">
        <v>847</v>
      </c>
      <c r="C542" s="53" t="s">
        <v>2593</v>
      </c>
      <c r="D542" t="s">
        <v>2957</v>
      </c>
      <c r="E542" t="str">
        <f t="shared" si="8"/>
        <v xml:space="preserve">rajkot-ajidam-branch@ujjivan.com;dinesh.parmar@ujjivan.com;natubhai.desai@ujjivan.com;helpdeskwest@ujjivan.com; </v>
      </c>
    </row>
    <row r="543" spans="1:5" x14ac:dyDescent="0.25">
      <c r="A543" t="s">
        <v>2594</v>
      </c>
      <c r="B543" s="51" t="s">
        <v>2595</v>
      </c>
      <c r="C543" s="53" t="s">
        <v>2596</v>
      </c>
      <c r="D543" t="s">
        <v>2957</v>
      </c>
      <c r="E543" t="str">
        <f t="shared" si="8"/>
        <v xml:space="preserve">west-chikalthana-branch@ujjivan.com;amarpratap.singh@ujjivan.com;ranjeet.mali@ujjivan.com;helpdeskwest@ujjivan.com; </v>
      </c>
    </row>
    <row r="544" spans="1:5" x14ac:dyDescent="0.25">
      <c r="A544" t="s">
        <v>2597</v>
      </c>
      <c r="B544" s="51" t="s">
        <v>2946</v>
      </c>
      <c r="C544" s="55" t="s">
        <v>3016</v>
      </c>
      <c r="D544" s="71" t="s">
        <v>3019</v>
      </c>
      <c r="E544" t="str">
        <f t="shared" si="8"/>
        <v>west-durg-branch@ujjivan.com;virendra.dubey@ujjivan.com;pradnyawant.patode@ujjivan.com;mohit.pilani@ujjivan.com;helpdeskwest@ujjivan.com;vijay.choudhary@ujjivan.com;shiv.thanvi@ujjivan.com</v>
      </c>
    </row>
    <row r="545" spans="1:5" x14ac:dyDescent="0.25">
      <c r="A545" t="s">
        <v>2598</v>
      </c>
      <c r="B545" s="51" t="s">
        <v>2948</v>
      </c>
      <c r="C545" s="55" t="s">
        <v>3018</v>
      </c>
      <c r="D545" s="71" t="s">
        <v>3019</v>
      </c>
      <c r="E545" t="str">
        <f t="shared" si="8"/>
        <v>west-bhillai-branch@ujjivan.com;p.rambabu@ujjivan.com;pradnyawant.patode@ujjivan.com;mohit.pilani@ujjivan.com;sandeep.kumaryadav@ujjivan.com;helpdeskwest@ujjivan.com;vijay.choudhary@ujjivan.com;shiv.thanvi@ujjivan.com</v>
      </c>
    </row>
    <row r="546" spans="1:5" x14ac:dyDescent="0.25">
      <c r="A546" t="s">
        <v>2599</v>
      </c>
      <c r="B546" s="51" t="s">
        <v>2952</v>
      </c>
      <c r="C546" s="53" t="s">
        <v>3013</v>
      </c>
      <c r="D546" s="71" t="s">
        <v>3019</v>
      </c>
      <c r="E546" t="str">
        <f t="shared" si="8"/>
        <v>west-rajnandgaon-branch;manish.madre@ujjivan.com;pradnyawant.patode@ujjivan.com;mohit.pilani@ujjivan.com;helpdeskwest@ujjivan.com;vijay.choudhary@ujjivan.com;shiv.thanvi@ujjivan.com</v>
      </c>
    </row>
    <row r="547" spans="1:5" x14ac:dyDescent="0.25">
      <c r="A547" t="s">
        <v>2600</v>
      </c>
      <c r="B547" s="51" t="s">
        <v>2950</v>
      </c>
      <c r="C547" s="55" t="s">
        <v>3012</v>
      </c>
      <c r="D547" s="71" t="s">
        <v>3019</v>
      </c>
      <c r="E547" t="str">
        <f t="shared" si="8"/>
        <v>west-bilaspur-branch@ujjivan.com;kamlesh.rajpoot@ujjivan.com;aalok.tiwari@ujjivan.com;mohit.pilani@ujjivan.com;helpdeskwest@ujjivan.com;vijay.choudhary@ujjivan.com;shiv.thanvi@ujjivan.com</v>
      </c>
    </row>
    <row r="548" spans="1:5" x14ac:dyDescent="0.25">
      <c r="A548" t="s">
        <v>2601</v>
      </c>
      <c r="B548" s="51" t="s">
        <v>1023</v>
      </c>
      <c r="C548" s="53" t="s">
        <v>2602</v>
      </c>
      <c r="D548" t="s">
        <v>2957</v>
      </c>
      <c r="E548" t="str">
        <f t="shared" si="8"/>
        <v xml:space="preserve">west-rajpipla-branch@ujjivan.com;nirmalsharan.barot@ujjivan.com;ashok.gosawi@ujjivan.com;helpdeskwest@ujjivan.com; </v>
      </c>
    </row>
    <row r="549" spans="1:5" x14ac:dyDescent="0.25">
      <c r="A549" t="s">
        <v>2603</v>
      </c>
      <c r="B549" s="51" t="s">
        <v>2604</v>
      </c>
      <c r="C549" s="53" t="s">
        <v>2605</v>
      </c>
      <c r="D549" t="s">
        <v>2957</v>
      </c>
      <c r="E549" t="str">
        <f t="shared" si="8"/>
        <v xml:space="preserve">west-vyara-branch@ujjivan.com;ujesh.modi@ujjivan.com;jenish.lapsiwala@ujjivan.com;helpdeskwest@ujjivan.com; </v>
      </c>
    </row>
    <row r="550" spans="1:5" x14ac:dyDescent="0.25">
      <c r="A550" t="s">
        <v>2606</v>
      </c>
      <c r="B550" s="51" t="s">
        <v>2607</v>
      </c>
      <c r="C550" s="53" t="s">
        <v>2608</v>
      </c>
      <c r="D550" t="s">
        <v>2957</v>
      </c>
      <c r="E550" t="str">
        <f t="shared" si="8"/>
        <v xml:space="preserve">west-barshiroad-branch@ujjivan.com;vidya.gandhi@ujjivan.com;sachin.suryawanshi@ujjivan.com;helpdeskwest@ujjivan.com; </v>
      </c>
    </row>
    <row r="551" spans="1:5" x14ac:dyDescent="0.25">
      <c r="A551" t="s">
        <v>2609</v>
      </c>
      <c r="B551" s="51" t="s">
        <v>2610</v>
      </c>
      <c r="C551" s="53" t="s">
        <v>2611</v>
      </c>
      <c r="D551" t="s">
        <v>2957</v>
      </c>
      <c r="E551" t="str">
        <f t="shared" si="8"/>
        <v xml:space="preserve">shahuchowklatur@ujjivan.com;swarup.dhakne@ujjivan.com;sachin.suryawanshi@ujjivan.com;helpdeskwest@ujjivan.com; </v>
      </c>
    </row>
    <row r="552" spans="1:5" x14ac:dyDescent="0.25">
      <c r="A552" t="s">
        <v>2612</v>
      </c>
      <c r="B552" s="51" t="s">
        <v>2613</v>
      </c>
      <c r="C552" s="53" t="s">
        <v>2614</v>
      </c>
      <c r="D552" t="s">
        <v>2957</v>
      </c>
      <c r="E552" t="str">
        <f t="shared" si="8"/>
        <v xml:space="preserve">west-south.nagpur@ujjivan.com;vishal.guntiwar@ujjivan.com;rajendra.chunarkar@ujjivan.com;helpdeskwest@ujjivan.com; </v>
      </c>
    </row>
    <row r="553" spans="1:5" x14ac:dyDescent="0.25">
      <c r="A553" t="s">
        <v>2615</v>
      </c>
      <c r="B553" s="51" t="s">
        <v>2616</v>
      </c>
      <c r="C553" s="53" t="s">
        <v>2617</v>
      </c>
      <c r="D553" t="s">
        <v>2957</v>
      </c>
      <c r="E553" t="str">
        <f t="shared" si="8"/>
        <v xml:space="preserve">west-north.nagpur@ujjivan.com;harshal.takwale@ujjivan.com;rajendra.chunarkar@ujjivan.com;helpdeskwest@ujjivan.com; </v>
      </c>
    </row>
    <row r="554" spans="1:5" x14ac:dyDescent="0.25">
      <c r="A554" t="s">
        <v>2618</v>
      </c>
      <c r="B554" s="51" t="s">
        <v>2619</v>
      </c>
      <c r="C554" s="53" t="s">
        <v>2620</v>
      </c>
      <c r="D554" t="s">
        <v>2957</v>
      </c>
      <c r="E554" t="str">
        <f t="shared" si="8"/>
        <v xml:space="preserve">west-east.nagpur@ujjivan.com;rohan.masar@ujjivan.com;rajendra.chunarkar@ujjivan.com;helpdeskwest@ujjivan.com; </v>
      </c>
    </row>
    <row r="555" spans="1:5" x14ac:dyDescent="0.25">
      <c r="A555" t="s">
        <v>2621</v>
      </c>
      <c r="B555" s="51" t="s">
        <v>2622</v>
      </c>
      <c r="C555" s="53" t="s">
        <v>2623</v>
      </c>
      <c r="D555" t="s">
        <v>2957</v>
      </c>
      <c r="E555" t="str">
        <f t="shared" si="8"/>
        <v xml:space="preserve">west-east.bhavnagar-branch@ujjivan.com;brij.kothadiya@ujjivan.com;dinesh.sonawane@ujjivan.com;helpdeskwest@ujjivan.com; </v>
      </c>
    </row>
    <row r="556" spans="1:5" x14ac:dyDescent="0.25">
      <c r="A556" t="s">
        <v>2624</v>
      </c>
      <c r="B556" s="51" t="s">
        <v>2625</v>
      </c>
      <c r="C556" s="53" t="s">
        <v>2626</v>
      </c>
      <c r="D556" t="s">
        <v>2957</v>
      </c>
      <c r="E556" t="str">
        <f t="shared" si="8"/>
        <v xml:space="preserve">west-west.bhavnagar-branch@ujjivan.com;rajesh.rupala@ujjivan.com;dinesh.sonawane@ujjivan.com;helpdeskwest@ujjivan.com; </v>
      </c>
    </row>
    <row r="557" spans="1:5" x14ac:dyDescent="0.25">
      <c r="A557" t="s">
        <v>2627</v>
      </c>
      <c r="B557" s="51" t="s">
        <v>2628</v>
      </c>
      <c r="C557" s="53" t="s">
        <v>2629</v>
      </c>
      <c r="D557" t="s">
        <v>2957</v>
      </c>
      <c r="E557" t="str">
        <f t="shared" si="8"/>
        <v xml:space="preserve">west-botad-branch@ujjivan.com;gopal.muliya@ujjivan.com;dinesh.sonawane@ujjivan.com;helpdeskwest@ujjivan.com; </v>
      </c>
    </row>
    <row r="558" spans="1:5" x14ac:dyDescent="0.25">
      <c r="A558" s="68" t="s">
        <v>2938</v>
      </c>
      <c r="B558" s="68" t="s">
        <v>2686</v>
      </c>
      <c r="C558" s="68" t="s">
        <v>2939</v>
      </c>
      <c r="D558" s="68" t="s">
        <v>2954</v>
      </c>
      <c r="E558" s="68" t="str">
        <f t="shared" si="8"/>
        <v xml:space="preserve">blr-hunsur-branch@ujjivan.com;helpdesk@ujjivan.com; </v>
      </c>
    </row>
    <row r="559" spans="1:5" x14ac:dyDescent="0.25">
      <c r="A559" t="s">
        <v>2079</v>
      </c>
      <c r="B559" t="s">
        <v>2080</v>
      </c>
      <c r="C559" s="71" t="s">
        <v>2081</v>
      </c>
      <c r="D559" s="68" t="s">
        <v>2955</v>
      </c>
      <c r="E559" s="68" t="str">
        <f t="shared" si="8"/>
        <v xml:space="preserve">raj-kathumar-branch@ujjivan.com;helpdeskdelhi@ujjivan.com; </v>
      </c>
    </row>
    <row r="561" spans="2:8" s="68" customFormat="1" x14ac:dyDescent="0.25"/>
    <row r="562" spans="2:8" s="68" customFormat="1" x14ac:dyDescent="0.25"/>
    <row r="563" spans="2:8" s="68" customFormat="1" x14ac:dyDescent="0.25"/>
    <row r="564" spans="2:8" x14ac:dyDescent="0.25">
      <c r="B564" t="str">
        <f>B535&amp;C564</f>
        <v>2339shashi.choubey@ujjivan.com</v>
      </c>
      <c r="C564" t="s">
        <v>726</v>
      </c>
      <c r="D564" t="s">
        <v>726</v>
      </c>
      <c r="E564" t="s">
        <v>726</v>
      </c>
      <c r="H564" t="s">
        <v>726</v>
      </c>
    </row>
  </sheetData>
  <hyperlinks>
    <hyperlink ref="C428" display="cal-bagdogra-Branch@ujjivan.com" xr:uid="{00000000-0004-0000-0500-000000000000}"/>
    <hyperlink ref="C118" display="tn-anamalai-branch@ujjivan.com" xr:uid="{00000000-0004-0000-0500-000001000000}"/>
    <hyperlink ref="C114" display="tn-ooty-branch@ujjivan.com" xr:uid="{00000000-0004-0000-0500-000002000000}"/>
    <hyperlink ref="C113" display="tn-coonoor-branch@ujjivan.com" xr:uid="{00000000-0004-0000-0500-000003000000}"/>
    <hyperlink ref="C430" display="bhr-maner-branch@ujjivan.com" xr:uid="{00000000-0004-0000-0500-000004000000}"/>
    <hyperlink ref="C237" display="pnb-ludhianashimlapuri-branch@ujjivan.com" xr:uid="{00000000-0004-0000-0500-000005000000}"/>
    <hyperlink ref="C238" display="pnb-ludhiananewshivajinagar-branch@ujjivan.com" xr:uid="{00000000-0004-0000-0500-000006000000}"/>
    <hyperlink ref="C239" display="pnb-jalandhar-branch@ujjivan.com" xr:uid="{00000000-0004-0000-0500-000007000000}"/>
    <hyperlink ref="C240" display="pnb-ropar-branch@ujjivan.com" xr:uid="{00000000-0004-0000-0500-000008000000}"/>
    <hyperlink ref="C242" display="pnb-amritsar-branch@ujjivan.com" xr:uid="{00000000-0004-0000-0500-000009000000}"/>
    <hyperlink ref="C243" display="pnb-patiala-branch@ujjivan.com" xr:uid="{00000000-0004-0000-0500-00000A000000}"/>
    <hyperlink ref="C241" display="pnb-sangrur-branch@ujjivan.com" xr:uid="{00000000-0004-0000-0500-00000B000000}"/>
    <hyperlink ref="C125" display="tn-thiruvaiyaru-branch@ujjivan.com" xr:uid="{00000000-0004-0000-0500-00000C000000}"/>
    <hyperlink ref="C126" display="tn-kumbakonam-branch@ujjivan.com" xr:uid="{00000000-0004-0000-0500-00000D000000}"/>
    <hyperlink ref="C244" display="del-jaipur.jhotwara-branch@ujjivan.com" xr:uid="{00000000-0004-0000-0500-00000E000000}"/>
    <hyperlink ref="C127" display="blr-gundlupet-branch@ujjivan.com" xr:uid="{00000000-0004-0000-0500-00000F000000}"/>
    <hyperlink ref="C124" display="blr-mysoreagrahara-branch@ujjivan.com" xr:uid="{00000000-0004-0000-0500-000010000000}"/>
    <hyperlink ref="C128" display="blr-tnarasipura-branch@ujjivan.com" xr:uid="{00000000-0004-0000-0500-000011000000}"/>
    <hyperlink ref="C129" display="tn-trichy-branch@ujjivan.com" xr:uid="{00000000-0004-0000-0500-000012000000}"/>
    <hyperlink ref="C123" display="blr-srirangapatna-branch@ujjivan.com" xr:uid="{00000000-0004-0000-0500-000013000000}"/>
    <hyperlink ref="C209" display="thippesh.j@ujjivan.com" xr:uid="{00000000-0004-0000-0500-000014000000}"/>
    <hyperlink ref="C211" display="thippesh.j@ujjivan.com" xr:uid="{00000000-0004-0000-0500-000015000000}"/>
    <hyperlink ref="C212" display="thippesh.j@ujjivan.com" xr:uid="{00000000-0004-0000-0500-000016000000}"/>
    <hyperlink ref="C246" display="uk.vikasnagar-branch@ujjivan.com" xr:uid="{00000000-0004-0000-0500-000017000000}"/>
    <hyperlink ref="C251" display="har-kaithal-branch@ujjivan.com" xr:uid="{00000000-0004-0000-0500-000018000000}"/>
    <hyperlink ref="C252" display="har-kurushetra-branch@ujjivan.com" xr:uid="{00000000-0004-0000-0500-000019000000}"/>
    <hyperlink ref="C247" display="mp-indore1-branch@ujjivan.com" xr:uid="{00000000-0004-0000-0500-00001A000000}"/>
    <hyperlink ref="C130" display="blr-chamarajanagar-branch@ujjivan.com" xr:uid="{00000000-0004-0000-0500-00001B000000}"/>
    <hyperlink ref="C131" display="blr-hoskote-branch@ujjivan.com" xr:uid="{00000000-0004-0000-0500-00001C000000}"/>
    <hyperlink ref="C132" display="tn-mannargudi-branch@ujjivan.com" xr:uid="{00000000-0004-0000-0500-00001D000000}"/>
    <hyperlink ref="C133" display="blr-bannerghatta-branch@ujjivan.com" xr:uid="{00000000-0004-0000-0500-00001E000000}"/>
    <hyperlink ref="C389" display="helpdesk@ujjivan.com" xr:uid="{00000000-0004-0000-0500-00001F000000}"/>
    <hyperlink ref="C370:C373" display="bhr-lalganj-branch@ujjivan.com" xr:uid="{00000000-0004-0000-0500-000020000000}"/>
    <hyperlink ref="C261" display="mp-nagda-branch@ujjivan.com " xr:uid="{00000000-0004-0000-0500-000021000000}"/>
    <hyperlink ref="C260" display="mp-sanawad-branch@ujjivan.com " xr:uid="{00000000-0004-0000-0500-000022000000}"/>
    <hyperlink ref="C259" display="mp-khandwa-branch@ujjivan.com " xr:uid="{00000000-0004-0000-0500-000023000000}"/>
    <hyperlink ref="C258" display="mp-khargone-branch@ujjivan.com " xr:uid="{00000000-0004-0000-0500-000024000000}"/>
    <hyperlink ref="C256" display="har-narayangarh-branch@ujjivan.com " xr:uid="{00000000-0004-0000-0500-000025000000}"/>
    <hyperlink ref="C255" display="hp-una-branch@ujjivan.com " xr:uid="{00000000-0004-0000-0500-000026000000}"/>
    <hyperlink ref="C501" display="west-south.vadodara-branch@ujjivan;ccr-baroda-south@ujjivan.com;sunita.rohit@ujjivan.com;viral.patel@ujjivan.com;ashok.gosawi@ujjivan.com" xr:uid="{00000000-0004-0000-0500-000027000000}"/>
    <hyperlink ref="C505" display="west-central.vadodara-branch@ujjivan.com;ccr-baroda-central@ujjivan.com;vikas.prajapati@ujjivan.com;rajay.nikam@ujjivan.com" xr:uid="{00000000-0004-0000-0500-000028000000}"/>
    <hyperlink ref="C510" display="west-satara-branch@ujjivan.com;ccr-satara@ujjivan.com;sunil.jadhav@ujjivan.com;nikhil.mohite@ujjivan.com;abhijeet.patil@ujjivan.com" xr:uid="{00000000-0004-0000-0500-000029000000}"/>
    <hyperlink ref="C499" display="west-navsari-branch@ujjivan.com;ccr-navsari@ujjivan.com;alpesh.surti@ujjivan.com;ruchira.patel@ujjivan.com" xr:uid="{00000000-0004-0000-0500-00002A000000}"/>
    <hyperlink ref="C559" display="raj-kathumar-branch@ujjivan.com" xr:uid="{00000000-0004-0000-0500-00002B000000}"/>
    <hyperlink ref="C171" display="del-wazirpur-branch@ujjivan.com" xr:uid="{00000000-0004-0000-0500-00002C000000}"/>
    <hyperlink ref="C172" display="del-alwar-branch@ujjivan.com" xr:uid="{00000000-0004-0000-0500-00002D000000}"/>
    <hyperlink ref="D523" display="helpdeskwest@ujjivan.com; " xr:uid="{00000000-0004-0000-0500-00002E000000}"/>
    <hyperlink ref="C547" display="west-bilaspur-branch@ujjivan.com;kamlesh.rajpoot@ujjivan.com;aalok.tiwari@ujjivan.com;mohit.pilani@ujjivan.com" xr:uid="{00000000-0004-0000-0500-00002F000000}"/>
    <hyperlink ref="C535" display="west-devendranagar-branch@ujjivan.com;akhilesh.mishra@ujjivan.com;prabhash.jha@ujjivan.com;aalok.tiwari@ujjivan.com;mohit.pilani@ujjivan.com" xr:uid="{00000000-0004-0000-0500-000030000000}"/>
    <hyperlink ref="C534" display="west-aamapara-branch@ujjivan.com;ayush.tiwari@ujjivan.com;aalok.tiwari@ujjivan.com;mohit.pilani@ujjivan.com" xr:uid="{00000000-0004-0000-0500-000031000000}"/>
    <hyperlink ref="C544" display="west-durg-branch@ujjivan.com;virendra.dubey@ujjivan.com;pradnyawant.patode@ujjivan.com;mohit.pilani@ujjivan.com" xr:uid="{00000000-0004-0000-0500-000032000000}"/>
    <hyperlink ref="C545" display="west-bhillai-branch@ujjivan.com;p.rambabu@ujjivan.com;pradnyawant.patode@ujjivan.com;mohit.pilani@ujjivan.com;sandeep.kumaryadav@ujjivan.com" xr:uid="{00000000-0004-0000-0500-000033000000}"/>
    <hyperlink ref="C506" display="west-ankleshwar-branch@ujjivan.com;ccr.ankaleshwar@ujjivan.com;dharmesh.vaghela@ujjivan.com;barkatali.vadhvania@ujjivan.com;ashok.gosawi@ujjivan.com" xr:uid="{00000000-0004-0000-0500-000034000000}"/>
    <hyperlink ref="D545" display="helpdeskwest@ujjivan.com;vijay.choudhary@ujjivan.com;shiv.thanvi@ujjivan.com" xr:uid="{00000000-0004-0000-0500-000035000000}"/>
    <hyperlink ref="D546" display="helpdeskwest@ujjivan.com;vijay.choudhary@ujjivan.com;shiv.thanvi@ujjivan.com" xr:uid="{00000000-0004-0000-0500-000036000000}"/>
    <hyperlink ref="D547" display="helpdeskwest@ujjivan.com;vijay.choudhary@ujjivan.com;shiv.thanvi@ujjivan.com" xr:uid="{00000000-0004-0000-0500-000037000000}"/>
    <hyperlink ref="D544" display="helpdeskwest@ujjivan.com;vijay.choudhary@ujjivan.com;shiv.thanvi@ujjivan.com" xr:uid="{00000000-0004-0000-0500-000038000000}"/>
    <hyperlink ref="D534" display="helpdeskwest@ujjivan.com;vijay.choudhary@ujjivan.com;shiv.thanvi@ujjivan.com" xr:uid="{00000000-0004-0000-0500-000039000000}"/>
    <hyperlink ref="D535" display="helpdeskwest@ujjivan.com;vijay.choudhary@ujjivan.com;shiv.thanvi@ujjivan.com" xr:uid="{00000000-0004-0000-0500-00003A000000}"/>
    <hyperlink ref="C462" display="ccr-akurdi@ujjivan.com;west-akurdi-branch@ujjivan.com;dinesh.bidkar@ujjivan.com;tushar.mali@ujjivan.com;anil.patil@ujjivan.com;amar.adiwarekar@ujjivan.com" xr:uid="{00000000-0004-0000-0500-00003B000000}"/>
    <hyperlink ref="C463" display="west-pimpri-branch@ujjivan.com;;ccr-pimpri@ujjivan.com;kunal.deokar@ujjivan.com;sandeep.gadre@ujjivan.com;yogesh.kamble@ujjivan.com" xr:uid="{00000000-0004-0000-0500-00003C000000}"/>
    <hyperlink ref="C459" display="west-punesouth-branch@ujjivan.com;ccr-swargate@ujjivan.com;pravin.singh@ujjivan.com;dinesh.fulambarkar@ujjivan.com;atul.mule@ujjivan.com;yogesh.kamble@ujjivan.com" xr:uid="{00000000-0004-0000-0500-00003D000000}"/>
    <hyperlink ref="C489" display="west-goregaon-branch@ujjivan.com;ccr.goregaon@ujjivan.com;jyotsna.chipte@ujjivan.com;rameshwar.chaudhari@ujjivan.com;krishna.yadav@ujjivan.com;bhakti.nena@ujjivan.com" xr:uid="{00000000-0004-0000-0500-00003E000000}"/>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L571"/>
  <sheetViews>
    <sheetView topLeftCell="C1" zoomScale="85" zoomScaleNormal="85" workbookViewId="0">
      <pane ySplit="1" topLeftCell="A2" activePane="bottomLeft" state="frozen"/>
      <selection pane="bottomLeft" activeCell="G470" sqref="G470"/>
    </sheetView>
  </sheetViews>
  <sheetFormatPr defaultRowHeight="15" x14ac:dyDescent="0.25"/>
  <cols>
    <col min="1" max="1" width="30.28515625" style="85" bestFit="1" customWidth="1"/>
    <col min="2" max="2" width="28" style="86" customWidth="1"/>
    <col min="3" max="3" width="12.140625" style="85" customWidth="1"/>
    <col min="4" max="4" width="36" style="85" customWidth="1"/>
    <col min="5" max="5" width="31.140625" style="68" bestFit="1" customWidth="1"/>
    <col min="6" max="6" width="34.140625" style="68" bestFit="1" customWidth="1"/>
    <col min="7" max="7" width="32.7109375" style="68" bestFit="1" customWidth="1"/>
    <col min="8" max="8" width="21.5703125" style="68" customWidth="1"/>
    <col min="9" max="9" width="19.85546875" style="68" customWidth="1"/>
    <col min="10" max="10" width="9.140625" style="68"/>
    <col min="11" max="11" width="37.85546875" style="68" bestFit="1" customWidth="1"/>
    <col min="12" max="16384" width="9.140625" style="68"/>
  </cols>
  <sheetData>
    <row r="1" spans="1:12" s="73" customFormat="1" x14ac:dyDescent="0.25">
      <c r="A1" s="72" t="s">
        <v>2705</v>
      </c>
      <c r="B1" s="123" t="s">
        <v>2706</v>
      </c>
      <c r="C1" s="124" t="s">
        <v>2707</v>
      </c>
      <c r="D1" s="124" t="s">
        <v>2708</v>
      </c>
      <c r="E1" s="125" t="s">
        <v>3577</v>
      </c>
      <c r="F1" s="73" t="s">
        <v>2709</v>
      </c>
      <c r="G1" s="73" t="s">
        <v>2710</v>
      </c>
      <c r="H1" s="73" t="s">
        <v>2711</v>
      </c>
      <c r="J1" s="95" t="s">
        <v>2990</v>
      </c>
      <c r="K1" s="95" t="s">
        <v>2991</v>
      </c>
      <c r="L1" s="73" t="s">
        <v>3057</v>
      </c>
    </row>
    <row r="2" spans="1:12" s="77" customFormat="1" x14ac:dyDescent="0.25">
      <c r="A2" s="137" t="s">
        <v>666</v>
      </c>
      <c r="B2" s="75" t="s">
        <v>3418</v>
      </c>
      <c r="C2" s="75" t="s">
        <v>3773</v>
      </c>
      <c r="D2" s="76" t="s">
        <v>2716</v>
      </c>
      <c r="E2" s="77" t="s">
        <v>4040</v>
      </c>
      <c r="F2" s="77" t="s">
        <v>4530</v>
      </c>
      <c r="G2" s="77" t="s">
        <v>699</v>
      </c>
      <c r="H2" s="77" t="str">
        <f>CONCATENATE(D2,";",E2,";",F2,";",G2,";",J2,";",K2,";")</f>
        <v>manojit.sabui@ujjivan.com;fatik.shaikh@ujjivan.com;nilkamal.manna@ujjivan.com;rajdeep.bhaduri@ujjivan.com;;;</v>
      </c>
    </row>
    <row r="3" spans="1:12" s="77" customFormat="1" x14ac:dyDescent="0.25">
      <c r="A3" s="138" t="s">
        <v>644</v>
      </c>
      <c r="B3" s="75" t="s">
        <v>3406</v>
      </c>
      <c r="C3" s="75" t="s">
        <v>3774</v>
      </c>
      <c r="D3" s="76" t="s">
        <v>3694</v>
      </c>
      <c r="E3" s="77" t="s">
        <v>4041</v>
      </c>
      <c r="F3" s="77" t="s">
        <v>4869</v>
      </c>
      <c r="G3" s="77" t="s">
        <v>610</v>
      </c>
      <c r="H3" s="77" t="str">
        <f t="shared" ref="H3:H66" si="0">CONCATENATE(D3,";",E3,";",F3,";",G3,";",J3,";",K3,";")</f>
        <v>sabir.mirdda@ujjivan.com;sudipto.mondal@ujjivan.com;suvendu.banerjee@ujjivan.com;santanu.dey@ujjivan.com;;;</v>
      </c>
    </row>
    <row r="4" spans="1:12" s="77" customFormat="1" x14ac:dyDescent="0.25">
      <c r="A4" s="138" t="s">
        <v>621</v>
      </c>
      <c r="B4" s="75" t="s">
        <v>3392</v>
      </c>
      <c r="C4" s="75" t="s">
        <v>3775</v>
      </c>
      <c r="D4" s="76" t="s">
        <v>2712</v>
      </c>
      <c r="E4" s="77" t="s">
        <v>4042</v>
      </c>
      <c r="F4" s="77" t="s">
        <v>4869</v>
      </c>
      <c r="G4" s="77" t="s">
        <v>610</v>
      </c>
      <c r="H4" s="77" t="str">
        <f t="shared" si="0"/>
        <v>sanjib.nath@ujjivan.com;mukesh.sahu@ujjivan.com;suvendu.banerjee@ujjivan.com;santanu.dey@ujjivan.com;;;</v>
      </c>
    </row>
    <row r="5" spans="1:12" s="77" customFormat="1" x14ac:dyDescent="0.25">
      <c r="A5" s="137" t="s">
        <v>624</v>
      </c>
      <c r="B5" s="75" t="s">
        <v>3395</v>
      </c>
      <c r="C5" s="75" t="s">
        <v>3776</v>
      </c>
      <c r="D5" s="76" t="s">
        <v>3688</v>
      </c>
      <c r="E5" s="77" t="s">
        <v>4043</v>
      </c>
      <c r="F5" s="77" t="s">
        <v>665</v>
      </c>
      <c r="G5" s="77" t="s">
        <v>699</v>
      </c>
      <c r="H5" s="77" t="str">
        <f t="shared" si="0"/>
        <v>swarup.sukul@ujjivan.com;tarun.ghosh@ujjivan.com;arup.kashyapi@ujjivan.com;rajdeep.bhaduri@ujjivan.com;;;</v>
      </c>
    </row>
    <row r="6" spans="1:12" s="77" customFormat="1" x14ac:dyDescent="0.25">
      <c r="A6" s="137" t="s">
        <v>636</v>
      </c>
      <c r="B6" s="75" t="s">
        <v>3402</v>
      </c>
      <c r="C6" s="75" t="s">
        <v>3777</v>
      </c>
      <c r="D6" s="76" t="s">
        <v>637</v>
      </c>
      <c r="E6" s="77" t="s">
        <v>4044</v>
      </c>
      <c r="F6" s="77" t="s">
        <v>4529</v>
      </c>
      <c r="G6" s="77" t="s">
        <v>610</v>
      </c>
      <c r="H6" s="77" t="str">
        <f t="shared" si="0"/>
        <v>sanjoy.mondal@ujjivan.com;amarkumar.guha@ujjivan.com;amit.choubey@ujjivan.com;santanu.dey@ujjivan.com;;;</v>
      </c>
    </row>
    <row r="7" spans="1:12" s="77" customFormat="1" x14ac:dyDescent="0.25">
      <c r="A7" s="137" t="s">
        <v>605</v>
      </c>
      <c r="B7" s="75" t="s">
        <v>3381</v>
      </c>
      <c r="C7" s="75" t="s">
        <v>3778</v>
      </c>
      <c r="D7" s="76" t="s">
        <v>2858</v>
      </c>
      <c r="E7" s="77" t="s">
        <v>4045</v>
      </c>
      <c r="F7" s="77" t="s">
        <v>2713</v>
      </c>
      <c r="G7" s="77" t="s">
        <v>610</v>
      </c>
      <c r="H7" s="77" t="str">
        <f t="shared" si="0"/>
        <v>arnab.sinha@ujjivan.com;samir.roy@ujjivan.com;sounak.saha@ujjivan.com;santanu.dey@ujjivan.com;;;</v>
      </c>
    </row>
    <row r="8" spans="1:12" s="77" customFormat="1" x14ac:dyDescent="0.25">
      <c r="A8" s="138" t="s">
        <v>676</v>
      </c>
      <c r="B8" s="75" t="s">
        <v>3424</v>
      </c>
      <c r="C8" s="75" t="s">
        <v>3779</v>
      </c>
      <c r="D8" s="76" t="s">
        <v>2714</v>
      </c>
      <c r="E8" s="77" t="s">
        <v>4890</v>
      </c>
      <c r="F8" s="77" t="s">
        <v>4530</v>
      </c>
      <c r="H8" s="77" t="str">
        <f t="shared" si="0"/>
        <v>tanmoy.pal@ujjivan.com;saikat.ghosh@ujjivan.com;nilkamal.manna@ujjivan.com;;;;</v>
      </c>
    </row>
    <row r="9" spans="1:12" s="77" customFormat="1" x14ac:dyDescent="0.25">
      <c r="A9" s="137" t="s">
        <v>668</v>
      </c>
      <c r="B9" s="75" t="s">
        <v>3419</v>
      </c>
      <c r="C9" s="75" t="s">
        <v>3780</v>
      </c>
      <c r="D9" s="76" t="s">
        <v>4852</v>
      </c>
      <c r="E9" s="77" t="s">
        <v>4047</v>
      </c>
      <c r="F9" s="77" t="s">
        <v>4535</v>
      </c>
      <c r="G9" s="77" t="s">
        <v>699</v>
      </c>
      <c r="H9" s="77" t="str">
        <f t="shared" si="0"/>
        <v xml:space="preserve">
nirmal.ghosh@ujjivan.com;ranjit.bhandary@ujjivan.com;kunal.ghosh@ujjivan.com;rajdeep.bhaduri@ujjivan.com;;;</v>
      </c>
    </row>
    <row r="10" spans="1:12" s="77" customFormat="1" x14ac:dyDescent="0.25">
      <c r="A10" s="137" t="s">
        <v>623</v>
      </c>
      <c r="B10" s="75" t="s">
        <v>3394</v>
      </c>
      <c r="C10" s="75" t="s">
        <v>3781</v>
      </c>
      <c r="D10" s="76" t="s">
        <v>667</v>
      </c>
      <c r="E10" s="77" t="s">
        <v>4888</v>
      </c>
      <c r="F10" s="77" t="s">
        <v>4530</v>
      </c>
      <c r="G10" s="77" t="s">
        <v>699</v>
      </c>
      <c r="H10" s="77" t="str">
        <f t="shared" si="0"/>
        <v>ramprasad.mondal@ujjivan.com;anup.das@ujjivan.com;nilkamal.manna@ujjivan.com;rajdeep.bhaduri@ujjivan.com;;;</v>
      </c>
    </row>
    <row r="11" spans="1:12" s="77" customFormat="1" x14ac:dyDescent="0.25">
      <c r="A11" s="137" t="s">
        <v>609</v>
      </c>
      <c r="B11" s="75" t="s">
        <v>3383</v>
      </c>
      <c r="C11" s="75" t="s">
        <v>3782</v>
      </c>
      <c r="D11" s="76" t="s">
        <v>626</v>
      </c>
      <c r="E11" s="77" t="s">
        <v>4049</v>
      </c>
      <c r="F11" s="77" t="s">
        <v>4869</v>
      </c>
      <c r="G11" s="77" t="s">
        <v>610</v>
      </c>
      <c r="H11" s="77" t="str">
        <f t="shared" si="0"/>
        <v>susanta.sur@ujjivan.com;milan.biswas@ujjivan.com;suvendu.banerjee@ujjivan.com;santanu.dey@ujjivan.com;;;</v>
      </c>
    </row>
    <row r="12" spans="1:12" s="77" customFormat="1" x14ac:dyDescent="0.25">
      <c r="A12" s="137" t="s">
        <v>683</v>
      </c>
      <c r="B12" s="75" t="s">
        <v>3430</v>
      </c>
      <c r="C12" s="75" t="s">
        <v>3783</v>
      </c>
      <c r="D12" s="76" t="s">
        <v>3702</v>
      </c>
      <c r="E12" s="77" t="s">
        <v>4050</v>
      </c>
      <c r="F12" s="77" t="s">
        <v>4530</v>
      </c>
      <c r="G12" s="77" t="s">
        <v>699</v>
      </c>
      <c r="H12" s="77" t="str">
        <f t="shared" si="0"/>
        <v>manisankar.banerjee@ujjivan.com;abhijit.biswas@ujjivan.com;nilkamal.manna@ujjivan.com;rajdeep.bhaduri@ujjivan.com;;;</v>
      </c>
    </row>
    <row r="13" spans="1:12" s="77" customFormat="1" x14ac:dyDescent="0.25">
      <c r="A13" s="138" t="s">
        <v>631</v>
      </c>
      <c r="B13" s="75" t="s">
        <v>3399</v>
      </c>
      <c r="C13" s="75" t="s">
        <v>3784</v>
      </c>
      <c r="D13" s="76" t="s">
        <v>3691</v>
      </c>
      <c r="E13" s="77" t="s">
        <v>4051</v>
      </c>
      <c r="F13" s="77" t="s">
        <v>4869</v>
      </c>
      <c r="G13" s="77" t="s">
        <v>4532</v>
      </c>
      <c r="H13" s="77" t="str">
        <f t="shared" si="0"/>
        <v>avijit.pramanik@ujjivan.com;balaram.seth@ujjivan.com;suvendu.banerjee@ujjivan.com;skjakir.hossain@ujjivan.com;;;</v>
      </c>
    </row>
    <row r="14" spans="1:12" s="77" customFormat="1" x14ac:dyDescent="0.25">
      <c r="A14" s="137" t="s">
        <v>677</v>
      </c>
      <c r="B14" s="75" t="s">
        <v>3425</v>
      </c>
      <c r="C14" s="75" t="s">
        <v>3785</v>
      </c>
      <c r="D14" s="76" t="s">
        <v>2717</v>
      </c>
      <c r="F14" s="77" t="s">
        <v>4535</v>
      </c>
      <c r="G14" s="77" t="s">
        <v>699</v>
      </c>
      <c r="H14" s="77" t="str">
        <f t="shared" si="0"/>
        <v>sanjoy.chakraborty@ujjivan.com;;kunal.ghosh@ujjivan.com;rajdeep.bhaduri@ujjivan.com;;;</v>
      </c>
    </row>
    <row r="15" spans="1:12" s="77" customFormat="1" x14ac:dyDescent="0.25">
      <c r="A15" s="137" t="s">
        <v>600</v>
      </c>
      <c r="B15" s="75"/>
      <c r="C15" s="75"/>
      <c r="D15" s="76"/>
      <c r="H15" s="77" t="str">
        <f t="shared" si="0"/>
        <v>;;;;;;</v>
      </c>
    </row>
    <row r="16" spans="1:12" s="77" customFormat="1" x14ac:dyDescent="0.25">
      <c r="A16" s="137" t="s">
        <v>607</v>
      </c>
      <c r="B16" s="75" t="s">
        <v>3382</v>
      </c>
      <c r="C16" s="75" t="s">
        <v>3786</v>
      </c>
      <c r="D16" s="76" t="s">
        <v>634</v>
      </c>
      <c r="E16" s="77" t="s">
        <v>4053</v>
      </c>
      <c r="F16" s="77" t="s">
        <v>2713</v>
      </c>
      <c r="G16" s="77" t="s">
        <v>610</v>
      </c>
      <c r="H16" s="77" t="str">
        <f t="shared" si="0"/>
        <v>prabir.chowdhury@ujjivan.com;ashim.biswas@ujjivan.com;sounak.saha@ujjivan.com;santanu.dey@ujjivan.com;;;</v>
      </c>
    </row>
    <row r="17" spans="1:8" s="77" customFormat="1" x14ac:dyDescent="0.25">
      <c r="A17" s="137" t="s">
        <v>604</v>
      </c>
      <c r="B17" s="75" t="s">
        <v>3380</v>
      </c>
      <c r="C17" s="75" t="s">
        <v>3787</v>
      </c>
      <c r="D17" s="76" t="s">
        <v>3683</v>
      </c>
      <c r="E17" s="77" t="s">
        <v>4054</v>
      </c>
      <c r="F17" s="77" t="s">
        <v>2713</v>
      </c>
      <c r="G17" s="77" t="s">
        <v>610</v>
      </c>
      <c r="H17" s="77" t="str">
        <f t="shared" si="0"/>
        <v>arijit.das@ujjivan.com;kunal.naskar@ujjivan.com;sounak.saha@ujjivan.com;santanu.dey@ujjivan.com;;;</v>
      </c>
    </row>
    <row r="18" spans="1:8" s="77" customFormat="1" x14ac:dyDescent="0.25">
      <c r="A18" s="137" t="s">
        <v>663</v>
      </c>
      <c r="B18" s="75" t="s">
        <v>3031</v>
      </c>
      <c r="C18" s="75" t="s">
        <v>3788</v>
      </c>
      <c r="D18" s="76" t="s">
        <v>678</v>
      </c>
      <c r="E18" s="77" t="s">
        <v>4851</v>
      </c>
      <c r="F18" s="77" t="s">
        <v>4535</v>
      </c>
      <c r="G18" s="77" t="s">
        <v>699</v>
      </c>
      <c r="H18" s="77" t="str">
        <f t="shared" si="0"/>
        <v>debajyoti.ghosh@ujjivan.com;abhishek.kumar311@ujjivan.com;kunal.ghosh@ujjivan.com;rajdeep.bhaduri@ujjivan.com;;;</v>
      </c>
    </row>
    <row r="19" spans="1:8" s="77" customFormat="1" x14ac:dyDescent="0.25">
      <c r="A19" s="137" t="s">
        <v>611</v>
      </c>
      <c r="B19" s="75" t="s">
        <v>3384</v>
      </c>
      <c r="C19" s="75" t="s">
        <v>3789</v>
      </c>
      <c r="D19" s="76" t="s">
        <v>3684</v>
      </c>
      <c r="E19" s="77" t="s">
        <v>4886</v>
      </c>
      <c r="F19" s="77" t="s">
        <v>2713</v>
      </c>
      <c r="G19" s="77" t="s">
        <v>610</v>
      </c>
      <c r="H19" s="77" t="str">
        <f t="shared" si="0"/>
        <v>ranju.mondal@ujjivan.com;anshita.kashyap@ujjivan.com;sounak.saha@ujjivan.com;santanu.dey@ujjivan.com;;;</v>
      </c>
    </row>
    <row r="20" spans="1:8" s="77" customFormat="1" x14ac:dyDescent="0.25">
      <c r="A20" s="137" t="s">
        <v>615</v>
      </c>
      <c r="B20" s="75" t="s">
        <v>3387</v>
      </c>
      <c r="C20" s="75" t="s">
        <v>3790</v>
      </c>
      <c r="D20" s="76" t="s">
        <v>606</v>
      </c>
      <c r="E20" s="77" t="s">
        <v>4057</v>
      </c>
      <c r="F20" s="77" t="s">
        <v>4529</v>
      </c>
      <c r="G20" s="77" t="s">
        <v>610</v>
      </c>
      <c r="H20" s="77" t="str">
        <f t="shared" si="0"/>
        <v>ujjal.dhar@ujjivan.com;rabin.mandal@ujjivan.com;amit.choubey@ujjivan.com;santanu.dey@ujjivan.com;;;</v>
      </c>
    </row>
    <row r="21" spans="1:8" s="77" customFormat="1" x14ac:dyDescent="0.25">
      <c r="A21" s="137" t="s">
        <v>675</v>
      </c>
      <c r="B21" s="75" t="s">
        <v>3423</v>
      </c>
      <c r="C21" s="75" t="s">
        <v>3791</v>
      </c>
      <c r="D21" s="76" t="s">
        <v>2715</v>
      </c>
      <c r="E21" s="77" t="s">
        <v>4058</v>
      </c>
      <c r="F21" s="77" t="s">
        <v>4535</v>
      </c>
      <c r="G21" s="77" t="s">
        <v>699</v>
      </c>
      <c r="H21" s="77" t="str">
        <f t="shared" si="0"/>
        <v>prasenjit.datta@ujjivan.com;nirmal.ghosh@ujjivan.com;kunal.ghosh@ujjivan.com;rajdeep.bhaduri@ujjivan.com;;;</v>
      </c>
    </row>
    <row r="22" spans="1:8" s="77" customFormat="1" x14ac:dyDescent="0.25">
      <c r="A22" s="138" t="s">
        <v>690</v>
      </c>
      <c r="B22" s="75" t="s">
        <v>3433</v>
      </c>
      <c r="C22" s="75" t="s">
        <v>3792</v>
      </c>
      <c r="D22" s="76" t="s">
        <v>691</v>
      </c>
      <c r="E22" s="77" t="s">
        <v>4059</v>
      </c>
      <c r="F22" s="77" t="s">
        <v>4530</v>
      </c>
      <c r="G22" s="77" t="s">
        <v>699</v>
      </c>
      <c r="H22" s="77" t="str">
        <f t="shared" si="0"/>
        <v>brajadulal.baug@ujjivan.com;satyajit.ghatak@ujjivan.com;nilkamal.manna@ujjivan.com;rajdeep.bhaduri@ujjivan.com;;;</v>
      </c>
    </row>
    <row r="23" spans="1:8" s="77" customFormat="1" x14ac:dyDescent="0.25">
      <c r="A23" s="138" t="s">
        <v>625</v>
      </c>
      <c r="B23" s="75" t="s">
        <v>3396</v>
      </c>
      <c r="C23" s="75" t="s">
        <v>3793</v>
      </c>
      <c r="D23" s="76" t="s">
        <v>3689</v>
      </c>
      <c r="E23" s="77" t="s">
        <v>4060</v>
      </c>
      <c r="F23" s="77" t="s">
        <v>4869</v>
      </c>
      <c r="G23" s="77" t="s">
        <v>610</v>
      </c>
      <c r="H23" s="77" t="str">
        <f t="shared" si="0"/>
        <v>tridib.kr@ujjivan.com;tamijul.islam@ujjivan.com;suvendu.banerjee@ujjivan.com;santanu.dey@ujjivan.com;;;</v>
      </c>
    </row>
    <row r="24" spans="1:8" s="77" customFormat="1" x14ac:dyDescent="0.25">
      <c r="A24" s="137" t="s">
        <v>633</v>
      </c>
      <c r="B24" s="75" t="s">
        <v>3400</v>
      </c>
      <c r="C24" s="75" t="s">
        <v>3794</v>
      </c>
      <c r="D24" s="76" t="s">
        <v>608</v>
      </c>
      <c r="E24" s="77" t="s">
        <v>4452</v>
      </c>
      <c r="F24" s="77" t="s">
        <v>2713</v>
      </c>
      <c r="G24" s="77" t="s">
        <v>610</v>
      </c>
      <c r="H24" s="77" t="str">
        <f t="shared" si="0"/>
        <v>manab.gayen@ujjivan.com;susanta.banerjee@ujjivan.com;sounak.saha@ujjivan.com;santanu.dey@ujjivan.com;;;</v>
      </c>
    </row>
    <row r="25" spans="1:8" s="77" customFormat="1" x14ac:dyDescent="0.25">
      <c r="A25" s="137" t="s">
        <v>612</v>
      </c>
      <c r="B25" s="75" t="s">
        <v>3385</v>
      </c>
      <c r="C25" s="75" t="s">
        <v>3795</v>
      </c>
      <c r="D25" s="76" t="s">
        <v>2718</v>
      </c>
      <c r="E25" s="77" t="s">
        <v>4062</v>
      </c>
      <c r="F25" s="77" t="s">
        <v>4529</v>
      </c>
      <c r="G25" s="77" t="s">
        <v>610</v>
      </c>
      <c r="H25" s="77" t="str">
        <f t="shared" si="0"/>
        <v>sanatan.pal@ujjivan.com;avik.ghosh@ujjivan.com;amit.choubey@ujjivan.com;santanu.dey@ujjivan.com;;;</v>
      </c>
    </row>
    <row r="26" spans="1:8" s="77" customFormat="1" x14ac:dyDescent="0.25">
      <c r="A26" s="137" t="s">
        <v>603</v>
      </c>
      <c r="B26" s="75" t="s">
        <v>3379</v>
      </c>
      <c r="C26" s="75" t="s">
        <v>3796</v>
      </c>
      <c r="D26" s="76" t="s">
        <v>2719</v>
      </c>
      <c r="E26" s="77" t="s">
        <v>4063</v>
      </c>
      <c r="F26" s="77" t="s">
        <v>4529</v>
      </c>
      <c r="G26" s="77" t="s">
        <v>610</v>
      </c>
      <c r="H26" s="77" t="str">
        <f t="shared" si="0"/>
        <v>diptesh.biswas@ujjivan.com;sujit.halder@ujjivan.com;amit.choubey@ujjivan.com;santanu.dey@ujjivan.com;;;</v>
      </c>
    </row>
    <row r="27" spans="1:8" s="77" customFormat="1" x14ac:dyDescent="0.25">
      <c r="A27" s="138" t="s">
        <v>2134</v>
      </c>
      <c r="B27" s="75" t="s">
        <v>3551</v>
      </c>
      <c r="C27" s="75" t="s">
        <v>3797</v>
      </c>
      <c r="D27" s="76" t="s">
        <v>2689</v>
      </c>
      <c r="E27" s="77" t="s">
        <v>4064</v>
      </c>
      <c r="F27" s="77" t="s">
        <v>4869</v>
      </c>
      <c r="G27" s="77" t="s">
        <v>610</v>
      </c>
      <c r="H27" s="77" t="str">
        <f t="shared" si="0"/>
        <v>abhijit.dey@ujjivan.com;abhijit.santra@ujjivan.com;suvendu.banerjee@ujjivan.com;santanu.dey@ujjivan.com;;;</v>
      </c>
    </row>
    <row r="28" spans="1:8" s="77" customFormat="1" x14ac:dyDescent="0.25">
      <c r="A28" s="139" t="s">
        <v>622</v>
      </c>
      <c r="B28" s="75" t="s">
        <v>3393</v>
      </c>
      <c r="C28" s="75" t="s">
        <v>3798</v>
      </c>
      <c r="D28" s="76" t="s">
        <v>4848</v>
      </c>
      <c r="E28" s="77" t="s">
        <v>4065</v>
      </c>
      <c r="F28" s="77" t="s">
        <v>665</v>
      </c>
      <c r="G28" s="77" t="s">
        <v>699</v>
      </c>
      <c r="H28" s="77" t="str">
        <f t="shared" si="0"/>
        <v>pabitra.biswas@ujjivan.com;snehasish.biswas@ujjivan.com;arup.kashyapi@ujjivan.com;rajdeep.bhaduri@ujjivan.com;;;</v>
      </c>
    </row>
    <row r="29" spans="1:8" s="77" customFormat="1" x14ac:dyDescent="0.25">
      <c r="A29" s="139" t="s">
        <v>617</v>
      </c>
      <c r="B29" s="75" t="s">
        <v>3389</v>
      </c>
      <c r="C29" s="75" t="s">
        <v>3799</v>
      </c>
      <c r="D29" s="76" t="s">
        <v>632</v>
      </c>
      <c r="E29" s="77" t="s">
        <v>4066</v>
      </c>
      <c r="F29" s="77" t="s">
        <v>665</v>
      </c>
      <c r="G29" s="77" t="s">
        <v>699</v>
      </c>
      <c r="H29" s="77" t="str">
        <f t="shared" si="0"/>
        <v>bapi.das@ujjivan.com;joydeb.karmakar@ujjivan.com;arup.kashyapi@ujjivan.com;rajdeep.bhaduri@ujjivan.com;;;</v>
      </c>
    </row>
    <row r="30" spans="1:8" s="77" customFormat="1" x14ac:dyDescent="0.25">
      <c r="A30" s="139" t="s">
        <v>620</v>
      </c>
      <c r="B30" s="75" t="s">
        <v>3391</v>
      </c>
      <c r="C30" s="75" t="s">
        <v>3800</v>
      </c>
      <c r="D30" s="76" t="s">
        <v>3686</v>
      </c>
      <c r="E30" s="77" t="s">
        <v>4067</v>
      </c>
      <c r="F30" s="77" t="s">
        <v>665</v>
      </c>
      <c r="G30" s="77" t="s">
        <v>699</v>
      </c>
      <c r="H30" s="77" t="str">
        <f t="shared" si="0"/>
        <v>monodip.das@ujjivan.com;das.utpal@ujjivan.com;arup.kashyapi@ujjivan.com;rajdeep.bhaduri@ujjivan.com;;;</v>
      </c>
    </row>
    <row r="31" spans="1:8" s="77" customFormat="1" x14ac:dyDescent="0.25">
      <c r="A31" s="139" t="s">
        <v>616</v>
      </c>
      <c r="B31" s="75" t="s">
        <v>3388</v>
      </c>
      <c r="C31" s="75" t="s">
        <v>3801</v>
      </c>
      <c r="D31" s="76" t="s">
        <v>2721</v>
      </c>
      <c r="E31" s="77" t="s">
        <v>4068</v>
      </c>
      <c r="F31" s="77" t="s">
        <v>4530</v>
      </c>
      <c r="G31" s="77" t="s">
        <v>699</v>
      </c>
      <c r="H31" s="77" t="str">
        <f t="shared" si="0"/>
        <v>dipankar.lodh@ujjivan.com;bimal.nayak@ujjivan.com;nilkamal.manna@ujjivan.com;rajdeep.bhaduri@ujjivan.com;;;</v>
      </c>
    </row>
    <row r="32" spans="1:8" s="77" customFormat="1" x14ac:dyDescent="0.25">
      <c r="A32" s="139" t="s">
        <v>618</v>
      </c>
      <c r="B32" s="75" t="s">
        <v>3390</v>
      </c>
      <c r="C32" s="75" t="s">
        <v>3802</v>
      </c>
      <c r="D32" s="76" t="s">
        <v>619</v>
      </c>
      <c r="E32" s="77" t="s">
        <v>4847</v>
      </c>
      <c r="F32" s="77" t="s">
        <v>665</v>
      </c>
      <c r="G32" s="77" t="s">
        <v>699</v>
      </c>
      <c r="H32" s="77" t="str">
        <f t="shared" si="0"/>
        <v>rabindranath.sarkar@ujjivan.com;subrat.sarangi@ujjivan.com;arup.kashyapi@ujjivan.com;rajdeep.bhaduri@ujjivan.com;;;</v>
      </c>
    </row>
    <row r="33" spans="1:8" s="77" customFormat="1" x14ac:dyDescent="0.25">
      <c r="A33" s="139" t="s">
        <v>613</v>
      </c>
      <c r="B33" s="75" t="s">
        <v>3386</v>
      </c>
      <c r="C33" s="75" t="s">
        <v>3803</v>
      </c>
      <c r="D33" s="76" t="s">
        <v>614</v>
      </c>
      <c r="E33" s="77" t="s">
        <v>4070</v>
      </c>
      <c r="F33" s="77" t="s">
        <v>2713</v>
      </c>
      <c r="G33" s="77" t="s">
        <v>610</v>
      </c>
      <c r="H33" s="77" t="str">
        <f t="shared" si="0"/>
        <v>sudip.das@ujjivan.com;rajib.bairagi@ujjivan.com;sounak.saha@ujjivan.com;santanu.dey@ujjivan.com;;;</v>
      </c>
    </row>
    <row r="34" spans="1:8" s="77" customFormat="1" x14ac:dyDescent="0.25">
      <c r="A34" s="139" t="s">
        <v>635</v>
      </c>
      <c r="B34" s="75" t="s">
        <v>3401</v>
      </c>
      <c r="C34" s="75" t="s">
        <v>3804</v>
      </c>
      <c r="D34" s="76" t="s">
        <v>3692</v>
      </c>
      <c r="E34" s="77" t="s">
        <v>4453</v>
      </c>
      <c r="F34" s="77" t="s">
        <v>4529</v>
      </c>
      <c r="G34" s="77" t="s">
        <v>610</v>
      </c>
      <c r="H34" s="77" t="str">
        <f t="shared" si="0"/>
        <v>santu.kundu@ujjivan.com;joydev.roy@ujjivan.com;amit.choubey@ujjivan.com;santanu.dey@ujjivan.com;;;</v>
      </c>
    </row>
    <row r="35" spans="1:8" s="77" customFormat="1" x14ac:dyDescent="0.25">
      <c r="A35" s="140" t="s">
        <v>720</v>
      </c>
      <c r="B35" s="75" t="s">
        <v>3453</v>
      </c>
      <c r="C35" s="75" t="s">
        <v>3805</v>
      </c>
      <c r="D35" s="76" t="s">
        <v>741</v>
      </c>
      <c r="E35" s="77" t="s">
        <v>4072</v>
      </c>
      <c r="F35" s="77" t="s">
        <v>2720</v>
      </c>
      <c r="G35" s="77" t="s">
        <v>4557</v>
      </c>
      <c r="H35" s="77" t="str">
        <f t="shared" si="0"/>
        <v>biplab.roy@ujjivan.com;ratan.sarkar@ujjivan.com;sujit.saha@ujjivan.com;mithun.chakraborty@ujjivan.com;;;</v>
      </c>
    </row>
    <row r="36" spans="1:8" s="77" customFormat="1" x14ac:dyDescent="0.25">
      <c r="A36" s="140" t="s">
        <v>708</v>
      </c>
      <c r="B36" s="75" t="s">
        <v>3445</v>
      </c>
      <c r="C36" s="75" t="s">
        <v>3806</v>
      </c>
      <c r="D36" s="76" t="s">
        <v>4073</v>
      </c>
      <c r="E36" s="77" t="s">
        <v>4860</v>
      </c>
      <c r="F36" s="77" t="s">
        <v>664</v>
      </c>
      <c r="G36" s="77" t="s">
        <v>4557</v>
      </c>
      <c r="H36" s="77" t="str">
        <f t="shared" si="0"/>
        <v>nirmalendu.saha@ujjivan.com;surajit.barman@ujjivan.com;subhankar.chakraborty@ujjivan.com;mithun.chakraborty@ujjivan.com;;;</v>
      </c>
    </row>
    <row r="37" spans="1:8" s="77" customFormat="1" x14ac:dyDescent="0.25">
      <c r="A37" s="140" t="s">
        <v>718</v>
      </c>
      <c r="B37" s="75" t="s">
        <v>3452</v>
      </c>
      <c r="C37" s="75" t="s">
        <v>3807</v>
      </c>
      <c r="D37" s="76" t="s">
        <v>3205</v>
      </c>
      <c r="E37" s="77" t="s">
        <v>3206</v>
      </c>
      <c r="F37" s="77" t="s">
        <v>2720</v>
      </c>
      <c r="G37" s="77" t="s">
        <v>4557</v>
      </c>
      <c r="H37" s="77" t="str">
        <f t="shared" si="0"/>
        <v>jyotirmoy.mahanta@ujjivan.com;sahin.basuniya@ujjivan.com;sujit.saha@ujjivan.com;mithun.chakraborty@ujjivan.com;;;</v>
      </c>
    </row>
    <row r="38" spans="1:8" s="77" customFormat="1" x14ac:dyDescent="0.25">
      <c r="A38" s="140" t="s">
        <v>740</v>
      </c>
      <c r="B38" s="75" t="s">
        <v>3469</v>
      </c>
      <c r="C38" s="75" t="s">
        <v>3808</v>
      </c>
      <c r="D38" s="76" t="s">
        <v>3719</v>
      </c>
      <c r="E38" s="77" t="s">
        <v>4074</v>
      </c>
      <c r="F38" s="77" t="s">
        <v>2720</v>
      </c>
      <c r="G38" s="77" t="s">
        <v>4557</v>
      </c>
      <c r="H38" s="77" t="str">
        <f t="shared" si="0"/>
        <v>indrajit.de@ujjivan.com;shankar.jha@ujjivan.com;sujit.saha@ujjivan.com;mithun.chakraborty@ujjivan.com;;;</v>
      </c>
    </row>
    <row r="39" spans="1:8" s="77" customFormat="1" x14ac:dyDescent="0.25">
      <c r="A39" s="140" t="s">
        <v>709</v>
      </c>
      <c r="B39" s="75" t="s">
        <v>3446</v>
      </c>
      <c r="C39" s="75" t="s">
        <v>3809</v>
      </c>
      <c r="D39" s="76" t="s">
        <v>2723</v>
      </c>
      <c r="E39" s="77" t="s">
        <v>4075</v>
      </c>
      <c r="F39" s="77" t="s">
        <v>2720</v>
      </c>
      <c r="G39" s="77" t="s">
        <v>4557</v>
      </c>
      <c r="H39" s="77" t="str">
        <f t="shared" si="0"/>
        <v>mithun.chatterjee@ujjivan.com;chandan.ray@ujjivan.com;sujit.saha@ujjivan.com;mithun.chakraborty@ujjivan.com;;;</v>
      </c>
    </row>
    <row r="40" spans="1:8" s="77" customFormat="1" x14ac:dyDescent="0.25">
      <c r="A40" s="140" t="s">
        <v>710</v>
      </c>
      <c r="B40" s="75" t="s">
        <v>3447</v>
      </c>
      <c r="C40" s="75" t="s">
        <v>3810</v>
      </c>
      <c r="D40" s="76" t="s">
        <v>711</v>
      </c>
      <c r="E40" s="77" t="s">
        <v>4076</v>
      </c>
      <c r="F40" s="77" t="s">
        <v>664</v>
      </c>
      <c r="G40" s="77" t="s">
        <v>4557</v>
      </c>
      <c r="H40" s="77" t="str">
        <f t="shared" si="0"/>
        <v>suvankar.chaudhury@ujjivan.com;prasenjit.laskar@ujjivan.com;subhankar.chakraborty@ujjivan.com;mithun.chakraborty@ujjivan.com;;;</v>
      </c>
    </row>
    <row r="41" spans="1:8" s="77" customFormat="1" x14ac:dyDescent="0.25">
      <c r="A41" s="140" t="s">
        <v>698</v>
      </c>
      <c r="B41" s="75" t="s">
        <v>3438</v>
      </c>
      <c r="C41" s="75" t="s">
        <v>3811</v>
      </c>
      <c r="D41" s="76" t="s">
        <v>2722</v>
      </c>
      <c r="E41" s="77" t="s">
        <v>4859</v>
      </c>
      <c r="F41" s="77" t="s">
        <v>664</v>
      </c>
      <c r="G41" s="77" t="s">
        <v>4557</v>
      </c>
      <c r="H41" s="77" t="str">
        <f t="shared" si="0"/>
        <v>sajid.mondal@ujjivan.com;debashish.sarkar@ujjivan.com;subhankar.chakraborty@ujjivan.com;mithun.chakraborty@ujjivan.com;;;</v>
      </c>
    </row>
    <row r="42" spans="1:8" s="77" customFormat="1" x14ac:dyDescent="0.25">
      <c r="A42" s="140" t="s">
        <v>712</v>
      </c>
      <c r="B42" s="75" t="s">
        <v>3448</v>
      </c>
      <c r="C42" s="75" t="s">
        <v>3812</v>
      </c>
      <c r="D42" s="76" t="s">
        <v>3708</v>
      </c>
      <c r="E42" s="77" t="s">
        <v>4462</v>
      </c>
      <c r="F42" s="77" t="s">
        <v>664</v>
      </c>
      <c r="G42" s="77" t="s">
        <v>4557</v>
      </c>
      <c r="H42" s="77" t="str">
        <f t="shared" si="0"/>
        <v>ramdayal.roy@ujjivan.com;sumankundu@ujjivan.com;subhankar.chakraborty@ujjivan.com;mithun.chakraborty@ujjivan.com;;;</v>
      </c>
    </row>
    <row r="43" spans="1:8" s="77" customFormat="1" x14ac:dyDescent="0.25">
      <c r="A43" s="140" t="s">
        <v>713</v>
      </c>
      <c r="B43" s="75" t="s">
        <v>3449</v>
      </c>
      <c r="C43" s="75" t="s">
        <v>3813</v>
      </c>
      <c r="D43" s="76" t="s">
        <v>4895</v>
      </c>
      <c r="E43" s="77" t="s">
        <v>4896</v>
      </c>
      <c r="F43" s="77" t="s">
        <v>2720</v>
      </c>
      <c r="G43" s="77" t="s">
        <v>4557</v>
      </c>
      <c r="H43" s="77" t="str">
        <f t="shared" si="0"/>
        <v>nantu.paul@ujjivan.com;chetananand.tiwary@ujjivan.com;sujit.saha@ujjivan.com;mithun.chakraborty@ujjivan.com;;;</v>
      </c>
    </row>
    <row r="44" spans="1:8" s="77" customFormat="1" x14ac:dyDescent="0.25">
      <c r="A44" s="140" t="s">
        <v>696</v>
      </c>
      <c r="B44" s="75" t="s">
        <v>3437</v>
      </c>
      <c r="C44" s="75" t="s">
        <v>3814</v>
      </c>
      <c r="D44" s="76" t="s">
        <v>697</v>
      </c>
      <c r="E44" s="77" t="s">
        <v>4858</v>
      </c>
      <c r="F44" s="77" t="s">
        <v>665</v>
      </c>
      <c r="G44" s="77" t="s">
        <v>699</v>
      </c>
      <c r="H44" s="77" t="str">
        <f t="shared" si="0"/>
        <v>arupkumar.samajdar@ujjivan.com;Bholanath Dutta &lt;bholanath.dutta@ujjivan.com&gt;;arup.kashyapi@ujjivan.com;rajdeep.bhaduri@ujjivan.com;;;</v>
      </c>
    </row>
    <row r="45" spans="1:8" s="77" customFormat="1" x14ac:dyDescent="0.25">
      <c r="A45" s="137" t="s">
        <v>738</v>
      </c>
      <c r="B45" s="75" t="s">
        <v>3467</v>
      </c>
      <c r="C45" s="75" t="s">
        <v>3815</v>
      </c>
      <c r="D45" s="76" t="s">
        <v>3718</v>
      </c>
      <c r="E45" s="77" t="s">
        <v>4081</v>
      </c>
      <c r="F45" s="77" t="s">
        <v>4537</v>
      </c>
      <c r="G45" s="77" t="s">
        <v>715</v>
      </c>
      <c r="H45" s="77" t="str">
        <f t="shared" si="0"/>
        <v>nayan.borah@ujjivan.com;papu.kalita@ujjivan.com;himangshu.patgiri@ujjivan.com;indrajit.baishya@ujjivan.com;;;</v>
      </c>
    </row>
    <row r="46" spans="1:8" s="77" customFormat="1" x14ac:dyDescent="0.25">
      <c r="A46" s="137" t="s">
        <v>766</v>
      </c>
      <c r="B46" s="75" t="s">
        <v>3487</v>
      </c>
      <c r="C46" s="75" t="s">
        <v>3816</v>
      </c>
      <c r="D46" s="76" t="s">
        <v>2725</v>
      </c>
      <c r="E46" s="77" t="s">
        <v>4406</v>
      </c>
      <c r="F46" s="77" t="s">
        <v>4537</v>
      </c>
      <c r="G46" s="77" t="s">
        <v>715</v>
      </c>
      <c r="H46" s="77" t="str">
        <f t="shared" si="0"/>
        <v>naba.mazumdar@ujjivan.com;jatin.deka@ujjivan.com;himangshu.patgiri@ujjivan.com;indrajit.baishya@ujjivan.com;;;</v>
      </c>
    </row>
    <row r="47" spans="1:8" s="77" customFormat="1" x14ac:dyDescent="0.25">
      <c r="A47" s="137" t="s">
        <v>733</v>
      </c>
      <c r="B47" s="75" t="s">
        <v>3463</v>
      </c>
      <c r="C47" s="75" t="s">
        <v>3817</v>
      </c>
      <c r="D47" s="76" t="s">
        <v>4084</v>
      </c>
      <c r="E47" s="77" t="s">
        <v>4468</v>
      </c>
      <c r="F47" s="77" t="s">
        <v>4822</v>
      </c>
      <c r="G47" s="77" t="s">
        <v>715</v>
      </c>
      <c r="H47" s="77" t="str">
        <f t="shared" si="0"/>
        <v>tarique.aziz@ujjivan.com;sunil.mazumdar@ujjivan.com;kedar.chetry@ujjivan.com;indrajit.baishya@ujjivan.com;;;</v>
      </c>
    </row>
    <row r="48" spans="1:8" s="77" customFormat="1" x14ac:dyDescent="0.25">
      <c r="A48" s="137" t="s">
        <v>1011</v>
      </c>
      <c r="B48" s="75" t="s">
        <v>2959</v>
      </c>
      <c r="C48" s="75" t="s">
        <v>3818</v>
      </c>
      <c r="D48" s="76" t="s">
        <v>2958</v>
      </c>
      <c r="E48" s="77" t="s">
        <v>4082</v>
      </c>
      <c r="F48" s="77" t="s">
        <v>4822</v>
      </c>
      <c r="G48" s="77" t="s">
        <v>715</v>
      </c>
      <c r="H48" s="77" t="str">
        <f t="shared" si="0"/>
        <v>sanjib.sarkar@ujjivan.com;mustafa.hussain@ujjivan.com;kedar.chetry@ujjivan.com;indrajit.baishya@ujjivan.com;;;</v>
      </c>
    </row>
    <row r="49" spans="1:8" s="77" customFormat="1" x14ac:dyDescent="0.25">
      <c r="A49" s="137" t="s">
        <v>714</v>
      </c>
      <c r="B49" s="75" t="s">
        <v>3450</v>
      </c>
      <c r="C49" s="75" t="s">
        <v>3819</v>
      </c>
      <c r="D49" s="76" t="s">
        <v>4405</v>
      </c>
      <c r="E49" s="77" t="s">
        <v>4823</v>
      </c>
      <c r="F49" s="77" t="s">
        <v>4537</v>
      </c>
      <c r="G49" s="77" t="s">
        <v>715</v>
      </c>
      <c r="H49" s="77" t="str">
        <f t="shared" si="0"/>
        <v>indrajit.deka@ujjivan.com;bishal.bhattacharjee@ujjivan.com;himangshu.patgiri@ujjivan.com;indrajit.baishya@ujjivan.com;;;</v>
      </c>
    </row>
    <row r="50" spans="1:8" s="77" customFormat="1" x14ac:dyDescent="0.25">
      <c r="A50" s="137" t="s">
        <v>731</v>
      </c>
      <c r="B50" s="75" t="s">
        <v>3462</v>
      </c>
      <c r="C50" s="75" t="s">
        <v>3820</v>
      </c>
      <c r="D50" s="76" t="s">
        <v>3713</v>
      </c>
      <c r="F50" s="77" t="s">
        <v>4822</v>
      </c>
      <c r="G50" s="77" t="s">
        <v>715</v>
      </c>
      <c r="H50" s="77" t="str">
        <f t="shared" si="0"/>
        <v>sourav.chakraborty@ujjivan.com;;kedar.chetry@ujjivan.com;indrajit.baishya@ujjivan.com;;;</v>
      </c>
    </row>
    <row r="51" spans="1:8" s="77" customFormat="1" x14ac:dyDescent="0.25">
      <c r="A51" s="137" t="s">
        <v>716</v>
      </c>
      <c r="B51" s="75" t="s">
        <v>3451</v>
      </c>
      <c r="C51" s="75" t="s">
        <v>3821</v>
      </c>
      <c r="D51" s="76" t="s">
        <v>4824</v>
      </c>
      <c r="E51" s="77" t="s">
        <v>4463</v>
      </c>
      <c r="F51" s="77" t="s">
        <v>4822</v>
      </c>
      <c r="G51" s="77" t="s">
        <v>715</v>
      </c>
      <c r="H51" s="77" t="str">
        <f t="shared" si="0"/>
        <v>koushik.kalita@ujjivan.com;mojjamil.hoque@ujjivan.com;kedar.chetry@ujjivan.com;indrajit.baishya@ujjivan.com;;;</v>
      </c>
    </row>
    <row r="52" spans="1:8" s="77" customFormat="1" x14ac:dyDescent="0.25">
      <c r="A52" s="137" t="s">
        <v>717</v>
      </c>
      <c r="B52" s="75"/>
      <c r="C52" s="75"/>
      <c r="D52" s="76"/>
      <c r="H52" s="77" t="str">
        <f t="shared" si="0"/>
        <v>;;;;;;</v>
      </c>
    </row>
    <row r="53" spans="1:8" s="77" customFormat="1" x14ac:dyDescent="0.25">
      <c r="A53" s="137" t="s">
        <v>763</v>
      </c>
      <c r="B53" s="75" t="s">
        <v>3485</v>
      </c>
      <c r="C53" s="75" t="s">
        <v>3822</v>
      </c>
      <c r="D53" s="76"/>
      <c r="E53" s="77" t="s">
        <v>4474</v>
      </c>
      <c r="F53" s="77" t="s">
        <v>3199</v>
      </c>
      <c r="G53" s="77" t="s">
        <v>715</v>
      </c>
      <c r="H53" s="77" t="str">
        <f t="shared" si="0"/>
        <v>;hirak.gogoi@ujjivan.com;suman.chakraborty@ujjivan.com;indrajit.baishya@ujjivan.com;;;</v>
      </c>
    </row>
    <row r="54" spans="1:8" s="77" customFormat="1" x14ac:dyDescent="0.25">
      <c r="A54" s="137" t="s">
        <v>764</v>
      </c>
      <c r="B54" s="75" t="s">
        <v>3486</v>
      </c>
      <c r="C54" s="75" t="s">
        <v>3823</v>
      </c>
      <c r="D54" s="76" t="s">
        <v>734</v>
      </c>
      <c r="E54" s="77" t="s">
        <v>4835</v>
      </c>
      <c r="F54" s="77" t="s">
        <v>4537</v>
      </c>
      <c r="G54" s="77" t="s">
        <v>715</v>
      </c>
      <c r="H54" s="77" t="str">
        <f t="shared" si="0"/>
        <v>champak.talukdar@ujjivan.com;kishor.mahanta@ujjivan.com;himangshu.patgiri@ujjivan.com;indrajit.baishya@ujjivan.com;;;</v>
      </c>
    </row>
    <row r="55" spans="1:8" s="77" customFormat="1" x14ac:dyDescent="0.25">
      <c r="A55" s="137" t="s">
        <v>721</v>
      </c>
      <c r="B55" s="75" t="s">
        <v>3454</v>
      </c>
      <c r="C55" s="75" t="s">
        <v>3824</v>
      </c>
      <c r="D55" s="76" t="s">
        <v>3710</v>
      </c>
      <c r="F55" s="77" t="s">
        <v>4822</v>
      </c>
      <c r="G55" s="77" t="s">
        <v>715</v>
      </c>
      <c r="H55" s="77" t="str">
        <f t="shared" si="0"/>
        <v>santa.chettri@ujjivan.com;;kedar.chetry@ujjivan.com;indrajit.baishya@ujjivan.com;;;</v>
      </c>
    </row>
    <row r="56" spans="1:8" s="77" customFormat="1" x14ac:dyDescent="0.25">
      <c r="A56" s="137" t="s">
        <v>739</v>
      </c>
      <c r="B56" s="75" t="s">
        <v>3468</v>
      </c>
      <c r="C56" s="75" t="s">
        <v>3825</v>
      </c>
      <c r="D56" s="76" t="s">
        <v>4828</v>
      </c>
      <c r="E56" s="77" t="s">
        <v>4087</v>
      </c>
      <c r="F56" s="77" t="s">
        <v>4537</v>
      </c>
      <c r="G56" s="77" t="s">
        <v>715</v>
      </c>
      <c r="H56" s="77" t="str">
        <f t="shared" si="0"/>
        <v>bibhuti.borah@ujjivan.com;gopal.pradhan@ujjivan.com;himangshu.patgiri@ujjivan.com;indrajit.baishya@ujjivan.com;;;</v>
      </c>
    </row>
    <row r="57" spans="1:8" s="77" customFormat="1" x14ac:dyDescent="0.25">
      <c r="A57" s="137" t="s">
        <v>762</v>
      </c>
      <c r="B57" s="75" t="s">
        <v>3484</v>
      </c>
      <c r="C57" s="75" t="s">
        <v>3826</v>
      </c>
      <c r="D57" s="76" t="s">
        <v>4831</v>
      </c>
      <c r="E57" s="77" t="s">
        <v>4473</v>
      </c>
      <c r="F57" s="77" t="s">
        <v>3199</v>
      </c>
      <c r="G57" s="77" t="s">
        <v>715</v>
      </c>
      <c r="H57" s="77" t="str">
        <f t="shared" si="0"/>
        <v>pritam.brahma@ujjivan.com;krishna.boro@ujjivan.com;suman.chakraborty@ujjivan.com;indrajit.baishya@ujjivan.com;;;</v>
      </c>
    </row>
    <row r="58" spans="1:8" s="77" customFormat="1" x14ac:dyDescent="0.25">
      <c r="A58" s="137" t="s">
        <v>1012</v>
      </c>
      <c r="B58" s="75" t="s">
        <v>3488</v>
      </c>
      <c r="C58" s="75" t="s">
        <v>3827</v>
      </c>
      <c r="D58" s="76" t="s">
        <v>3726</v>
      </c>
      <c r="E58" s="77" t="s">
        <v>4837</v>
      </c>
      <c r="F58" s="77" t="s">
        <v>3199</v>
      </c>
      <c r="G58" s="77" t="s">
        <v>715</v>
      </c>
      <c r="H58" s="77" t="str">
        <f t="shared" si="0"/>
        <v>hiren.das@ujjivan.com;rituparna.hazarika@ujjivan.com;suman.chakraborty@ujjivan.com;indrajit.baishya@ujjivan.com;;;</v>
      </c>
    </row>
    <row r="59" spans="1:8" s="77" customFormat="1" x14ac:dyDescent="0.25">
      <c r="A59" s="137" t="s">
        <v>1015</v>
      </c>
      <c r="B59" s="75" t="s">
        <v>3489</v>
      </c>
      <c r="C59" s="75" t="s">
        <v>3828</v>
      </c>
      <c r="D59" s="76" t="s">
        <v>4838</v>
      </c>
      <c r="E59" s="77" t="s">
        <v>4839</v>
      </c>
      <c r="F59" s="77" t="s">
        <v>3199</v>
      </c>
      <c r="G59" s="77" t="s">
        <v>715</v>
      </c>
      <c r="H59" s="77" t="str">
        <f t="shared" si="0"/>
        <v>niraj.hazarika@ujjivan.com;sumitro.nath@ujjivan.com;suman.chakraborty@ujjivan.com;indrajit.baishya@ujjivan.com;;;</v>
      </c>
    </row>
    <row r="60" spans="1:8" s="77" customFormat="1" x14ac:dyDescent="0.25">
      <c r="A60" s="137" t="s">
        <v>1016</v>
      </c>
      <c r="B60" s="75" t="s">
        <v>3490</v>
      </c>
      <c r="C60" s="75" t="s">
        <v>3829</v>
      </c>
      <c r="D60" s="76" t="s">
        <v>4840</v>
      </c>
      <c r="E60" s="77" t="s">
        <v>4841</v>
      </c>
      <c r="F60" s="77" t="s">
        <v>3199</v>
      </c>
      <c r="G60" s="77" t="s">
        <v>715</v>
      </c>
      <c r="H60" s="77" t="str">
        <f t="shared" si="0"/>
        <v>bharat.handique@ujjivan.com;pritom.parashar@ujjivan.com;suman.chakraborty@ujjivan.com;indrajit.baishya@ujjivan.com;;;</v>
      </c>
    </row>
    <row r="61" spans="1:8" s="77" customFormat="1" x14ac:dyDescent="0.25">
      <c r="A61" s="137" t="s">
        <v>1017</v>
      </c>
      <c r="B61" s="75" t="s">
        <v>3491</v>
      </c>
      <c r="C61" s="75" t="s">
        <v>3038</v>
      </c>
      <c r="D61" s="76" t="s">
        <v>4843</v>
      </c>
      <c r="E61" s="77" t="s">
        <v>4475</v>
      </c>
      <c r="F61" s="77" t="s">
        <v>3199</v>
      </c>
      <c r="G61" s="77" t="s">
        <v>715</v>
      </c>
      <c r="H61" s="77" t="str">
        <f t="shared" si="0"/>
        <v>manash.bora@ujjivan.com;parikhit.hazarika@ujjivan.com;suman.chakraborty@ujjivan.com;indrajit.baishya@ujjivan.com;;;</v>
      </c>
    </row>
    <row r="62" spans="1:8" s="77" customFormat="1" x14ac:dyDescent="0.25">
      <c r="A62" s="137" t="s">
        <v>1021</v>
      </c>
      <c r="B62" s="75" t="s">
        <v>3492</v>
      </c>
      <c r="C62" s="75" t="s">
        <v>3830</v>
      </c>
      <c r="D62" s="76"/>
      <c r="E62" s="77" t="s">
        <v>4476</v>
      </c>
      <c r="F62" s="77" t="s">
        <v>3199</v>
      </c>
      <c r="G62" s="77" t="s">
        <v>715</v>
      </c>
      <c r="H62" s="77" t="str">
        <f t="shared" si="0"/>
        <v>;bedabrat.gogoi@ujjivan.com;suman.chakraborty@ujjivan.com;indrajit.baishya@ujjivan.com;;;</v>
      </c>
    </row>
    <row r="63" spans="1:8" s="77" customFormat="1" x14ac:dyDescent="0.25">
      <c r="A63" s="137" t="s">
        <v>1019</v>
      </c>
      <c r="B63" s="75" t="s">
        <v>3493</v>
      </c>
      <c r="C63" s="75" t="s">
        <v>3831</v>
      </c>
      <c r="D63" s="76" t="s">
        <v>4844</v>
      </c>
      <c r="E63" s="77" t="s">
        <v>4845</v>
      </c>
      <c r="F63" s="77" t="s">
        <v>4537</v>
      </c>
      <c r="G63" s="77" t="s">
        <v>715</v>
      </c>
      <c r="H63" s="77" t="str">
        <f t="shared" si="0"/>
        <v>gunamani.baishya@ujjivan.com;biplab.talukdar@ujjivan.com;himangshu.patgiri@ujjivan.com;indrajit.baishya@ujjivan.com;;;</v>
      </c>
    </row>
    <row r="64" spans="1:8" s="77" customFormat="1" x14ac:dyDescent="0.25">
      <c r="A64" s="141" t="s">
        <v>656</v>
      </c>
      <c r="B64" s="75" t="s">
        <v>3414</v>
      </c>
      <c r="C64" s="75" t="s">
        <v>3832</v>
      </c>
      <c r="D64" s="76" t="s">
        <v>4101</v>
      </c>
      <c r="E64" s="77" t="s">
        <v>4451</v>
      </c>
      <c r="F64" s="77" t="s">
        <v>4531</v>
      </c>
      <c r="G64" s="77" t="s">
        <v>643</v>
      </c>
      <c r="H64" s="77" t="str">
        <f t="shared" si="0"/>
        <v>anand.pathak@ujjivan.com;mantu.kumar@ujjivan.com;bholanath.khawas@ujjivan.com;ashish.das@ujjivan.com;;;</v>
      </c>
    </row>
    <row r="65" spans="1:8" s="77" customFormat="1" x14ac:dyDescent="0.25">
      <c r="A65" s="141" t="s">
        <v>679</v>
      </c>
      <c r="B65" s="75" t="s">
        <v>3426</v>
      </c>
      <c r="C65" s="75" t="s">
        <v>3833</v>
      </c>
      <c r="D65" s="76" t="s">
        <v>3698</v>
      </c>
      <c r="E65" s="77" t="s">
        <v>4854</v>
      </c>
      <c r="F65" s="77" t="s">
        <v>4535</v>
      </c>
      <c r="G65" s="77" t="s">
        <v>699</v>
      </c>
      <c r="H65" s="77" t="str">
        <f t="shared" si="0"/>
        <v>abhijit.saha@ujjivan.com;anamika.raj@ujjivan.com;kunal.ghosh@ujjivan.com;rajdeep.bhaduri@ujjivan.com;;;</v>
      </c>
    </row>
    <row r="66" spans="1:8" s="77" customFormat="1" x14ac:dyDescent="0.25">
      <c r="A66" s="141" t="s">
        <v>627</v>
      </c>
      <c r="B66" s="75" t="s">
        <v>3397</v>
      </c>
      <c r="C66" s="75" t="s">
        <v>3834</v>
      </c>
      <c r="D66" s="76" t="s">
        <v>3690</v>
      </c>
      <c r="E66" s="77" t="s">
        <v>4090</v>
      </c>
      <c r="F66" s="77" t="s">
        <v>4531</v>
      </c>
      <c r="G66" s="77" t="s">
        <v>643</v>
      </c>
      <c r="H66" s="77" t="str">
        <f t="shared" si="0"/>
        <v>mangalampalli.srinivas@ujjivan.com;sumitra.sahu@ujjivan.com;bholanath.khawas@ujjivan.com;ashish.das@ujjivan.com;;;</v>
      </c>
    </row>
    <row r="67" spans="1:8" s="77" customFormat="1" x14ac:dyDescent="0.25">
      <c r="A67" s="141" t="s">
        <v>670</v>
      </c>
      <c r="B67" s="75" t="s">
        <v>4400</v>
      </c>
      <c r="C67" s="75" t="s">
        <v>4399</v>
      </c>
      <c r="D67" s="76" t="s">
        <v>4398</v>
      </c>
      <c r="E67" s="77" t="s">
        <v>4889</v>
      </c>
      <c r="F67" s="77" t="s">
        <v>640</v>
      </c>
      <c r="G67" s="77" t="s">
        <v>2788</v>
      </c>
      <c r="H67" s="77" t="str">
        <f t="shared" ref="H67:H130" si="1">CONCATENATE(D67,";",E67,";",F67,";",G67,";",J67,";",K67,";")</f>
        <v>kumar.abinash@ujjivan.com;ccr.dhanbad@ujjivan.com;kishor.kaushal@ujjivan.com;amit.kumar@ujjivan.com;;;</v>
      </c>
    </row>
    <row r="68" spans="1:8" s="77" customFormat="1" x14ac:dyDescent="0.25">
      <c r="A68" s="141" t="s">
        <v>705</v>
      </c>
      <c r="B68" s="75" t="s">
        <v>3443</v>
      </c>
      <c r="C68" s="75" t="s">
        <v>3835</v>
      </c>
      <c r="D68" s="76" t="s">
        <v>4091</v>
      </c>
      <c r="E68" s="77" t="s">
        <v>4092</v>
      </c>
      <c r="F68" s="77" t="s">
        <v>640</v>
      </c>
      <c r="G68" s="77" t="s">
        <v>2788</v>
      </c>
      <c r="H68" s="77" t="str">
        <f t="shared" si="1"/>
        <v>deepak.kumar@ujjivan.com;mukesh.kr@ujjivan.com;kishor.kaushal@ujjivan.com;amit.kumar@ujjivan.com;;;</v>
      </c>
    </row>
    <row r="69" spans="1:8" s="77" customFormat="1" x14ac:dyDescent="0.25">
      <c r="A69" s="141" t="s">
        <v>638</v>
      </c>
      <c r="B69" s="75" t="s">
        <v>3403</v>
      </c>
      <c r="C69" s="75" t="s">
        <v>3836</v>
      </c>
      <c r="D69" s="76" t="s">
        <v>639</v>
      </c>
      <c r="E69" s="77" t="s">
        <v>4093</v>
      </c>
      <c r="F69" s="77" t="s">
        <v>640</v>
      </c>
      <c r="G69" s="77" t="s">
        <v>2788</v>
      </c>
      <c r="H69" s="77" t="str">
        <f t="shared" si="1"/>
        <v>nagina.kumar@ujjivan.com;chandan.mahato@ujjivan.com;kishor.kaushal@ujjivan.com;amit.kumar@ujjivan.com;;;</v>
      </c>
    </row>
    <row r="70" spans="1:8" s="77" customFormat="1" x14ac:dyDescent="0.25">
      <c r="A70" s="141" t="s">
        <v>660</v>
      </c>
      <c r="B70" s="75" t="s">
        <v>3416</v>
      </c>
      <c r="C70" s="75" t="s">
        <v>3837</v>
      </c>
      <c r="D70" s="76" t="s">
        <v>661</v>
      </c>
      <c r="F70" s="77" t="s">
        <v>4531</v>
      </c>
      <c r="H70" s="77" t="str">
        <f t="shared" si="1"/>
        <v>ashokkumar.gupta@ujjivan.com;;bholanath.khawas@ujjivan.com;;;;</v>
      </c>
    </row>
    <row r="71" spans="1:8" s="77" customFormat="1" x14ac:dyDescent="0.25">
      <c r="A71" s="141" t="s">
        <v>652</v>
      </c>
      <c r="B71" s="75" t="s">
        <v>3411</v>
      </c>
      <c r="C71" s="75" t="s">
        <v>3838</v>
      </c>
      <c r="D71" s="76" t="s">
        <v>653</v>
      </c>
      <c r="E71" s="77" t="s">
        <v>4455</v>
      </c>
      <c r="F71" s="77" t="s">
        <v>640</v>
      </c>
      <c r="G71" s="77" t="s">
        <v>2788</v>
      </c>
      <c r="H71" s="77" t="str">
        <f t="shared" si="1"/>
        <v>ashish.mandal@ujjivan.com;satish.kumar@ujjivan.com;kishor.kaushal@ujjivan.com;amit.kumar@ujjivan.com;;;</v>
      </c>
    </row>
    <row r="72" spans="1:8" s="77" customFormat="1" x14ac:dyDescent="0.25">
      <c r="A72" s="141" t="s">
        <v>673</v>
      </c>
      <c r="B72" s="75" t="s">
        <v>3421</v>
      </c>
      <c r="C72" s="75" t="s">
        <v>3839</v>
      </c>
      <c r="D72" s="76" t="s">
        <v>3697</v>
      </c>
      <c r="E72" s="77" t="s">
        <v>4457</v>
      </c>
      <c r="F72" s="77" t="s">
        <v>4531</v>
      </c>
      <c r="G72" s="77" t="s">
        <v>643</v>
      </c>
      <c r="H72" s="77" t="str">
        <f t="shared" si="1"/>
        <v>pradeep.tiwari@ujjivan.com;surendra.kumar@ujjivan.com;bholanath.khawas@ujjivan.com;ashish.das@ujjivan.com;;;</v>
      </c>
    </row>
    <row r="73" spans="1:8" s="77" customFormat="1" x14ac:dyDescent="0.25">
      <c r="A73" s="141" t="s">
        <v>671</v>
      </c>
      <c r="B73" s="75" t="s">
        <v>3420</v>
      </c>
      <c r="C73" s="75" t="s">
        <v>3840</v>
      </c>
      <c r="D73" s="76" t="s">
        <v>672</v>
      </c>
      <c r="F73" s="77" t="s">
        <v>640</v>
      </c>
      <c r="G73" s="77" t="s">
        <v>2788</v>
      </c>
      <c r="H73" s="77" t="str">
        <f t="shared" si="1"/>
        <v>chandidas.madhukar@ujjivan.com;;kishor.kaushal@ujjivan.com;amit.kumar@ujjivan.com;;;</v>
      </c>
    </row>
    <row r="74" spans="1:8" s="77" customFormat="1" x14ac:dyDescent="0.25">
      <c r="A74" s="141" t="s">
        <v>641</v>
      </c>
      <c r="B74" s="75" t="s">
        <v>3404</v>
      </c>
      <c r="C74" s="75" t="s">
        <v>3841</v>
      </c>
      <c r="D74" s="76" t="s">
        <v>2729</v>
      </c>
      <c r="E74" s="77" t="s">
        <v>4097</v>
      </c>
      <c r="F74" s="77" t="s">
        <v>640</v>
      </c>
      <c r="G74" s="77" t="s">
        <v>2788</v>
      </c>
      <c r="H74" s="77" t="str">
        <f t="shared" si="1"/>
        <v>manish.kr@ujjivan.com;r.kumar@ujjivan.com;kishor.kaushal@ujjivan.com;amit.kumar@ujjivan.com;;;</v>
      </c>
    </row>
    <row r="75" spans="1:8" s="77" customFormat="1" x14ac:dyDescent="0.25">
      <c r="A75" s="141" t="s">
        <v>651</v>
      </c>
      <c r="B75" s="75" t="s">
        <v>3410</v>
      </c>
      <c r="C75" s="75" t="s">
        <v>3842</v>
      </c>
      <c r="D75" s="76" t="s">
        <v>3695</v>
      </c>
      <c r="E75" s="77" t="s">
        <v>4098</v>
      </c>
      <c r="F75" s="77" t="s">
        <v>4531</v>
      </c>
      <c r="G75" s="77" t="s">
        <v>643</v>
      </c>
      <c r="H75" s="77" t="str">
        <f t="shared" si="1"/>
        <v>kumar.sonu@ujjivan.com;laxmikant.roy@ujjivan.com;bholanath.khawas@ujjivan.com;ashish.das@ujjivan.com;;;</v>
      </c>
    </row>
    <row r="76" spans="1:8" s="77" customFormat="1" x14ac:dyDescent="0.25">
      <c r="A76" s="141" t="s">
        <v>692</v>
      </c>
      <c r="B76" s="75" t="s">
        <v>3434</v>
      </c>
      <c r="C76" s="75" t="s">
        <v>3843</v>
      </c>
      <c r="D76" s="76" t="s">
        <v>2727</v>
      </c>
      <c r="E76" s="77" t="s">
        <v>4099</v>
      </c>
      <c r="F76" s="77" t="s">
        <v>4535</v>
      </c>
      <c r="G76" s="77" t="s">
        <v>699</v>
      </c>
      <c r="H76" s="77" t="str">
        <f t="shared" si="1"/>
        <v>sk.mohiuddin@ujjivan.com;sujan.chakraborty@ujjivan.com;kunal.ghosh@ujjivan.com;rajdeep.bhaduri@ujjivan.com;;;</v>
      </c>
    </row>
    <row r="77" spans="1:8" s="77" customFormat="1" x14ac:dyDescent="0.25">
      <c r="A77" s="141" t="s">
        <v>629</v>
      </c>
      <c r="B77" s="75"/>
      <c r="C77" s="75"/>
      <c r="D77" s="76"/>
      <c r="H77" s="77" t="str">
        <f t="shared" si="1"/>
        <v>;;;;;;</v>
      </c>
    </row>
    <row r="78" spans="1:8" s="77" customFormat="1" x14ac:dyDescent="0.25">
      <c r="A78" s="141" t="s">
        <v>630</v>
      </c>
      <c r="B78" s="75" t="s">
        <v>3398</v>
      </c>
      <c r="C78" s="75" t="s">
        <v>3844</v>
      </c>
      <c r="D78" s="76" t="s">
        <v>1018</v>
      </c>
      <c r="E78" s="77" t="s">
        <v>4088</v>
      </c>
      <c r="F78" s="77" t="s">
        <v>4531</v>
      </c>
      <c r="G78" s="77" t="s">
        <v>643</v>
      </c>
      <c r="H78" s="77" t="str">
        <f t="shared" si="1"/>
        <v>kumar.manoj@ujjivan.com;rakesh.singh@ujjivan.com;bholanath.khawas@ujjivan.com;ashish.das@ujjivan.com;;;</v>
      </c>
    </row>
    <row r="79" spans="1:8" s="77" customFormat="1" x14ac:dyDescent="0.25">
      <c r="A79" s="141" t="s">
        <v>674</v>
      </c>
      <c r="B79" s="75" t="s">
        <v>3422</v>
      </c>
      <c r="C79" s="75" t="s">
        <v>3845</v>
      </c>
      <c r="D79" s="76" t="s">
        <v>2728</v>
      </c>
      <c r="F79" s="77" t="s">
        <v>4535</v>
      </c>
      <c r="H79" s="77" t="str">
        <f t="shared" si="1"/>
        <v>dinabandhu.saha@ujjivan.com;;kunal.ghosh@ujjivan.com;;;;</v>
      </c>
    </row>
    <row r="80" spans="1:8" s="77" customFormat="1" x14ac:dyDescent="0.25">
      <c r="A80" s="141" t="s">
        <v>648</v>
      </c>
      <c r="B80" s="75" t="s">
        <v>3408</v>
      </c>
      <c r="C80" s="75" t="s">
        <v>3846</v>
      </c>
      <c r="D80" s="76" t="s">
        <v>4815</v>
      </c>
      <c r="E80" s="77" t="s">
        <v>4816</v>
      </c>
      <c r="F80" s="77" t="s">
        <v>4531</v>
      </c>
      <c r="G80" s="77" t="s">
        <v>643</v>
      </c>
      <c r="H80" s="77" t="str">
        <f t="shared" si="1"/>
        <v>lovelysaxena@ujjivan.com;amitkumar.18343@ujjivan.com;bholanath.khawas@ujjivan.com;ashish.das@ujjivan.com;;;</v>
      </c>
    </row>
    <row r="81" spans="1:8" s="77" customFormat="1" x14ac:dyDescent="0.25">
      <c r="A81" s="141" t="s">
        <v>689</v>
      </c>
      <c r="B81" s="75"/>
      <c r="C81" s="75"/>
      <c r="D81" s="76" t="s">
        <v>4892</v>
      </c>
      <c r="E81" s="77" t="s">
        <v>4102</v>
      </c>
      <c r="F81" s="77" t="s">
        <v>640</v>
      </c>
      <c r="G81" s="77" t="s">
        <v>2788</v>
      </c>
      <c r="H81" s="77" t="str">
        <f t="shared" si="1"/>
        <v>sandeep.singh@ujjivan.com;bharat.shaw@ujjivan.com;kishor.kaushal@ujjivan.com;amit.kumar@ujjivan.com;;;</v>
      </c>
    </row>
    <row r="82" spans="1:8" s="77" customFormat="1" x14ac:dyDescent="0.25">
      <c r="A82" s="142" t="s">
        <v>707</v>
      </c>
      <c r="B82" s="75" t="s">
        <v>3444</v>
      </c>
      <c r="C82" s="75" t="s">
        <v>3847</v>
      </c>
      <c r="D82" s="76" t="s">
        <v>2731</v>
      </c>
      <c r="E82" s="77" t="s">
        <v>4103</v>
      </c>
      <c r="F82" s="77" t="s">
        <v>4536</v>
      </c>
      <c r="G82" s="77" t="s">
        <v>643</v>
      </c>
      <c r="H82" s="77" t="str">
        <f t="shared" si="1"/>
        <v>abhilash.joshi@ujjivan.com;narayan.mishra@ujjivan.com;sushanta.pujari@ujjivan.com;ashish.das@ujjivan.com;;;</v>
      </c>
    </row>
    <row r="83" spans="1:8" s="77" customFormat="1" x14ac:dyDescent="0.25">
      <c r="A83" s="142" t="s">
        <v>646</v>
      </c>
      <c r="B83" s="75"/>
      <c r="C83" s="75"/>
      <c r="D83" s="76" t="s">
        <v>4812</v>
      </c>
      <c r="E83" s="77" t="s">
        <v>4813</v>
      </c>
      <c r="F83" s="77" t="s">
        <v>4533</v>
      </c>
      <c r="G83" s="77" t="s">
        <v>643</v>
      </c>
      <c r="H83" s="77" t="str">
        <f t="shared" si="1"/>
        <v>manoj.mohapatra@ujjivan.com;sneha.jaiswal@ujjivan.com;sanjit.moharana@ujjivan.com;ashish.das@ujjivan.com;;;</v>
      </c>
    </row>
    <row r="84" spans="1:8" s="77" customFormat="1" x14ac:dyDescent="0.25">
      <c r="A84" s="142" t="s">
        <v>1010</v>
      </c>
      <c r="B84" s="75" t="s">
        <v>3455</v>
      </c>
      <c r="C84" s="75" t="s">
        <v>3848</v>
      </c>
      <c r="D84" s="76" t="s">
        <v>3711</v>
      </c>
      <c r="E84" s="77" t="s">
        <v>4465</v>
      </c>
      <c r="F84" s="77" t="s">
        <v>4536</v>
      </c>
      <c r="G84" s="77" t="s">
        <v>643</v>
      </c>
      <c r="H84" s="77" t="str">
        <f t="shared" si="1"/>
        <v>khan.sazid@ujjivan.com;lambodara.bhoi@ujjivan.com;sushanta.pujari@ujjivan.com;ashish.das@ujjivan.com;;;</v>
      </c>
    </row>
    <row r="85" spans="1:8" s="77" customFormat="1" x14ac:dyDescent="0.25">
      <c r="A85" s="142" t="s">
        <v>642</v>
      </c>
      <c r="B85" s="75" t="s">
        <v>3405</v>
      </c>
      <c r="C85" s="75" t="s">
        <v>3849</v>
      </c>
      <c r="D85" s="76" t="s">
        <v>4808</v>
      </c>
      <c r="E85" s="77" t="s">
        <v>4809</v>
      </c>
      <c r="F85" s="77" t="s">
        <v>4533</v>
      </c>
      <c r="G85" s="77" t="s">
        <v>643</v>
      </c>
      <c r="H85" s="77" t="str">
        <f t="shared" si="1"/>
        <v>durga.mohanty@ujjivan.com;manas.lenka@ujjivan.com;sanjit.moharana@ujjivan.com;ashish.das@ujjivan.com;;;</v>
      </c>
    </row>
    <row r="86" spans="1:8" s="77" customFormat="1" x14ac:dyDescent="0.25">
      <c r="A86" s="142" t="s">
        <v>757</v>
      </c>
      <c r="B86" s="75" t="s">
        <v>3480</v>
      </c>
      <c r="C86" s="75" t="s">
        <v>3850</v>
      </c>
      <c r="D86" s="76" t="s">
        <v>758</v>
      </c>
      <c r="E86" s="77" t="s">
        <v>4472</v>
      </c>
      <c r="F86" s="77" t="s">
        <v>4533</v>
      </c>
      <c r="G86" s="77" t="s">
        <v>643</v>
      </c>
      <c r="H86" s="77" t="str">
        <f t="shared" si="1"/>
        <v>debasis.das@ujjivan.com;dinesh.swain@ujjivan.com;sanjit.moharana@ujjivan.com;ashish.das@ujjivan.com;;;</v>
      </c>
    </row>
    <row r="87" spans="1:8" s="77" customFormat="1" x14ac:dyDescent="0.25">
      <c r="A87" s="142" t="s">
        <v>702</v>
      </c>
      <c r="B87" s="75" t="s">
        <v>3441</v>
      </c>
      <c r="C87" s="75" t="s">
        <v>3851</v>
      </c>
      <c r="D87" s="76" t="s">
        <v>2730</v>
      </c>
      <c r="E87" s="77" t="s">
        <v>4460</v>
      </c>
      <c r="F87" s="77" t="s">
        <v>650</v>
      </c>
      <c r="G87" s="77" t="s">
        <v>610</v>
      </c>
      <c r="H87" s="77" t="str">
        <f t="shared" si="1"/>
        <v>bidesh.mandal@ujjivan.com;debarun.chatterjee@ujjivan.com;anirban.biswas@ujjivan.com;santanu.dey@ujjivan.com;;;</v>
      </c>
    </row>
    <row r="88" spans="1:8" s="77" customFormat="1" x14ac:dyDescent="0.25">
      <c r="A88" s="142" t="s">
        <v>722</v>
      </c>
      <c r="B88" s="75" t="s">
        <v>3456</v>
      </c>
      <c r="C88" s="75" t="s">
        <v>3852</v>
      </c>
      <c r="D88" s="76" t="s">
        <v>687</v>
      </c>
      <c r="E88" s="77" t="s">
        <v>4106</v>
      </c>
      <c r="F88" s="77" t="s">
        <v>4536</v>
      </c>
      <c r="G88" s="77" t="s">
        <v>643</v>
      </c>
      <c r="H88" s="77" t="str">
        <f t="shared" si="1"/>
        <v>umakanta.mohanty@ujjivan.com;manas.roul@ujjivan.com;sushanta.pujari@ujjivan.com;ashish.das@ujjivan.com;;;</v>
      </c>
    </row>
    <row r="89" spans="1:8" s="77" customFormat="1" x14ac:dyDescent="0.25">
      <c r="A89" s="142" t="s">
        <v>693</v>
      </c>
      <c r="B89" s="75" t="s">
        <v>3435</v>
      </c>
      <c r="C89" s="75" t="s">
        <v>3853</v>
      </c>
      <c r="D89" s="76" t="s">
        <v>3703</v>
      </c>
      <c r="E89" s="77" t="s">
        <v>4107</v>
      </c>
      <c r="F89" s="77" t="s">
        <v>650</v>
      </c>
      <c r="G89" s="77" t="s">
        <v>610</v>
      </c>
      <c r="H89" s="77" t="str">
        <f t="shared" si="1"/>
        <v>sunil.mahato@ujjivan.com;pintu.rahaman@ujjivan.com;anirban.biswas@ujjivan.com;santanu.dey@ujjivan.com;;;</v>
      </c>
    </row>
    <row r="90" spans="1:8" s="77" customFormat="1" x14ac:dyDescent="0.25">
      <c r="A90" s="142" t="s">
        <v>688</v>
      </c>
      <c r="B90" s="75"/>
      <c r="C90" s="75"/>
      <c r="D90" s="76"/>
      <c r="H90" s="77" t="str">
        <f t="shared" si="1"/>
        <v>;;;;;;</v>
      </c>
    </row>
    <row r="91" spans="1:8" s="77" customFormat="1" x14ac:dyDescent="0.25">
      <c r="A91" s="142" t="s">
        <v>694</v>
      </c>
      <c r="B91" s="75" t="s">
        <v>3436</v>
      </c>
      <c r="C91" s="75" t="s">
        <v>3854</v>
      </c>
      <c r="D91" s="76" t="s">
        <v>2732</v>
      </c>
      <c r="E91" s="77" t="s">
        <v>4108</v>
      </c>
      <c r="F91" s="77" t="s">
        <v>650</v>
      </c>
      <c r="G91" s="77" t="s">
        <v>610</v>
      </c>
      <c r="H91" s="77" t="str">
        <f t="shared" si="1"/>
        <v>manoj.bera@ujjivan.com;abhijit.maity@ujjivan.com;anirban.biswas@ujjivan.com;santanu.dey@ujjivan.com;;;</v>
      </c>
    </row>
    <row r="92" spans="1:8" s="77" customFormat="1" x14ac:dyDescent="0.25">
      <c r="A92" s="142" t="s">
        <v>649</v>
      </c>
      <c r="B92" s="75" t="s">
        <v>3409</v>
      </c>
      <c r="C92" s="75" t="s">
        <v>3855</v>
      </c>
      <c r="D92" s="76" t="s">
        <v>3199</v>
      </c>
      <c r="E92" s="77" t="s">
        <v>4109</v>
      </c>
      <c r="F92" s="77" t="s">
        <v>650</v>
      </c>
      <c r="G92" s="77" t="s">
        <v>610</v>
      </c>
      <c r="H92" s="77" t="str">
        <f t="shared" si="1"/>
        <v>suman.chakraborty@ujjivan.com;monoranjan.debnath@ujjivan.com;anirban.biswas@ujjivan.com;santanu.dey@ujjivan.com;;;</v>
      </c>
    </row>
    <row r="93" spans="1:8" s="77" customFormat="1" x14ac:dyDescent="0.25">
      <c r="A93" s="142" t="s">
        <v>723</v>
      </c>
      <c r="B93" s="75" t="s">
        <v>3457</v>
      </c>
      <c r="C93" s="75" t="s">
        <v>3856</v>
      </c>
      <c r="D93" s="76" t="s">
        <v>659</v>
      </c>
      <c r="E93" s="77" t="s">
        <v>4826</v>
      </c>
      <c r="F93" s="77" t="s">
        <v>4533</v>
      </c>
      <c r="H93" s="77" t="str">
        <f t="shared" si="1"/>
        <v>saroj.mohapatra@ujjivan.com;ranjit.swain@ujjivan.com;sanjit.moharana@ujjivan.com;;;;</v>
      </c>
    </row>
    <row r="94" spans="1:8" s="77" customFormat="1" x14ac:dyDescent="0.25">
      <c r="A94" s="142" t="s">
        <v>658</v>
      </c>
      <c r="B94" s="75" t="s">
        <v>3415</v>
      </c>
      <c r="C94" s="75" t="s">
        <v>3857</v>
      </c>
      <c r="D94" s="76" t="s">
        <v>4818</v>
      </c>
      <c r="E94" s="77" t="s">
        <v>4819</v>
      </c>
      <c r="F94" s="77" t="s">
        <v>4533</v>
      </c>
      <c r="G94" s="77" t="s">
        <v>643</v>
      </c>
      <c r="H94" s="77" t="str">
        <f t="shared" si="1"/>
        <v>pritamraj.rout@ujjivan.com;pujarchana.das@ujjivan.com;sanjit.moharana@ujjivan.com;ashish.das@ujjivan.com;;;</v>
      </c>
    </row>
    <row r="95" spans="1:8" s="77" customFormat="1" x14ac:dyDescent="0.25">
      <c r="A95" s="142" t="s">
        <v>685</v>
      </c>
      <c r="B95" s="75" t="s">
        <v>3431</v>
      </c>
      <c r="C95" s="75" t="s">
        <v>3858</v>
      </c>
      <c r="D95" s="76" t="s">
        <v>4454</v>
      </c>
      <c r="E95" s="77" t="s">
        <v>4111</v>
      </c>
      <c r="F95" s="77" t="s">
        <v>4536</v>
      </c>
      <c r="G95" s="77" t="s">
        <v>643</v>
      </c>
      <c r="H95" s="77" t="str">
        <f t="shared" si="1"/>
        <v>suryakanta.bai@ujjivan.com;sanatan.sethy@ujjivan.com;sushanta.pujari@ujjivan.com;ashish.das@ujjivan.com;;;</v>
      </c>
    </row>
    <row r="96" spans="1:8" s="77" customFormat="1" x14ac:dyDescent="0.25">
      <c r="A96" s="142" t="s">
        <v>686</v>
      </c>
      <c r="B96" s="75" t="s">
        <v>3432</v>
      </c>
      <c r="C96" s="75" t="s">
        <v>3859</v>
      </c>
      <c r="D96" s="76" t="s">
        <v>2734</v>
      </c>
      <c r="E96" s="77" t="s">
        <v>4112</v>
      </c>
      <c r="F96" s="77" t="s">
        <v>4536</v>
      </c>
      <c r="G96" s="77" t="s">
        <v>643</v>
      </c>
      <c r="H96" s="77" t="str">
        <f t="shared" si="1"/>
        <v>sukhwant.singh@ujjivan.com;manas.sasmal@ujjivan.com;sushanta.pujari@ujjivan.com;ashish.das@ujjivan.com;;;</v>
      </c>
    </row>
    <row r="97" spans="1:8" s="77" customFormat="1" x14ac:dyDescent="0.25">
      <c r="A97" s="142" t="s">
        <v>645</v>
      </c>
      <c r="B97" s="75" t="s">
        <v>3407</v>
      </c>
      <c r="C97" s="75" t="s">
        <v>3860</v>
      </c>
      <c r="D97" s="76" t="s">
        <v>647</v>
      </c>
      <c r="E97" s="77" t="s">
        <v>4811</v>
      </c>
      <c r="F97" s="77" t="s">
        <v>4533</v>
      </c>
      <c r="G97" s="77" t="s">
        <v>643</v>
      </c>
      <c r="H97" s="77" t="str">
        <f t="shared" si="1"/>
        <v>laxmikanta.panda@ujjivan.com;binay.biswal226@ujjivan.com;sanjit.moharana@ujjivan.com;ashish.das@ujjivan.com;;;</v>
      </c>
    </row>
    <row r="98" spans="1:8" s="77" customFormat="1" x14ac:dyDescent="0.25">
      <c r="A98" s="142" t="s">
        <v>735</v>
      </c>
      <c r="B98" s="75" t="s">
        <v>3464</v>
      </c>
      <c r="C98" s="75" t="s">
        <v>3861</v>
      </c>
      <c r="D98" s="76" t="s">
        <v>4114</v>
      </c>
      <c r="E98" s="77" t="s">
        <v>4897</v>
      </c>
      <c r="F98" s="77" t="s">
        <v>650</v>
      </c>
      <c r="G98" s="77" t="s">
        <v>610</v>
      </c>
      <c r="H98" s="77" t="str">
        <f t="shared" si="1"/>
        <v>sudarshan.duyari@ujjivan.com;atish.dey@ujjivan.com;anirban.biswas@ujjivan.com;santanu.dey@ujjivan.com;;;</v>
      </c>
    </row>
    <row r="99" spans="1:8" s="77" customFormat="1" x14ac:dyDescent="0.25">
      <c r="A99" s="142" t="s">
        <v>704</v>
      </c>
      <c r="B99" s="75" t="s">
        <v>3442</v>
      </c>
      <c r="C99" s="75" t="s">
        <v>3862</v>
      </c>
      <c r="D99" s="76" t="s">
        <v>4893</v>
      </c>
      <c r="E99" s="77" t="s">
        <v>4894</v>
      </c>
      <c r="F99" s="77" t="s">
        <v>650</v>
      </c>
      <c r="G99" s="77" t="s">
        <v>610</v>
      </c>
      <c r="H99" s="77" t="str">
        <f t="shared" si="1"/>
        <v>sunil.srista@ujjivan.com;tarush.gahan@ujjivan.com;anirban.biswas@ujjivan.com;santanu.dey@ujjivan.com;;;</v>
      </c>
    </row>
    <row r="100" spans="1:8" s="77" customFormat="1" x14ac:dyDescent="0.25">
      <c r="A100" s="137" t="s">
        <v>747</v>
      </c>
      <c r="B100" s="75" t="s">
        <v>3473</v>
      </c>
      <c r="C100" s="75" t="s">
        <v>3863</v>
      </c>
      <c r="D100" s="76" t="s">
        <v>3720</v>
      </c>
      <c r="E100" s="77" t="s">
        <v>4470</v>
      </c>
      <c r="F100" s="77" t="s">
        <v>725</v>
      </c>
      <c r="G100" s="77" t="s">
        <v>2788</v>
      </c>
      <c r="H100" s="77" t="str">
        <f t="shared" si="1"/>
        <v>vikrant.kumar871@ujjivan.com;shashi.ranjan@ujjivan.com;ravi.shankar@ujjivan.com;amit.kumar@ujjivan.com;;;</v>
      </c>
    </row>
    <row r="101" spans="1:8" s="77" customFormat="1" x14ac:dyDescent="0.25">
      <c r="A101" s="137" t="s">
        <v>748</v>
      </c>
      <c r="B101" s="75" t="s">
        <v>3474</v>
      </c>
      <c r="C101" s="75" t="s">
        <v>3864</v>
      </c>
      <c r="D101" s="76" t="s">
        <v>2735</v>
      </c>
      <c r="E101" s="77" t="s">
        <v>4471</v>
      </c>
      <c r="F101" s="77" t="s">
        <v>725</v>
      </c>
      <c r="G101" s="77" t="s">
        <v>2788</v>
      </c>
      <c r="H101" s="77" t="str">
        <f t="shared" si="1"/>
        <v>vipulkumar.singh@ujjivan.com;nitish.kumar@ujjivan.com;ravi.shankar@ujjivan.com;amit.kumar@ujjivan.com;;;</v>
      </c>
    </row>
    <row r="102" spans="1:8" s="77" customFormat="1" x14ac:dyDescent="0.25">
      <c r="A102" s="137" t="s">
        <v>728</v>
      </c>
      <c r="B102" s="75" t="s">
        <v>3460</v>
      </c>
      <c r="C102" s="75" t="s">
        <v>3865</v>
      </c>
      <c r="D102" s="76" t="s">
        <v>729</v>
      </c>
      <c r="E102" s="77" t="s">
        <v>4878</v>
      </c>
      <c r="F102" s="77" t="s">
        <v>725</v>
      </c>
      <c r="G102" s="77" t="s">
        <v>2788</v>
      </c>
      <c r="H102" s="77" t="str">
        <f t="shared" si="1"/>
        <v>jitendra.kumar@ujjivan.com;rupesh.kumar052@ujjivan.com;ravi.shankar@ujjivan.com;amit.kumar@ujjivan.com;;;</v>
      </c>
    </row>
    <row r="103" spans="1:8" s="77" customFormat="1" x14ac:dyDescent="0.25">
      <c r="A103" s="137" t="s">
        <v>761</v>
      </c>
      <c r="B103" s="75" t="s">
        <v>3483</v>
      </c>
      <c r="C103" s="75" t="s">
        <v>3866</v>
      </c>
      <c r="D103" s="76" t="s">
        <v>4124</v>
      </c>
      <c r="E103" s="77" t="s">
        <v>4119</v>
      </c>
      <c r="F103" s="77" t="s">
        <v>4534</v>
      </c>
      <c r="G103" s="77" t="s">
        <v>2788</v>
      </c>
      <c r="H103" s="77" t="str">
        <f t="shared" si="1"/>
        <v>mahesh.singh@ujjivan.com;sudhir.kumar266@ujjivan.com;manish.choudhary@ujjivan.com;amit.kumar@ujjivan.com;;;</v>
      </c>
    </row>
    <row r="104" spans="1:8" s="77" customFormat="1" x14ac:dyDescent="0.25">
      <c r="A104" s="137" t="s">
        <v>654</v>
      </c>
      <c r="B104" s="75" t="s">
        <v>3412</v>
      </c>
      <c r="C104" s="75" t="s">
        <v>3867</v>
      </c>
      <c r="D104" s="76" t="s">
        <v>2736</v>
      </c>
      <c r="E104" s="77" t="s">
        <v>4118</v>
      </c>
      <c r="F104" s="77" t="s">
        <v>726</v>
      </c>
      <c r="G104" s="77" t="s">
        <v>2788</v>
      </c>
      <c r="H104" s="77" t="str">
        <f t="shared" si="1"/>
        <v>avay.kumar@ujjivan.com;deepak.kumar646@ujjivan.com;shashi.choubey@ujjivan.com;amit.kumar@ujjivan.com;;;</v>
      </c>
    </row>
    <row r="105" spans="1:8" s="77" customFormat="1" x14ac:dyDescent="0.25">
      <c r="A105" s="137" t="s">
        <v>744</v>
      </c>
      <c r="B105" s="75" t="s">
        <v>3471</v>
      </c>
      <c r="C105" s="75" t="s">
        <v>3868</v>
      </c>
      <c r="D105" s="76" t="s">
        <v>2742</v>
      </c>
      <c r="E105" s="77" t="s">
        <v>4879</v>
      </c>
      <c r="F105" s="77" t="s">
        <v>4534</v>
      </c>
      <c r="G105" s="77" t="s">
        <v>2788</v>
      </c>
      <c r="H105" s="77" t="str">
        <f t="shared" si="1"/>
        <v>pankaj.dubey@ujjivan.com;prince.pushkar@ujjivan.com;manish.choudhary@ujjivan.com;amit.kumar@ujjivan.com;;;</v>
      </c>
    </row>
    <row r="106" spans="1:8" s="77" customFormat="1" x14ac:dyDescent="0.25">
      <c r="A106" s="137" t="s">
        <v>680</v>
      </c>
      <c r="B106" s="75" t="s">
        <v>3427</v>
      </c>
      <c r="C106" s="75" t="s">
        <v>3869</v>
      </c>
      <c r="D106" s="76" t="s">
        <v>3699</v>
      </c>
      <c r="E106" s="77" t="s">
        <v>4120</v>
      </c>
      <c r="F106" s="77" t="s">
        <v>726</v>
      </c>
      <c r="G106" s="77" t="s">
        <v>2788</v>
      </c>
      <c r="H106" s="77" t="str">
        <f t="shared" si="1"/>
        <v>diler.kumar@ujjivan.com;amber.raj@ujjivan.com;shashi.choubey@ujjivan.com;amit.kumar@ujjivan.com;;;</v>
      </c>
    </row>
    <row r="107" spans="1:8" s="77" customFormat="1" x14ac:dyDescent="0.25">
      <c r="A107" s="137" t="s">
        <v>682</v>
      </c>
      <c r="B107" s="75" t="s">
        <v>3429</v>
      </c>
      <c r="C107" s="75" t="s">
        <v>3870</v>
      </c>
      <c r="D107" s="76" t="s">
        <v>4856</v>
      </c>
      <c r="E107" s="77" t="s">
        <v>4459</v>
      </c>
      <c r="F107" s="77" t="s">
        <v>726</v>
      </c>
      <c r="G107" s="77" t="s">
        <v>2788</v>
      </c>
      <c r="H107" s="77" t="str">
        <f t="shared" si="1"/>
        <v>pawan.kumar046@ujjivan.com;awinashkumar.sharma@ujjivan.com;shashi.choubey@ujjivan.com;amit.kumar@ujjivan.com;;;</v>
      </c>
    </row>
    <row r="108" spans="1:8" s="77" customFormat="1" x14ac:dyDescent="0.25">
      <c r="A108" s="137" t="s">
        <v>681</v>
      </c>
      <c r="B108" s="75" t="s">
        <v>3428</v>
      </c>
      <c r="C108" s="75" t="s">
        <v>3871</v>
      </c>
      <c r="D108" s="76" t="s">
        <v>4855</v>
      </c>
      <c r="E108" s="77" t="s">
        <v>4458</v>
      </c>
      <c r="F108" s="77" t="s">
        <v>726</v>
      </c>
      <c r="G108" s="77" t="s">
        <v>2788</v>
      </c>
      <c r="H108" s="77" t="str">
        <f t="shared" si="1"/>
        <v>manish.k@ujjivan.com;sheela.devi@ujjivan.com;shashi.choubey@ujjivan.com;amit.kumar@ujjivan.com;;;</v>
      </c>
    </row>
    <row r="109" spans="1:8" s="77" customFormat="1" x14ac:dyDescent="0.25">
      <c r="A109" s="137" t="s">
        <v>736</v>
      </c>
      <c r="B109" s="75" t="s">
        <v>3465</v>
      </c>
      <c r="C109" s="75" t="s">
        <v>3872</v>
      </c>
      <c r="D109" s="76" t="s">
        <v>3716</v>
      </c>
      <c r="F109" s="77" t="s">
        <v>640</v>
      </c>
      <c r="G109" s="77" t="s">
        <v>2788</v>
      </c>
      <c r="H109" s="77" t="str">
        <f t="shared" si="1"/>
        <v>chandan.mishra@ujjivan.com;;kishor.kaushal@ujjivan.com;amit.kumar@ujjivan.com;;;</v>
      </c>
    </row>
    <row r="110" spans="1:8" s="77" customFormat="1" x14ac:dyDescent="0.25">
      <c r="A110" s="137" t="s">
        <v>662</v>
      </c>
      <c r="B110" s="75" t="s">
        <v>3417</v>
      </c>
      <c r="C110" s="75" t="s">
        <v>3873</v>
      </c>
      <c r="D110" s="76" t="s">
        <v>2739</v>
      </c>
      <c r="E110" s="77" t="s">
        <v>4871</v>
      </c>
      <c r="F110" s="77" t="s">
        <v>4534</v>
      </c>
      <c r="G110" s="77" t="s">
        <v>2788</v>
      </c>
      <c r="H110" s="77" t="str">
        <f t="shared" si="1"/>
        <v>sanjeev.kumar@ujjivan.com;pankaj.kumar331@ujjivan.com;manish.choudhary@ujjivan.com;amit.kumar@ujjivan.com;;;</v>
      </c>
    </row>
    <row r="111" spans="1:8" s="77" customFormat="1" x14ac:dyDescent="0.25">
      <c r="A111" s="137" t="s">
        <v>737</v>
      </c>
      <c r="B111" s="75" t="s">
        <v>3466</v>
      </c>
      <c r="C111" s="75" t="s">
        <v>3874</v>
      </c>
      <c r="D111" s="76" t="s">
        <v>4127</v>
      </c>
      <c r="E111" s="77" t="s">
        <v>4861</v>
      </c>
      <c r="F111" s="77" t="s">
        <v>726</v>
      </c>
      <c r="H111" s="77" t="str">
        <f t="shared" si="1"/>
        <v>rajeevranjan.kumar@ujjivan.com;murli.prasad@ujjivan.com;shashi.choubey@ujjivan.com;;;;</v>
      </c>
    </row>
    <row r="112" spans="1:8" s="77" customFormat="1" x14ac:dyDescent="0.25">
      <c r="A112" s="137" t="s">
        <v>727</v>
      </c>
      <c r="B112" s="75" t="s">
        <v>3459</v>
      </c>
      <c r="C112" s="75" t="s">
        <v>3875</v>
      </c>
      <c r="D112" s="76" t="s">
        <v>824</v>
      </c>
      <c r="E112" s="77" t="s">
        <v>4876</v>
      </c>
      <c r="F112" s="77" t="s">
        <v>725</v>
      </c>
      <c r="G112" s="77" t="s">
        <v>2788</v>
      </c>
      <c r="H112" s="77" t="str">
        <f t="shared" si="1"/>
        <v>mukesh.kumar@ujjivan.com;sakib.khalique@ujjivan.com;ravi.shankar@ujjivan.com;amit.kumar@ujjivan.com;;;</v>
      </c>
    </row>
    <row r="113" spans="1:8" s="77" customFormat="1" x14ac:dyDescent="0.25">
      <c r="A113" s="137" t="s">
        <v>742</v>
      </c>
      <c r="B113" s="75" t="s">
        <v>3470</v>
      </c>
      <c r="C113" s="75" t="s">
        <v>3876</v>
      </c>
      <c r="D113" s="76" t="s">
        <v>2738</v>
      </c>
      <c r="E113" s="77" t="s">
        <v>4469</v>
      </c>
      <c r="F113" s="77" t="s">
        <v>726</v>
      </c>
      <c r="G113" s="77" t="s">
        <v>2788</v>
      </c>
      <c r="H113" s="77" t="str">
        <f t="shared" si="1"/>
        <v>saroj.singh@ujjivan.com;alok.kumar899@ujjivan.com;shashi.choubey@ujjivan.com;amit.kumar@ujjivan.com;;;</v>
      </c>
    </row>
    <row r="114" spans="1:8" s="77" customFormat="1" x14ac:dyDescent="0.25">
      <c r="A114" s="137" t="s">
        <v>700</v>
      </c>
      <c r="B114" s="75" t="s">
        <v>3439</v>
      </c>
      <c r="C114" s="75" t="s">
        <v>3877</v>
      </c>
      <c r="D114" s="76" t="s">
        <v>4873</v>
      </c>
      <c r="E114" s="77" t="s">
        <v>4128</v>
      </c>
      <c r="F114" s="77" t="s">
        <v>4534</v>
      </c>
      <c r="G114" s="77" t="s">
        <v>2788</v>
      </c>
      <c r="H114" s="77" t="str">
        <f t="shared" si="1"/>
        <v>abhinav.chaitanya@ujjivan.com;amit.arya@ujjivan.com;manish.choudhary@ujjivan.com;amit.kumar@ujjivan.com;;;</v>
      </c>
    </row>
    <row r="115" spans="1:8" s="77" customFormat="1" x14ac:dyDescent="0.25">
      <c r="A115" s="137" t="s">
        <v>759</v>
      </c>
      <c r="B115" s="75" t="s">
        <v>3481</v>
      </c>
      <c r="C115" s="75" t="s">
        <v>3878</v>
      </c>
      <c r="D115" s="76" t="s">
        <v>4882</v>
      </c>
      <c r="E115" s="77" t="s">
        <v>4402</v>
      </c>
      <c r="F115" s="77" t="s">
        <v>4534</v>
      </c>
      <c r="G115" s="77" t="s">
        <v>2788</v>
      </c>
      <c r="H115" s="77" t="str">
        <f t="shared" si="1"/>
        <v>nandan.kumar@ujjivan.com;atul.kumar@ujjivan.com;manish.choudhary@ujjivan.com;amit.kumar@ujjivan.com;;;</v>
      </c>
    </row>
    <row r="116" spans="1:8" s="77" customFormat="1" x14ac:dyDescent="0.25">
      <c r="A116" s="137" t="s">
        <v>655</v>
      </c>
      <c r="B116" s="75" t="s">
        <v>3413</v>
      </c>
      <c r="C116" s="75" t="s">
        <v>3879</v>
      </c>
      <c r="D116" s="76" t="s">
        <v>4129</v>
      </c>
      <c r="E116" s="77" t="s">
        <v>4850</v>
      </c>
      <c r="F116" s="77" t="s">
        <v>726</v>
      </c>
      <c r="G116" s="77" t="s">
        <v>2788</v>
      </c>
      <c r="H116" s="77" t="str">
        <f t="shared" si="1"/>
        <v>amitkumar.04903@ujjivan.com;sunil.kumar133@ujjivan.com;shashi.choubey@ujjivan.com;amit.kumar@ujjivan.com;;;</v>
      </c>
    </row>
    <row r="117" spans="1:8" s="77" customFormat="1" x14ac:dyDescent="0.25">
      <c r="A117" s="137" t="s">
        <v>730</v>
      </c>
      <c r="B117" s="75" t="s">
        <v>3461</v>
      </c>
      <c r="C117" s="75" t="s">
        <v>3880</v>
      </c>
      <c r="D117" s="76" t="s">
        <v>1020</v>
      </c>
      <c r="E117" s="77" t="s">
        <v>4466</v>
      </c>
      <c r="F117" s="77" t="s">
        <v>725</v>
      </c>
      <c r="G117" s="77" t="s">
        <v>2788</v>
      </c>
      <c r="H117" s="77" t="str">
        <f t="shared" si="1"/>
        <v>mohan.routh@ujjivan.com;lovely.kumari@ujjivan.com;ravi.shankar@ujjivan.com;amit.kumar@ujjivan.com;;;</v>
      </c>
    </row>
    <row r="118" spans="1:8" s="77" customFormat="1" x14ac:dyDescent="0.25">
      <c r="A118" s="137" t="s">
        <v>745</v>
      </c>
      <c r="B118" s="75" t="s">
        <v>3472</v>
      </c>
      <c r="C118" s="75" t="s">
        <v>3881</v>
      </c>
      <c r="D118" s="76" t="s">
        <v>2741</v>
      </c>
      <c r="E118" s="77" t="s">
        <v>4131</v>
      </c>
      <c r="F118" s="77" t="s">
        <v>725</v>
      </c>
      <c r="G118" s="77" t="s">
        <v>2788</v>
      </c>
      <c r="H118" s="77" t="str">
        <f t="shared" si="1"/>
        <v>kundan.kumar@ujjivan.com;amar.sharma@ujjivan.com;ravi.shankar@ujjivan.com;amit.kumar@ujjivan.com;;;</v>
      </c>
    </row>
    <row r="119" spans="1:8" s="77" customFormat="1" x14ac:dyDescent="0.25">
      <c r="A119" s="137" t="s">
        <v>760</v>
      </c>
      <c r="B119" s="75" t="s">
        <v>3482</v>
      </c>
      <c r="C119" s="75" t="s">
        <v>3882</v>
      </c>
      <c r="D119" s="76" t="s">
        <v>3723</v>
      </c>
      <c r="E119" s="77" t="s">
        <v>4884</v>
      </c>
      <c r="F119" s="77" t="s">
        <v>4534</v>
      </c>
      <c r="G119" s="77" t="s">
        <v>2788</v>
      </c>
      <c r="H119" s="77" t="str">
        <f t="shared" si="1"/>
        <v>amit.kumar2@ujjivan.com;deepak.prince@ujjivan.com;manish.choudhary@ujjivan.com;amit.kumar@ujjivan.com;;;</v>
      </c>
    </row>
    <row r="120" spans="1:8" s="77" customFormat="1" x14ac:dyDescent="0.25">
      <c r="A120" s="137" t="s">
        <v>724</v>
      </c>
      <c r="B120" s="75" t="s">
        <v>3458</v>
      </c>
      <c r="C120" s="75" t="s">
        <v>3883</v>
      </c>
      <c r="D120" s="76" t="s">
        <v>3712</v>
      </c>
      <c r="E120" s="77" t="s">
        <v>4132</v>
      </c>
      <c r="F120" s="77" t="s">
        <v>725</v>
      </c>
      <c r="G120" s="77" t="s">
        <v>2788</v>
      </c>
      <c r="H120" s="77" t="str">
        <f t="shared" si="1"/>
        <v>dablu.kumar@ujjivan.com;sakaldip.sharma@ujjivan.com;ravi.shankar@ujjivan.com;amit.kumar@ujjivan.com;;;</v>
      </c>
    </row>
    <row r="121" spans="1:8" s="77" customFormat="1" x14ac:dyDescent="0.25">
      <c r="A121" s="137" t="s">
        <v>701</v>
      </c>
      <c r="B121" s="75" t="s">
        <v>3440</v>
      </c>
      <c r="C121" s="75" t="s">
        <v>3884</v>
      </c>
      <c r="D121" s="76" t="s">
        <v>1014</v>
      </c>
      <c r="E121" s="77" t="s">
        <v>4874</v>
      </c>
      <c r="F121" s="77" t="s">
        <v>4534</v>
      </c>
      <c r="H121" s="77" t="str">
        <f t="shared" si="1"/>
        <v>surajkumar.gupta@ujjivan.com;raman.sharma250@ujjivan.com;manish.choudhary@ujjivan.com;;;;</v>
      </c>
    </row>
    <row r="122" spans="1:8" s="77" customFormat="1" x14ac:dyDescent="0.25">
      <c r="A122" s="113" t="s">
        <v>749</v>
      </c>
      <c r="B122" s="75"/>
      <c r="C122" s="75"/>
      <c r="D122" s="76"/>
      <c r="H122" s="77" t="str">
        <f t="shared" si="1"/>
        <v>;;;;;;</v>
      </c>
    </row>
    <row r="123" spans="1:8" s="77" customFormat="1" x14ac:dyDescent="0.25">
      <c r="A123" s="113" t="s">
        <v>751</v>
      </c>
      <c r="B123" s="75" t="s">
        <v>3475</v>
      </c>
      <c r="C123" s="75" t="s">
        <v>3885</v>
      </c>
      <c r="D123" s="76" t="s">
        <v>4133</v>
      </c>
      <c r="E123" s="77" t="s">
        <v>4862</v>
      </c>
      <c r="F123" s="77" t="s">
        <v>4538</v>
      </c>
      <c r="G123" s="77" t="s">
        <v>610</v>
      </c>
      <c r="H123" s="77" t="str">
        <f t="shared" si="1"/>
        <v>partha.debnath@ujjivan.com;prasenjit.deb@ujjivan.com;rajib.biswas@ujjivan.com;santanu.dey@ujjivan.com;;;</v>
      </c>
    </row>
    <row r="124" spans="1:8" s="77" customFormat="1" x14ac:dyDescent="0.25">
      <c r="A124" s="113" t="s">
        <v>752</v>
      </c>
      <c r="B124" s="75" t="s">
        <v>3476</v>
      </c>
      <c r="C124" s="75" t="s">
        <v>3886</v>
      </c>
      <c r="D124" s="76" t="s">
        <v>2697</v>
      </c>
      <c r="E124" s="77" t="s">
        <v>4863</v>
      </c>
      <c r="F124" s="77" t="s">
        <v>4538</v>
      </c>
      <c r="H124" s="77" t="str">
        <f t="shared" si="1"/>
        <v>sanjib.dey@ujjivan.com;suman.dey@ujjivan.com;rajib.biswas@ujjivan.com;;;;</v>
      </c>
    </row>
    <row r="125" spans="1:8" s="77" customFormat="1" x14ac:dyDescent="0.25">
      <c r="A125" s="113" t="s">
        <v>754</v>
      </c>
      <c r="B125" s="75" t="s">
        <v>3477</v>
      </c>
      <c r="C125" s="75" t="s">
        <v>3887</v>
      </c>
      <c r="D125" s="76" t="s">
        <v>4134</v>
      </c>
      <c r="E125" s="77" t="s">
        <v>4864</v>
      </c>
      <c r="F125" s="77" t="s">
        <v>4538</v>
      </c>
      <c r="H125" s="77" t="str">
        <f t="shared" si="1"/>
        <v>goutam.debnath@ujjivan.com;manikarna.debbarma@ujjivan.com;rajib.biswas@ujjivan.com;;;;</v>
      </c>
    </row>
    <row r="126" spans="1:8" s="77" customFormat="1" x14ac:dyDescent="0.25">
      <c r="A126" s="113" t="s">
        <v>755</v>
      </c>
      <c r="B126" s="75" t="s">
        <v>3478</v>
      </c>
      <c r="C126" s="75" t="s">
        <v>3888</v>
      </c>
      <c r="D126" s="76" t="s">
        <v>2698</v>
      </c>
      <c r="E126" s="77" t="s">
        <v>4865</v>
      </c>
      <c r="F126" s="77" t="s">
        <v>4538</v>
      </c>
      <c r="H126" s="77" t="str">
        <f t="shared" si="1"/>
        <v>prasanta.das@ujjivan.com;tapas.paul750@ujjivan.com;rajib.biswas@ujjivan.com;;;;</v>
      </c>
    </row>
    <row r="127" spans="1:8" s="77" customFormat="1" x14ac:dyDescent="0.25">
      <c r="A127" s="113" t="s">
        <v>756</v>
      </c>
      <c r="B127" s="75" t="s">
        <v>3479</v>
      </c>
      <c r="C127" s="75" t="s">
        <v>3889</v>
      </c>
      <c r="D127" s="76" t="s">
        <v>4136</v>
      </c>
      <c r="E127" s="77" t="s">
        <v>4137</v>
      </c>
      <c r="F127" s="77" t="s">
        <v>4538</v>
      </c>
      <c r="G127" s="77" t="s">
        <v>610</v>
      </c>
      <c r="H127" s="77" t="str">
        <f t="shared" si="1"/>
        <v>jabed.hossain@ujjivan.com;biswajit.acharjee@ujjivan.com;rajib.biswas@ujjivan.com;santanu.dey@ujjivan.com;;;</v>
      </c>
    </row>
    <row r="128" spans="1:8" s="77" customFormat="1" x14ac:dyDescent="0.25">
      <c r="A128" s="113" t="s">
        <v>2412</v>
      </c>
      <c r="B128" s="75" t="s">
        <v>3552</v>
      </c>
      <c r="C128" s="75" t="s">
        <v>3890</v>
      </c>
      <c r="D128" s="76" t="s">
        <v>2743</v>
      </c>
      <c r="E128" s="77" t="s">
        <v>4866</v>
      </c>
      <c r="F128" s="77" t="s">
        <v>4538</v>
      </c>
      <c r="G128" s="77" t="s">
        <v>610</v>
      </c>
      <c r="H128" s="77" t="str">
        <f t="shared" si="1"/>
        <v>pranay.das@ujjivan.com;mithan.kar@ujjivan.com;rajib.biswas@ujjivan.com;santanu.dey@ujjivan.com;;;</v>
      </c>
    </row>
    <row r="129" spans="1:11" s="77" customFormat="1" x14ac:dyDescent="0.25">
      <c r="A129" s="113" t="s">
        <v>2415</v>
      </c>
      <c r="B129" s="75" t="s">
        <v>3553</v>
      </c>
      <c r="C129" s="75" t="s">
        <v>3891</v>
      </c>
      <c r="D129" s="76" t="s">
        <v>3761</v>
      </c>
      <c r="E129" s="77" t="s">
        <v>4409</v>
      </c>
      <c r="F129" s="77" t="s">
        <v>4538</v>
      </c>
      <c r="G129" s="77" t="s">
        <v>610</v>
      </c>
      <c r="H129" s="77" t="str">
        <f t="shared" si="1"/>
        <v>bishu.paul@ujjivan.com;natish.saha@ujjivan.com;rajib.biswas@ujjivan.com;santanu.dey@ujjivan.com;;;</v>
      </c>
    </row>
    <row r="130" spans="1:11" x14ac:dyDescent="0.25">
      <c r="A130" s="143" t="s">
        <v>2418</v>
      </c>
      <c r="B130" s="75" t="s">
        <v>3554</v>
      </c>
      <c r="C130" s="75" t="s">
        <v>3892</v>
      </c>
      <c r="D130" s="76" t="s">
        <v>4649</v>
      </c>
      <c r="E130" s="77" t="s">
        <v>4477</v>
      </c>
      <c r="F130" s="77" t="s">
        <v>4539</v>
      </c>
      <c r="G130" s="77" t="s">
        <v>978</v>
      </c>
      <c r="H130" s="77" t="str">
        <f t="shared" si="1"/>
        <v>abhijeet.shinde@ujjivan.com;santosh.karad@ujjivan.com;shrikant.walunj@ujjivan.com;varun.yadav@ujjivan.com;west-punenorth-branch@ujjivan.com;ccr-punenorth@ujjivan.com; arun.pawar@ujjivan.com;kailas.isale@ujjivan.com;shrikant.walunj@ujjivan.com;himanshu.mittal@ujjivan.com;hemant.awade@ujjivan.com;sameer.shaikh@ujjivan.com;sunil.khanekar@ujjivan.com;yogesh.vankar@ujjivan.com;abhijeet.bhadange@ujjivan.com;mangesh.waikar@ujjivan.com;;;</v>
      </c>
      <c r="J130" s="77" t="s">
        <v>3061</v>
      </c>
      <c r="K130" s="77"/>
    </row>
    <row r="131" spans="1:11" x14ac:dyDescent="0.25">
      <c r="A131" s="143" t="s">
        <v>770</v>
      </c>
      <c r="B131" s="75" t="s">
        <v>3494</v>
      </c>
      <c r="C131" s="75" t="s">
        <v>2744</v>
      </c>
      <c r="D131" s="76" t="s">
        <v>4650</v>
      </c>
      <c r="E131" s="77" t="s">
        <v>4139</v>
      </c>
      <c r="F131" s="77" t="s">
        <v>768</v>
      </c>
      <c r="G131" s="77" t="s">
        <v>978</v>
      </c>
      <c r="H131" s="77" t="str">
        <f t="shared" ref="H131:H194" si="2">CONCATENATE(D131,";",E131,";",F131,";",G131,";",J131,";",K131,";")</f>
        <v>shubhangi.jadhav@ujjivan.com;kunal.devkar@ujjivan.com;tushar.upase@ujjivan.com;varun.yadav@ujjivan.com;west-swargate-branch@ujjivan.com;ccr-swargate@ujjivan.com;dinesh.fulambarkar@ujjivan.com;atul.mule@ujjivan.com;tushar.upase@ujjivan.com;ramesh.kamble@ujjivan.com;hemant.awade@ujjivan.com;santosh.khaire@ujjivan.com;sudhakar.ighare@ujjivan.com;abhijeet.bhadange@ujjivan.com;aba.kesbhat@ujjivan.com;bhagwat.shelke@ujjivan.com;kunal.devkar@ujjivan.com;;</v>
      </c>
      <c r="J131" s="115" t="s">
        <v>4562</v>
      </c>
      <c r="K131" s="77"/>
    </row>
    <row r="132" spans="1:11" x14ac:dyDescent="0.25">
      <c r="A132" s="143" t="s">
        <v>772</v>
      </c>
      <c r="B132" s="75" t="s">
        <v>3495</v>
      </c>
      <c r="C132" s="75" t="s">
        <v>3893</v>
      </c>
      <c r="D132" s="76" t="s">
        <v>3729</v>
      </c>
      <c r="E132" s="77" t="s">
        <v>4140</v>
      </c>
      <c r="F132" s="77" t="s">
        <v>4539</v>
      </c>
      <c r="G132" s="77" t="s">
        <v>978</v>
      </c>
      <c r="H132" s="77" t="str">
        <f t="shared" si="2"/>
        <v>samadhan.sawant@ujjivan.com;anita.musudage@ujjivan.com;shrikant.walunj@ujjivan.com;varun.yadav@ujjivan.com;west-hadapsar-branch@ujjivan.com;ccr-hadpsar@ujjivan.com;vishal.ingale@ujjivan.com;mangesh.waikar@ujjivan.com;hemant.awade@ujjivan.com;santosh.khaire@ujjivan.com;parameshwari.suryavanshi@ujjivan.com;anita.musudage@ujjivan.com;himanshu.mittal@ujjivan.com;anas.ahmad@ujjivan.com;abhijeet.bhadange@ujjivan.com;sudhakar.ighare@ujjivan.com;;</v>
      </c>
      <c r="J132" s="77" t="s">
        <v>3065</v>
      </c>
      <c r="K132" s="77"/>
    </row>
    <row r="133" spans="1:11" x14ac:dyDescent="0.25">
      <c r="A133" s="143" t="s">
        <v>773</v>
      </c>
      <c r="B133" s="75"/>
      <c r="C133" s="75"/>
      <c r="D133" s="76"/>
      <c r="E133" s="77"/>
      <c r="F133" s="77"/>
      <c r="G133" s="77"/>
      <c r="H133" s="77" t="str">
        <f t="shared" si="2"/>
        <v>;;;;dhanashri.kashalkar@ujjivan.com;;</v>
      </c>
      <c r="J133" s="77" t="s">
        <v>2998</v>
      </c>
      <c r="K133" s="77"/>
    </row>
    <row r="134" spans="1:11" x14ac:dyDescent="0.25">
      <c r="A134" s="143" t="s">
        <v>2425</v>
      </c>
      <c r="B134" s="75" t="s">
        <v>3555</v>
      </c>
      <c r="C134" s="75" t="s">
        <v>3894</v>
      </c>
      <c r="D134" s="76"/>
      <c r="E134" s="77" t="s">
        <v>4141</v>
      </c>
      <c r="F134" s="77" t="s">
        <v>4539</v>
      </c>
      <c r="G134" s="77" t="s">
        <v>978</v>
      </c>
      <c r="H134" s="77" t="str">
        <f t="shared" si="2"/>
        <v>;swapnil.vibhute@ujjivan.com;shrikant.walunj@ujjivan.com;varun.yadav@ujjivan.com;west-akurdi-branch@ujjivan.com;ccr-akurdi@ujjivan.com;gajanan.bande@ujjivan.com;tushar.mali@ujjivan.com;anil.patil@ujjivan.com;himanshu.mittal@ujjivan.com;hemant.awade@ujjivan.com;ramesh.kamble@ujjivan.com;dinesh.bidkar@ujjivan.com;ravi.arkal@ujjivan.com;nikhil.patil@ujjivan.com;abhijeet.bhadange@ujjivan.com;rajesh.patil@ujjivan.com;;</v>
      </c>
      <c r="J134" s="77" t="s">
        <v>3067</v>
      </c>
      <c r="K134" s="77"/>
    </row>
    <row r="135" spans="1:11" x14ac:dyDescent="0.25">
      <c r="A135" s="143" t="s">
        <v>774</v>
      </c>
      <c r="B135" s="75" t="s">
        <v>3496</v>
      </c>
      <c r="C135" s="75" t="s">
        <v>3895</v>
      </c>
      <c r="D135" s="76" t="s">
        <v>4142</v>
      </c>
      <c r="E135" s="77" t="s">
        <v>4651</v>
      </c>
      <c r="F135" s="77" t="s">
        <v>4539</v>
      </c>
      <c r="G135" s="77" t="s">
        <v>978</v>
      </c>
      <c r="H135" s="77" t="str">
        <f t="shared" si="2"/>
        <v>tabassum.shaikh@ujjivan.com;kavita.salve@ujjivan.com;shrikant.walunj@ujjivan.com;varun.yadav@ujjivan.com;west-pimpri-branch@ujjivan.com;ccr-pimpri@ujjivan.com;sandeep.gadre@ujjivan.com;himanshu.mittal@ujjivan.com;hemant.awade@ujjivan.com;ramesh.kamble@ujjivan.com;abhijeet.bhadange@ujjivan.com;nikhil.patil@ujjivan.com;ashish.tiwari@ujjivan.com;tabassum.shaikh@ujjivan.com;makarand.mangle@ujjivan.com;rushikesh.yogi@ujjivan.com;himanshu.mittal@ujjivan.com; hemant.awade@ujjivan.com;ramesh.kamble@ujjivan.com;ravi.arkal@ujjivan.com;atul.mule@ujjivan.com;satish.dahikar@ujjivan.com;rajesh.patil@ujjivan.com;;;</v>
      </c>
      <c r="J135" s="77" t="s">
        <v>3069</v>
      </c>
      <c r="K135" s="77"/>
    </row>
    <row r="136" spans="1:11" x14ac:dyDescent="0.25">
      <c r="A136" s="143" t="s">
        <v>775</v>
      </c>
      <c r="B136" s="75" t="s">
        <v>3497</v>
      </c>
      <c r="C136" s="75" t="s">
        <v>2745</v>
      </c>
      <c r="D136" s="76" t="s">
        <v>4143</v>
      </c>
      <c r="E136" s="77" t="s">
        <v>4479</v>
      </c>
      <c r="F136" s="77" t="s">
        <v>768</v>
      </c>
      <c r="G136" s="77" t="s">
        <v>978</v>
      </c>
      <c r="H136" s="77" t="str">
        <f t="shared" si="2"/>
        <v>Kaustubh.Tiwari@ujjivan.com;saurabh.mulik@ujjivan.com;tushar.upase@ujjivan.com;varun.yadav@ujjivan.com;west-punewest-branch@ujjivan.com;ccr.punewest@ujjivan.com;parshuram.kamble@ujjivan.com;prasad.bhavsar@ujjivan.com;mangesh.waikar@ujjivan.com;prasad.chavan@ujjivan.com;hemant.awade@ujjivan.com;rahul.devne@ujjivan.com;ravi.arkal@ujjivan.com;tushar.upase@ujjivan.com;abhijeet.bhadange@ujjivan.com;;</v>
      </c>
      <c r="J136" s="115" t="s">
        <v>4561</v>
      </c>
      <c r="K136" s="77"/>
    </row>
    <row r="137" spans="1:11" x14ac:dyDescent="0.25">
      <c r="A137" s="143" t="s">
        <v>778</v>
      </c>
      <c r="B137" s="75" t="s">
        <v>3498</v>
      </c>
      <c r="C137" s="75" t="s">
        <v>2771</v>
      </c>
      <c r="D137" s="76" t="s">
        <v>2772</v>
      </c>
      <c r="E137" s="77" t="s">
        <v>4480</v>
      </c>
      <c r="F137" s="77" t="s">
        <v>779</v>
      </c>
      <c r="G137" s="77" t="s">
        <v>978</v>
      </c>
      <c r="H137" s="77" t="str">
        <f t="shared" si="2"/>
        <v>somnath.bhusare@ujjivan.com;somnath.chaudhari@ujjivan.com;kausalya.sirgire@ujjivan.com;varun.yadav@ujjivan.com;west-nashikroad-branch@ujjivan.com;ccr-nashikroad@ujjivan.com;ananta.chaudhari@ujjivan.com;ravindra.avhad@ujjivan.com;gayatri.patil@ujjivan.com;deepak.jagtap@ujjivan.com;kausalya.sirgire@ujjivan.com;nitin.hemade@ujjivan.com;Ashok.gosawi@ujjivan.com;amar.patil@ujjivan.com;kabir.jadhav@ujjivan.com;somnath.dube@ujjivan.com;sunil.mali@ujjivan.com;;</v>
      </c>
      <c r="J137" s="77" t="s">
        <v>3073</v>
      </c>
      <c r="K137" s="77"/>
    </row>
    <row r="138" spans="1:11" x14ac:dyDescent="0.25">
      <c r="A138" s="143" t="s">
        <v>780</v>
      </c>
      <c r="B138" s="75" t="s">
        <v>3499</v>
      </c>
      <c r="C138" s="75" t="s">
        <v>2746</v>
      </c>
      <c r="D138" s="76" t="s">
        <v>1440</v>
      </c>
      <c r="E138" s="77" t="s">
        <v>4481</v>
      </c>
      <c r="F138" s="77" t="s">
        <v>779</v>
      </c>
      <c r="G138" s="77" t="s">
        <v>978</v>
      </c>
      <c r="H138" s="77" t="str">
        <f t="shared" si="2"/>
        <v>sameer.gadigaonkar@ujjivan.com;induben.jadav@ujjivan.com;kausalya.sirgire@ujjivan.com;varun.yadav@ujjivan.com;west-cidco-branch@ujjivan.com;ccr-cidco@ujjivan.com;vaishali.charbhe@ujjivan.com;balu.andhale@ujjivan.com;santosh.mundhe@ujjivan.com;sameer.gadigaonkar@ujjivan.com;induben.jadav@ujjivan.com;kausalya.sirgire@ujjivan.com;nitin.hemade@ujjivan.com;Chandrakant.suryawanshi@ujjivan.com;amar.patil@ujjivan.com;;</v>
      </c>
      <c r="J138" s="77" t="s">
        <v>3075</v>
      </c>
      <c r="K138" s="77"/>
    </row>
    <row r="139" spans="1:11" x14ac:dyDescent="0.25">
      <c r="A139" s="143" t="s">
        <v>781</v>
      </c>
      <c r="B139" s="75" t="s">
        <v>3500</v>
      </c>
      <c r="C139" s="75" t="s">
        <v>2755</v>
      </c>
      <c r="D139" s="76" t="s">
        <v>4652</v>
      </c>
      <c r="E139" s="77" t="s">
        <v>4145</v>
      </c>
      <c r="F139" s="77" t="s">
        <v>4540</v>
      </c>
      <c r="G139" s="77" t="s">
        <v>2756</v>
      </c>
      <c r="H139" s="77" t="str">
        <f t="shared" si="2"/>
        <v>dnyandev.awasarmal@ujjivan.com;sachin.mandavkar@ujjivan.com;gaurav.pawar@ujjivan.com;nirav.vahalia@ujjivan.com;west-navimumbai-branch@ujjivan.com;ccr-navimumbai@ujjivan.com;utkarsh.tawade@ujjivan.com;sumaiya.qureshi@ujjivan.com;manoj.bamne@ujjivan.com;gupta.mahesh@ujjivan.com;prashant.jadhav@ujjivan.com;jitendra.sodhi@ujjivan.com;sagar.chavan@ujjivan.com;tanveer.khan@ujjivan.com;kaveri.pawar@ujjivan.com;sunil.parab@ujjivan.com;;;</v>
      </c>
      <c r="J139" s="77" t="s">
        <v>3041</v>
      </c>
      <c r="K139" s="77"/>
    </row>
    <row r="140" spans="1:11" x14ac:dyDescent="0.25">
      <c r="A140" s="143" t="s">
        <v>2436</v>
      </c>
      <c r="B140" s="75" t="s">
        <v>3556</v>
      </c>
      <c r="C140" s="75" t="s">
        <v>2747</v>
      </c>
      <c r="D140" s="76" t="s">
        <v>782</v>
      </c>
      <c r="E140" s="77" t="s">
        <v>4146</v>
      </c>
      <c r="F140" s="77" t="s">
        <v>783</v>
      </c>
      <c r="G140" s="77" t="s">
        <v>2756</v>
      </c>
      <c r="H140" s="77" t="str">
        <f t="shared" si="2"/>
        <v>bhushan.belwale@ujjivan.com;ravi.kakade@ujjivan.com;gaurav.oberoi@ujjivan.com;nirav.vahalia@ujjivan.com;west-thane-branch@ujjivan.com;ccr-thane@ujjivan.com;bhushan.belwale@ujjivan.com;gupta.mahesh@ujjivan.com;prashant.jadhav@ujjivan.com;gaurav.pawar@ujjivan.com;gaurav.oberoi@ujjivan.com;jitendra.sodhi@ujjivan.com;sagar.chavan@ujjivan.com;shekhar.jagtap@ujjivan.com;shekhar.jagtap@ujjivan.com;anil.gupta@ujjivan.com;sunil.parab@ujjivan.com;;;</v>
      </c>
      <c r="J140" s="77" t="s">
        <v>3078</v>
      </c>
      <c r="K140" s="77"/>
    </row>
    <row r="141" spans="1:11" x14ac:dyDescent="0.25">
      <c r="A141" s="143" t="s">
        <v>784</v>
      </c>
      <c r="B141" s="75" t="s">
        <v>3501</v>
      </c>
      <c r="C141" s="75" t="s">
        <v>3896</v>
      </c>
      <c r="D141" s="76" t="s">
        <v>4653</v>
      </c>
      <c r="E141" s="77" t="s">
        <v>4147</v>
      </c>
      <c r="F141" s="77" t="s">
        <v>783</v>
      </c>
      <c r="G141" s="77" t="s">
        <v>2756</v>
      </c>
      <c r="H141" s="77" t="str">
        <f t="shared" si="2"/>
        <v>vijay.bhalerao@ujjivan.com;amol.joshi@ujjivan.com;gaurav.oberoi@ujjivan.com;nirav.vahalia@ujjivan.com;west-chembur-branch@ujjivan.com;ccr-chembur@ujjivan.com;amar.lagad@ujjivan.com;prashant.jadhav@ujjivan.com;jitendra.sodhi@ujjivan.com;mahesh.rane@ujjivan.com;mahesh.gupta@ujjivan.com;Sanjay.kalwar@ujjivan.com;amol.pawar@ujjivan.com;kailash.chaudhari@ujjivan.com ;rameshwar.chaudhari@ujjivan.com;amravati.kori@ujjivan.com;amravati.kori@ujjivan.com;nikul.bhandari@ujjivan.com;prashant.jadhav@ujjivan.com;yogesh.sanap@ujjivan.com;rupesh.khatri@ujjivan.com;amol.joshi@ujjivan.com;sachin.rewale@ujjivan.com;nilofer.khan@ujjivan.com;sunil.parab@ujjivan.com;;</v>
      </c>
      <c r="J141" s="77" t="s">
        <v>3043</v>
      </c>
      <c r="K141" s="77"/>
    </row>
    <row r="142" spans="1:11" x14ac:dyDescent="0.25">
      <c r="A142" s="143" t="s">
        <v>2441</v>
      </c>
      <c r="B142" s="75" t="s">
        <v>3557</v>
      </c>
      <c r="C142" s="75" t="s">
        <v>2750</v>
      </c>
      <c r="D142" s="76" t="s">
        <v>2751</v>
      </c>
      <c r="E142" s="77" t="s">
        <v>4148</v>
      </c>
      <c r="F142" s="77" t="s">
        <v>783</v>
      </c>
      <c r="G142" s="77" t="s">
        <v>2756</v>
      </c>
      <c r="H142" s="77" t="str">
        <f t="shared" si="2"/>
        <v>sachin.rewale@ujjivan.com;pappu.saroj@ujjivan.com;gaurav.oberoi@ujjivan.com;nirav.vahalia@ujjivan.com;west-govandi-branch@ujjivan.com;ccr-mankhurd@ujjivan.com;pappu.saroj@ujjivan.com;gupta.mahesh@ujjivan.com;rajesh.gurav@ujjivan.com;prashant.jadhav@ujjivan.com;jitendra.sodhi@ujjivan.com;mahesh.rane@ujjivan.com;Sanjay.kalwar@ujjivan.com;sandeep.yadav@ujjivan.com;gaurav.oberoi@ujjivan.com; kanchan.dalvi@ujjivan.com;akshay.gurav@ujjivan.com;sunil.parab@ujjivan.com;sachin.rewale@ujjivan.com;;;</v>
      </c>
      <c r="J142" s="77" t="s">
        <v>3081</v>
      </c>
      <c r="K142" s="77"/>
    </row>
    <row r="143" spans="1:11" x14ac:dyDescent="0.25">
      <c r="A143" s="143" t="s">
        <v>785</v>
      </c>
      <c r="B143" s="75" t="s">
        <v>3502</v>
      </c>
      <c r="C143" s="75" t="s">
        <v>2748</v>
      </c>
      <c r="D143" s="76" t="s">
        <v>4654</v>
      </c>
      <c r="E143" s="77" t="s">
        <v>4149</v>
      </c>
      <c r="F143" s="77" t="s">
        <v>768</v>
      </c>
      <c r="G143" s="77" t="s">
        <v>978</v>
      </c>
      <c r="H143" s="77" t="str">
        <f t="shared" si="2"/>
        <v>prasad.bhavsar@ujjivan.com;Prasad.Chavan@ujjivan.com;tushar.upase@ujjivan.com;varun.yadav@ujjivan.com;katraj@ujjivan.com;ccr-katraj@ujjivan.com;deepak.markad@ujjivan.com;tushar.upase@ujjivan.com;ramesh.kamble@ujjivan.com;hemant.awade@ujjivan.com;santosh.khaire@ujjivan.com;nikhil.patil@ujjivan.com;Vishal.Darvatkar@ujjivan.com;shahir.khandagale@ujjivan.com;abhijeet.bhadange@ujjivan.com;vikash.singh@ujjivan.com;mangesh.waikar@ujjivan.com;;</v>
      </c>
      <c r="J143" s="77" t="s">
        <v>3083</v>
      </c>
      <c r="K143" s="77"/>
    </row>
    <row r="144" spans="1:11" x14ac:dyDescent="0.25">
      <c r="A144" s="143" t="s">
        <v>787</v>
      </c>
      <c r="B144" s="75" t="s">
        <v>3503</v>
      </c>
      <c r="C144" s="75" t="s">
        <v>2749</v>
      </c>
      <c r="D144" s="76" t="s">
        <v>788</v>
      </c>
      <c r="E144" s="77" t="s">
        <v>4150</v>
      </c>
      <c r="F144" s="77" t="s">
        <v>783</v>
      </c>
      <c r="G144" s="77" t="s">
        <v>2756</v>
      </c>
      <c r="H144" s="77" t="str">
        <f t="shared" si="2"/>
        <v>dipmala.jadhav@ujjivan.com;sandeep.nagare@ujjivan.com;gaurav.oberoi@ujjivan.com;nirav.vahalia@ujjivan.com;kalyan@ujjivan.com;ccr-kalyan@ujjivan.com;dipmala.jadhav@ujjivan.com;tanaji.bansode@ujjivan.com;gupta.mahesh@ujjivan.com;prashant.jadhav@ujjivan.com;gaurav.oberoi@ujjivan.com;jitendra.sodhi@ujjivan.com;Sanjay.kalwar@ujjivan.com;rahul.kushwaha@ujjivan.com;pravin.pargharmor@ujjivan.com;gunjan.singh@ujjivan.com;amit.sawant@ujjivan.com;amarnath.kumhar@ujjivan.com;sunil.parab@ujjivan.com;;;</v>
      </c>
      <c r="J144" s="77" t="s">
        <v>3085</v>
      </c>
      <c r="K144" s="77"/>
    </row>
    <row r="145" spans="1:11" x14ac:dyDescent="0.25">
      <c r="A145" s="143" t="s">
        <v>789</v>
      </c>
      <c r="B145" s="75"/>
      <c r="C145" s="75"/>
      <c r="D145" s="76"/>
      <c r="E145" s="77"/>
      <c r="F145" s="77"/>
      <c r="G145" s="77"/>
      <c r="H145" s="77" t="str">
        <f t="shared" si="2"/>
        <v>;;;;;;</v>
      </c>
      <c r="J145" s="77"/>
      <c r="K145" s="77"/>
    </row>
    <row r="146" spans="1:11" x14ac:dyDescent="0.25">
      <c r="A146" s="143" t="s">
        <v>790</v>
      </c>
      <c r="B146" s="75"/>
      <c r="C146" s="75"/>
      <c r="D146" s="76" t="s">
        <v>806</v>
      </c>
      <c r="E146" s="77" t="s">
        <v>4483</v>
      </c>
      <c r="F146" s="77" t="s">
        <v>4540</v>
      </c>
      <c r="G146" s="77" t="s">
        <v>2756</v>
      </c>
      <c r="H146" s="77" t="str">
        <f t="shared" si="2"/>
        <v>vinod.sonawane@ujjivan.com;mohit.jadhav337@ujjivan.com;gaurav.pawar@ujjivan.com;nirav.vahalia@ujjivan.com;west-ambernath-branch@ujjivan.com;ccr-ambernath@ujjivan.com;soniya.bhagat@ujjivan.com;dhammapal.magare@ujjivan.com;yogesh.pawar@ujjivan.com;gupta.mahesh@ujjivan.com;rakesh.athavale@ujjivan.com;jitendra.sodhi@ujjivan.com;gupta.mahesh@ujjivan.com;Sanjay.kalwar@ujjivan.com;kavita.mahadik@ujjivan.com;kailash.chaudhari@ujjivan.com ;sandeep.yadav@ujjivan.com;sunil.parab@ujjivan.com;vinod.sonawane@ujjivan.com;;;</v>
      </c>
      <c r="J146" s="77" t="s">
        <v>3046</v>
      </c>
      <c r="K146" s="77"/>
    </row>
    <row r="147" spans="1:11" x14ac:dyDescent="0.25">
      <c r="A147" s="143" t="s">
        <v>791</v>
      </c>
      <c r="B147" s="75" t="s">
        <v>3504</v>
      </c>
      <c r="C147" s="75" t="s">
        <v>3897</v>
      </c>
      <c r="D147" s="76" t="s">
        <v>4655</v>
      </c>
      <c r="E147" s="77" t="s">
        <v>4151</v>
      </c>
      <c r="F147" s="77" t="s">
        <v>4540</v>
      </c>
      <c r="G147" s="77" t="s">
        <v>2756</v>
      </c>
      <c r="H147" s="77" t="str">
        <f t="shared" si="2"/>
        <v>shraddha.rapelli@ujjivan.com;soniya.bhagat@ujjivan.com;gaurav.pawar@ujjivan.com;nirav.vahalia@ujjivan.com;west-kalwa-branch@ujjivan.com;ccr-kalwa@ujjivan.com;kalpana.chavan@ujjivan.com;gupta.mahesh@ujjivan.com;yogesh.shinde@ujjivan.com;prashant.jadhav@ujjivan.com;vijay.bhalerao@ujjivan.com;gaurav.oberoi@ujjivan.com;jitendra.sodhi@ujjivan.com;Sanjay.kalwar@ujjivan.com;rahul.kushwaha@ujjivan.com;pravin.pargharmor@ujjivan.com;rahul.kushwaha@ujjivan.com;archana.shaha@ujjivan.com;sunil.parab@ujjivan.com;yogesh.nagargoje@ujjivan.com;;;</v>
      </c>
      <c r="J147" s="77" t="s">
        <v>3088</v>
      </c>
      <c r="K147" s="77"/>
    </row>
    <row r="148" spans="1:11" x14ac:dyDescent="0.25">
      <c r="A148" s="143" t="s">
        <v>2457</v>
      </c>
      <c r="B148" s="75"/>
      <c r="C148" s="75"/>
      <c r="D148" s="76"/>
      <c r="E148" s="77"/>
      <c r="F148" s="77"/>
      <c r="G148" s="77"/>
      <c r="H148" s="77" t="str">
        <f t="shared" si="2"/>
        <v>;;;;;;</v>
      </c>
      <c r="J148" s="77"/>
      <c r="K148" s="77"/>
    </row>
    <row r="149" spans="1:11" x14ac:dyDescent="0.25">
      <c r="A149" s="143" t="s">
        <v>2460</v>
      </c>
      <c r="B149" s="75" t="s">
        <v>3558</v>
      </c>
      <c r="C149" s="75" t="s">
        <v>3898</v>
      </c>
      <c r="D149" s="76" t="s">
        <v>3764</v>
      </c>
      <c r="E149" s="77" t="s">
        <v>4484</v>
      </c>
      <c r="F149" s="77" t="s">
        <v>4540</v>
      </c>
      <c r="G149" s="77" t="s">
        <v>2756</v>
      </c>
      <c r="H149" s="77" t="str">
        <f t="shared" si="2"/>
        <v>amol.pawar@ujjivan.com;meena.jangate@ujjivan.com;gaurav.pawar@ujjivan.com;nirav.vahalia@ujjivan.com;west-mulund-branch@ujjivan.com;ccr.mulund@ujjivan.com;darshana.kumbhar@ujjivan.com;jayesh.vesvikar@ujjivan.com;sachin.mandavkar@ujjivan.com;hiren.karolia@ujjivan.com;yogesh.shinde@ujjivan.com;prashant.jadhav@ujjivan.com;tanveer.khan@ujjivan.com;jitendra.sodhi@ujjivan.com;mahesh.gupta@ujjivan.com;Sanjay.kalwar@ujjivan.com;nikul.bhandari@ujjivan.com;sandeep.yadav@ujjivan.com;Dilip.yadav@ujjivan.com;kaveri.pawar@ujjivan.com;shankar.jadhav@ujjivan.com;dipali.bhurke@ujjivan.com;sunil.parab@ujjivan.com;omkar.malwade@ujjivan.com;;;</v>
      </c>
      <c r="J149" s="77" t="s">
        <v>3048</v>
      </c>
      <c r="K149" s="77"/>
    </row>
    <row r="150" spans="1:11" x14ac:dyDescent="0.25">
      <c r="A150" s="143" t="s">
        <v>793</v>
      </c>
      <c r="B150" s="75" t="s">
        <v>4426</v>
      </c>
      <c r="C150" s="75" t="s">
        <v>3894</v>
      </c>
      <c r="D150" s="76" t="s">
        <v>3763</v>
      </c>
      <c r="E150" s="77" t="s">
        <v>4485</v>
      </c>
      <c r="F150" s="77" t="s">
        <v>779</v>
      </c>
      <c r="G150" s="77" t="s">
        <v>978</v>
      </c>
      <c r="H150" s="77" t="str">
        <f t="shared" si="2"/>
        <v>tushar.mali@ujjivan.com;asifa.shaikh@ujjivan.com;kausalya.sirgire@ujjivan.com;varun.yadav@ujjivan.com;west-nashikcity-branch@ujjivan.com;ccr-nashikcity@ujjivan.com;kundan.patil@ujjivan.com;hemlata.pande@ujjivan.com;kausalya.sirgire@ujjivan.com;nitin.hemade@ujjivan.com;amar.patil@ujjivan.com;shital.satpute@ujjivan.com;nayan.thorat@ujjivan.com;Amol.ahirrao@ujjivan.com;;</v>
      </c>
      <c r="J150" s="77" t="s">
        <v>3091</v>
      </c>
      <c r="K150" s="77"/>
    </row>
    <row r="151" spans="1:11" x14ac:dyDescent="0.25">
      <c r="A151" s="143" t="s">
        <v>794</v>
      </c>
      <c r="B151" s="75"/>
      <c r="C151" s="75"/>
      <c r="D151" s="76"/>
      <c r="E151" s="77"/>
      <c r="F151" s="77"/>
      <c r="G151" s="77"/>
      <c r="H151" s="77" t="str">
        <f t="shared" si="2"/>
        <v>;;;;west-panchavati-branch@ujjivan.com;ccr-panchavati@ujjivan.com;harshada.patil@ujjivan.com;somnath.chaudhari@ujjivan.com;rekha.sanap@ujjivan.com;shekhar.pardeshi@ujjivan.com;kausalya.sirgire@ujjivan.com;nitin.hemade@ujjivan.com;Chandrakant.suryawanshi@ujjivan.com ;sunil.mali@ujjivan.com;amar.patil@ujjivan.com;vaibhav.wagh@ujjivan.com;;;</v>
      </c>
      <c r="J151" s="77" t="s">
        <v>3093</v>
      </c>
      <c r="K151" s="77"/>
    </row>
    <row r="152" spans="1:11" x14ac:dyDescent="0.25">
      <c r="A152" s="143" t="s">
        <v>796</v>
      </c>
      <c r="B152" s="75" t="s">
        <v>3505</v>
      </c>
      <c r="C152" s="75" t="s">
        <v>3899</v>
      </c>
      <c r="D152" s="76" t="s">
        <v>4656</v>
      </c>
      <c r="E152" s="77" t="s">
        <v>4155</v>
      </c>
      <c r="F152" s="77" t="s">
        <v>4541</v>
      </c>
      <c r="G152" s="77" t="s">
        <v>2756</v>
      </c>
      <c r="H152" s="77" t="str">
        <f t="shared" si="2"/>
        <v>ritesh.sawant@ujjivan.com;pandurang.shinde@ujjivan.com;deepika.deori@ujjivan.com;nirav.vahalia@ujjivan.com;west-chakala-branch@ujjivan.com;west-chandivali-branch@ujjivan.com;ccr-chandivali@ujjivan.com;arun.jagtap@ujjivan.com;pandurang.shinde@ujjivan.com;vaishali.kamble@ujjivan.com;aniket.tamuche@ujjivan.com;hiren.karolia@ujjivan.com;umakant.yadav@ujjivan.com;prashant.jadhav@ujjivan.com;priya.gaikwad@ujjivan.com;tanveer.khan@ujjivan.com;jitendra.sodhi@ujjivan.com;gupta.mahesh@ujjivan.com;Sanjay.kalwar@ujjivan.com;aditya.tripathi@ujjivan.com;sunil.parab@ujjivan.com;ravindra.kharat@ujjivan.com;;;</v>
      </c>
      <c r="J152" s="77" t="s">
        <v>3095</v>
      </c>
      <c r="K152" s="77"/>
    </row>
    <row r="153" spans="1:11" x14ac:dyDescent="0.25">
      <c r="A153" s="143" t="s">
        <v>797</v>
      </c>
      <c r="B153" s="75" t="s">
        <v>3506</v>
      </c>
      <c r="C153" s="75" t="s">
        <v>2768</v>
      </c>
      <c r="D153" s="76" t="s">
        <v>2769</v>
      </c>
      <c r="E153" s="77" t="s">
        <v>4156</v>
      </c>
      <c r="F153" s="77" t="s">
        <v>798</v>
      </c>
      <c r="G153" s="77" t="s">
        <v>829</v>
      </c>
      <c r="H153" s="77" t="str">
        <f t="shared" si="2"/>
        <v>nilesh.girase@ujjivan.com;girish.gamit@ujjivan.com;rajesh.khedkar@ujjivan.com;satish.ankola@ujjivan.com;west-udhana-branch@ujjivan.com;ccr-udhana@ujjivan.com;milan.tarsariya@ujjivan.com;bhautik.kanani@ujjivan.com;girish.gamit@ujjivan.com;sushil.patil@ujjivan.com;naresh.dolar@ujjivan.com;rajesh.khedkar@ujjivan.com;sumit.shrivastav@ujjivan.com;gaurang.sonigra@ujjivan.com;sumit.shrivastav@ujjivan.com;hitarth.trivedi@ujjivan.com;himanshu.chauhan@ujjivan.com;ekta.kanthariya@ujjivan.com;bhishma.mahajan@ujjivan.com;dharmesh.mahyavanshi@ujjivan.com;sagar.bavishi@ujjivan.com;jaydeep.ghaskata@ujjivan.com;rohan.shirsath@ujjivan.com;jaydeep.vaghasiya@ujjivan.com;ahmed.lathiya@ujjivan.com;manish.rana@ujjivan.com;;</v>
      </c>
      <c r="J153" s="77" t="s">
        <v>3097</v>
      </c>
      <c r="K153" s="77"/>
    </row>
    <row r="154" spans="1:11" x14ac:dyDescent="0.25">
      <c r="A154" s="143" t="s">
        <v>799</v>
      </c>
      <c r="B154" s="75"/>
      <c r="C154" s="75"/>
      <c r="D154" s="76"/>
      <c r="E154" s="77"/>
      <c r="F154" s="77"/>
      <c r="G154" s="77"/>
      <c r="H154" s="77" t="str">
        <f t="shared" si="2"/>
        <v>;;;;chandresh.kharadi@ujjivan.com;;</v>
      </c>
      <c r="J154" s="77" t="s">
        <v>3003</v>
      </c>
      <c r="K154" s="77"/>
    </row>
    <row r="155" spans="1:11" x14ac:dyDescent="0.25">
      <c r="A155" s="143" t="s">
        <v>800</v>
      </c>
      <c r="B155" s="75"/>
      <c r="C155" s="75"/>
      <c r="D155" s="76" t="s">
        <v>4657</v>
      </c>
      <c r="E155" s="77" t="s">
        <v>4658</v>
      </c>
      <c r="F155" s="77" t="s">
        <v>798</v>
      </c>
      <c r="G155" s="77" t="s">
        <v>829</v>
      </c>
      <c r="H155" s="77" t="str">
        <f t="shared" si="2"/>
        <v>bhishma.mahajan@ujjivan.com;sushil.patil@ujjivan.com;rajesh.khedkar@ujjivan.com;satish.ankola@ujjivan.com;west-limbayat-branch@ujjivan.com;ccr-limbayat@ujjivan.com;rahulkumar.paghdal@ujjivan.com;alpesh.surti@ujjivan.com;dashrath.rabari@ujjivan.com;dhananjay.wagh@ujjivan.com;jenish.lapsiwala@ujjivan.com;rajesh.khedkar@ujjivan.com;bhavin.surani@ujjivan.com;Dharmesh.Patil@ujjivan.com;hitarth.trivedi@ujjivan.com;bhavtik.barvaliya@ujjivan.com;vivek.kheni@ujjivan.com;vishal.sandanshiv@ujjivan.com;manish.rana@ujjivan.com;;</v>
      </c>
      <c r="J155" s="77" t="s">
        <v>3099</v>
      </c>
      <c r="K155" s="77"/>
    </row>
    <row r="156" spans="1:11" x14ac:dyDescent="0.25">
      <c r="A156" s="143" t="s">
        <v>801</v>
      </c>
      <c r="B156" s="75"/>
      <c r="C156" s="75"/>
      <c r="D156" s="76" t="s">
        <v>4659</v>
      </c>
      <c r="E156" s="77" t="s">
        <v>4660</v>
      </c>
      <c r="F156" s="77" t="s">
        <v>798</v>
      </c>
      <c r="G156" s="77" t="s">
        <v>829</v>
      </c>
      <c r="H156" s="77" t="str">
        <f t="shared" si="2"/>
        <v>prakash.bhitora@ujjivan.com;jaydeep.vaghasiya@ujjivan.com;rajesh.khedkar@ujjivan.com;satish.ankola@ujjivan.com;west-varachha-branch@ujjivan.com;ccr.varachha@ujjivan.com;prakash.patel@ujjivan.com;vimal.bhalani@ujjivan.com;yogesh.chaudhari@ujjivan.com;prakash.bhitora@ujjivan.com;rajesh.khedkar@ujjivan.com;punit.patel@ujjivan.com;hitarth.trivedi@ujjivan.com;dnyaneshwar.wakadikar@ujjivan.com;naresh.parmar@ujjivan.com;denishkumar.bhandari@ujjivan.com;yashpal.jadhav@ujjivan.com;keval.moradiya@ujjivan.com;rajesh.khedkar@ujjivan.com;gaurang.sonigra@ujjivan.com;himanshu.chauhan@ujjivan.com;kalpesh.moradiya@ujjivan.com;denishkumar.bhandari@ujjivan.com;manish.rana@ujjivan.com;;</v>
      </c>
      <c r="J156" s="77" t="s">
        <v>3101</v>
      </c>
      <c r="K156" s="77"/>
    </row>
    <row r="157" spans="1:11" x14ac:dyDescent="0.25">
      <c r="A157" s="143" t="s">
        <v>802</v>
      </c>
      <c r="B157" s="75" t="s">
        <v>3507</v>
      </c>
      <c r="C157" s="75" t="s">
        <v>3900</v>
      </c>
      <c r="D157" s="76" t="s">
        <v>4661</v>
      </c>
      <c r="E157" s="77" t="s">
        <v>4662</v>
      </c>
      <c r="F157" s="77" t="s">
        <v>4539</v>
      </c>
      <c r="G157" s="77" t="s">
        <v>978</v>
      </c>
      <c r="H157" s="77" t="str">
        <f t="shared" si="2"/>
        <v>pramod.mahangare@ujjivan.com;shweta.negi@ujjivan.com;shrikant.walunj@ujjivan.com;varun.yadav@ujjivan.com;west-chandannagar-branch@ujjivan.com;ccr-west.chandannagar@ujjivan.com;prashant.kawade@ujjivan.com;narendra.ramteke@ujjivan.com;tanaji.motegaonkar@ujjivan.com;shrikant.walunj@ujjivan.com;himanshu.mittal@ujjivan.com;sudhakar.ighare@ujjivan.com;hemant.awade@ujjivan.com;rahul.devne@ujjivan.com;abhijeet.bhadange@ujjivan.com;poonam.selakoti@ujjivan.com;;</v>
      </c>
      <c r="J157" s="77" t="s">
        <v>3103</v>
      </c>
      <c r="K157" s="77"/>
    </row>
    <row r="158" spans="1:11" x14ac:dyDescent="0.25">
      <c r="A158" s="143" t="s">
        <v>803</v>
      </c>
      <c r="B158" s="75" t="s">
        <v>3508</v>
      </c>
      <c r="C158" s="75" t="s">
        <v>3901</v>
      </c>
      <c r="D158" s="76" t="s">
        <v>3203</v>
      </c>
      <c r="E158" s="77" t="s">
        <v>4160</v>
      </c>
      <c r="F158" s="77" t="s">
        <v>4541</v>
      </c>
      <c r="G158" s="77" t="s">
        <v>2756</v>
      </c>
      <c r="H158" s="77" t="str">
        <f t="shared" si="2"/>
        <v>krishna.yadav@ujjivan.com;dievijay.jadhav@ujjivan.com;deepika.deori@ujjivan.com;nirav.vahalia@ujjivan.com;west-goregaon-branch@ujjivan.com;ccr.goregaon@ujjivan.com;dadasaheb.ghode@ujjivan.com;dhanraj.more@ujjivan.com;amol.pawar@ujjivan.com;prashant.jadhav@ujjivan.com;santhosh.acharya@ujjivan.com;tanveer.khan@ujjivan.com;jitendra.sodhi@ujjivan.com;gupta.mahesh@ujjivan.com;Sanjay.kalwar@ujjivan.com;mahesh.rane@ujjivan.com;mahendra.nikam@ujjivan.com;sunil.parab@ujjivan.com;mahesh.gupta@ujjivan.com;;</v>
      </c>
      <c r="J158" s="77" t="s">
        <v>3105</v>
      </c>
      <c r="K158" s="77"/>
    </row>
    <row r="159" spans="1:11" x14ac:dyDescent="0.25">
      <c r="A159" s="143" t="s">
        <v>2488</v>
      </c>
      <c r="B159" s="75" t="s">
        <v>3559</v>
      </c>
      <c r="C159" s="75" t="s">
        <v>2753</v>
      </c>
      <c r="D159" s="76" t="s">
        <v>2691</v>
      </c>
      <c r="E159" s="77" t="s">
        <v>4161</v>
      </c>
      <c r="F159" s="77" t="s">
        <v>4541</v>
      </c>
      <c r="G159" s="77" t="s">
        <v>2756</v>
      </c>
      <c r="H159" s="77" t="str">
        <f t="shared" si="2"/>
        <v>anil.bhosle@ujjivan.com;bhakti.nena@ujjivan.com;deepika.deori@ujjivan.com;nirav.vahalia@ujjivan.com;west-borivali-branch@ujjivan.com;ccr.borivali@ujjivan.com;anil.bhosle@ujjivan.com;kailas.gaikwad@ujjivan.com;amol.pawar@ujjivan.com;prashant.jadhav@ujjivan.com;jitendra.sodhi@ujjivan.com;gupta.mahesh@ujjivan.com;Sanjay.kalwar@ujjivan.com;mahesh.rane@ujjivan.com;abhijeet.das@ujjivan.com;kailash.chaudhari@ujjivan.com ;deepika.deori@ujjivan.com;yogesh.bodke@ujjivan.com;sunil.parab@ujjivan.com;mahesh.gupta@ujjivan.com;;;</v>
      </c>
      <c r="J159" s="77" t="s">
        <v>3107</v>
      </c>
      <c r="K159" s="77"/>
    </row>
    <row r="160" spans="1:11" x14ac:dyDescent="0.25">
      <c r="A160" s="143" t="s">
        <v>804</v>
      </c>
      <c r="B160" s="75" t="s">
        <v>3509</v>
      </c>
      <c r="C160" s="75" t="s">
        <v>2754</v>
      </c>
      <c r="D160" s="76" t="s">
        <v>3733</v>
      </c>
      <c r="E160" s="77" t="s">
        <v>4162</v>
      </c>
      <c r="F160" s="77" t="s">
        <v>4540</v>
      </c>
      <c r="G160" s="77" t="s">
        <v>2756</v>
      </c>
      <c r="H160" s="77" t="str">
        <f t="shared" si="2"/>
        <v>yogesh.nagargoje@ujjivan.com;sumaiya.qureshi@ujjivan.com;gaurav.pawar@ujjivan.com;nirav.vahalia@ujjivan.com;west-wadala-branch@ujjivan.com;ccr-wadala@ujjivan.com;mahendra.kamble@ujjivan.com;meena. Jangate;narayan.thorat@ujjivan.com;hiren.karolia@ujjivan.com;mahesh.rane@ujjivan.com;prashant.jadhav@ujjivan.com;ameet.usakoyall@ujjivan.com;jitendra.sodhi@ujjivan.com;gupta.mahesh@ujjivan.com;sagar.chavan@ujjivan.com;kailash.chaudhari@ujjivan.com ;rakesh.athavale@ujjivan.com;sanjay.kalwar@ujjivan.com;nandan.yadav@ujjivan.com;sunil.parab@ujjivan.com;;</v>
      </c>
      <c r="J160" s="77" t="s">
        <v>3109</v>
      </c>
      <c r="K160" s="77"/>
    </row>
    <row r="161" spans="1:11" x14ac:dyDescent="0.25">
      <c r="A161" s="143" t="s">
        <v>805</v>
      </c>
      <c r="B161" s="75"/>
      <c r="C161" s="75"/>
      <c r="D161" s="76"/>
      <c r="E161" s="77"/>
      <c r="F161" s="77"/>
      <c r="G161" s="77"/>
      <c r="H161" s="77" t="str">
        <f t="shared" si="2"/>
        <v>;;;;arun.parmar@ujjivan.com;;</v>
      </c>
      <c r="J161" s="77" t="s">
        <v>3002</v>
      </c>
      <c r="K161" s="77"/>
    </row>
    <row r="162" spans="1:11" x14ac:dyDescent="0.25">
      <c r="A162" s="143" t="s">
        <v>807</v>
      </c>
      <c r="B162" s="75"/>
      <c r="C162" s="75"/>
      <c r="D162" s="76" t="s">
        <v>4663</v>
      </c>
      <c r="E162" s="77" t="s">
        <v>4664</v>
      </c>
      <c r="F162" s="77" t="s">
        <v>4541</v>
      </c>
      <c r="G162" s="77" t="s">
        <v>2756</v>
      </c>
      <c r="H162" s="77" t="str">
        <f t="shared" si="2"/>
        <v>santhosh.acharya@ujjivan.com;sanket.kolte@ujjivan.com;deepika.deori@ujjivan.com;nirav.vahalia@ujjivan.com;west-santacruz-branch@ujjivan.com;ccr.santacruz@ujjivan.com;daulat.jeliya@ujjivan.com;bhagyashri.garade@ujjivan.com;digambar.sharma@ujjivan.com;karishma.desai@ujjivan.com;hiren.karolia@ujjivan.com;umakant.yadav@ujjivan.com;tanveer.khan@ujjivan.com;jitendra.sodhi@ujjivan.com;gupta.mahesh@ujjivan.com;Sanjay.kalwar@ujjivan.com;santhosh.acharya@ujjivan.com;ravi.kakade@ujjivan.com;vinod.sonawane@ujjivan.com;sunil.parab@ujjivan.com;;;</v>
      </c>
      <c r="J162" s="77" t="s">
        <v>3053</v>
      </c>
      <c r="K162" s="77"/>
    </row>
    <row r="163" spans="1:11" x14ac:dyDescent="0.25">
      <c r="A163" s="143" t="s">
        <v>808</v>
      </c>
      <c r="B163" s="75"/>
      <c r="C163" s="75"/>
      <c r="D163" s="76"/>
      <c r="E163" s="77"/>
      <c r="F163" s="77"/>
      <c r="G163" s="77"/>
      <c r="H163" s="77" t="str">
        <f t="shared" si="2"/>
        <v>;;;;chandresh.kharadi@ujjivan.com;;</v>
      </c>
      <c r="J163" s="77" t="s">
        <v>3003</v>
      </c>
      <c r="K163" s="77"/>
    </row>
    <row r="164" spans="1:11" x14ac:dyDescent="0.25">
      <c r="A164" s="143" t="s">
        <v>2503</v>
      </c>
      <c r="B164" s="75" t="s">
        <v>3560</v>
      </c>
      <c r="C164" s="75" t="s">
        <v>3902</v>
      </c>
      <c r="D164" s="76" t="s">
        <v>4665</v>
      </c>
      <c r="E164" s="77" t="s">
        <v>4164</v>
      </c>
      <c r="F164" s="77" t="s">
        <v>798</v>
      </c>
      <c r="G164" s="77" t="s">
        <v>829</v>
      </c>
      <c r="H164" s="77" t="str">
        <f t="shared" si="2"/>
        <v>alpesh.surti@ujjivan.com;bhoomika.khamkar@ujjivan.com;rajesh.khedkar@ujjivan.com;satish.ankola@ujjivan.com;west-navsari-branch@ujjivan.com;ccr-navsari@ujjivan.com;alpesh.surti@ujjivan.com;bhoomika.khamkar@ujjivan.com;manoj.parekh@ujjivan.com;surendra.rajput@ujjivan.com;ruchira.patel@ujjivan.com;rajesh.khedkar@ujjivan.com;himanshu.chauhan@ujjivan.com;hitarth.trivedi@ujjivan.com;ekta.kanthariya@ujjivan.com;dnyaneshwar.wakadikar@ujjivan.com;dipak.patil@ujjivan.com;manish.rana@ujjivan.com;vivek.mistry@ujjivan.com;;</v>
      </c>
      <c r="J164" s="77" t="s">
        <v>3112</v>
      </c>
      <c r="K164" s="77"/>
    </row>
    <row r="165" spans="1:11" x14ac:dyDescent="0.25">
      <c r="A165" s="143" t="s">
        <v>809</v>
      </c>
      <c r="B165" s="75" t="s">
        <v>3510</v>
      </c>
      <c r="C165" s="75" t="s">
        <v>2757</v>
      </c>
      <c r="D165" s="76" t="s">
        <v>812</v>
      </c>
      <c r="E165" s="77" t="s">
        <v>4165</v>
      </c>
      <c r="F165" s="77" t="s">
        <v>4666</v>
      </c>
      <c r="G165" s="77" t="s">
        <v>829</v>
      </c>
      <c r="H165" s="77" t="str">
        <f t="shared" si="2"/>
        <v>anish.malik@ujjivan.com;sumeet.parmar@ujjivan.com;jenish.lapsiwala@ujjivan.com;satish.ankola@ujjivan.com;west-north.vadodara-branch@ujjivan.com;ccr-baroda-north@ujjivan.com; bhautik.vekariya@ujjivan.com;anish.malik@ujjivan.com;samir.shah@ujjivan.com;rajay.nikam@ujjivan.com;nirav.vahalia@ujjivan.com;vijay.rohit@ujjivan.com;nikhil.kulshretsha@ujjivan.com;rajnikant.parmar@ujjivan.com;hitarth.trivedi@ujjivan.com;agarwal prashant@ujjivan.com;sumeet.parmar@ujjivan.com;anish.malik@ujjivan.com;daxesh.bariya@ujjivan.com;amit.thakur@ujjivan.com;pravin.parmar@ujjivan.com;manish.rana@ujjivan.com;agarwal.prashant@ujjivan.com;;</v>
      </c>
      <c r="J165" s="77" t="s">
        <v>3114</v>
      </c>
      <c r="K165" s="77"/>
    </row>
    <row r="166" spans="1:11" x14ac:dyDescent="0.25">
      <c r="A166" s="143" t="s">
        <v>810</v>
      </c>
      <c r="B166" s="75" t="s">
        <v>3511</v>
      </c>
      <c r="C166" s="75" t="s">
        <v>3903</v>
      </c>
      <c r="D166" s="76" t="s">
        <v>3737</v>
      </c>
      <c r="E166" s="77" t="s">
        <v>4166</v>
      </c>
      <c r="F166" s="77" t="s">
        <v>4666</v>
      </c>
      <c r="G166" s="77" t="s">
        <v>829</v>
      </c>
      <c r="H166" s="77" t="str">
        <f t="shared" si="2"/>
        <v>gaurav.agrawal@ujjivan.com;sunita.rohit@ujjivan.com;jenish.lapsiwala@ujjivan.com;satish.ankola@ujjivan.com;west-south.vadodara-branch@ujjivan;ccr-baroda-south@ujjivan.com;sunita.rohit@ujjivan.com;snehal.shah@ujjivan.com;jitendra.sharma@ujjivan.com;Akshay.joshi@ujjivan.com; gaurav.agrawal@ujjivan.com; viral.patel@ujjivan.com;sunita.rohit@ujjivan.com;west-south.vadodara-branch@ujjivan.com;;</v>
      </c>
      <c r="J166" s="77" t="s">
        <v>3195</v>
      </c>
      <c r="K166" s="77"/>
    </row>
    <row r="167" spans="1:11" x14ac:dyDescent="0.25">
      <c r="A167" s="143" t="s">
        <v>811</v>
      </c>
      <c r="B167" s="75"/>
      <c r="C167" s="75"/>
      <c r="D167" s="76"/>
      <c r="E167" s="77"/>
      <c r="F167" s="77"/>
      <c r="G167" s="77"/>
      <c r="H167" s="77" t="str">
        <f t="shared" si="2"/>
        <v>;;;;;;</v>
      </c>
      <c r="J167" s="77"/>
      <c r="K167" s="77"/>
    </row>
    <row r="168" spans="1:11" x14ac:dyDescent="0.25">
      <c r="A168" s="143" t="s">
        <v>2511</v>
      </c>
      <c r="B168" s="75"/>
      <c r="C168" s="75"/>
      <c r="D168" s="76"/>
      <c r="E168" s="77"/>
      <c r="F168" s="77"/>
      <c r="G168" s="77"/>
      <c r="H168" s="77" t="str">
        <f t="shared" si="2"/>
        <v>;;;;west-west.vadodara-branch@ujjivan.com;ccr-baroda-west@ujjivan.com;manish.helaiya@ujjivan.com;kushal.parmar@ujjivan.com;hitesh.gangwani@ujjivan.com;hiten.patel@ujjivan.com;nirav.vahalia@ujjivan.com;vijay.rohit@ujjivan.com;amit.thakur@ujjivan.com;hitarth.trivedi@ujjivan.com;nilesh.parmar@ujjivan.com;daxesh.bariya@ujjivan.com;mayur.dindorkar@ujjivan.com;vijayshankar.rajput@ujjivan.com;manish.rana@ujjivan.com;;</v>
      </c>
      <c r="J168" s="77" t="s">
        <v>3118</v>
      </c>
      <c r="K168" s="77"/>
    </row>
    <row r="169" spans="1:11" x14ac:dyDescent="0.25">
      <c r="A169" s="143" t="s">
        <v>813</v>
      </c>
      <c r="B169" s="75" t="s">
        <v>3512</v>
      </c>
      <c r="C169" s="75" t="s">
        <v>2758</v>
      </c>
      <c r="D169" s="76" t="s">
        <v>4667</v>
      </c>
      <c r="E169" s="77" t="s">
        <v>4668</v>
      </c>
      <c r="F169" s="77" t="s">
        <v>4666</v>
      </c>
      <c r="G169" s="77" t="s">
        <v>829</v>
      </c>
      <c r="H169" s="77" t="str">
        <f t="shared" si="2"/>
        <v>samir.shah@ujjivan.com;kushal.parmar@ujjivan.com;jenish.lapsiwala@ujjivan.com;satish.ankola@ujjivan.com;west-central.vadodara-branch@ujjivan.com;ccr-baroda-central@ujjivan.com;pravin.parmar@ujjivan.com;vikas.prajapati@ujjivan.com;kuntal.patel@ujjivan.com;kalidas.solanki@ujjivan.com;vijay.rohit@ujjivan.com;amit.thakur@ujjivan.com;nikhil.kulshretsha@ujjivan.com;hitarth.trivedi@ujjivan.com;vinod.khristi@ujjivan.com;hiten.patel@ujjivan.com;manish.rana@ujjivan.com;vijaykumar.rohit@ujjivan.com;;</v>
      </c>
      <c r="J169" s="77" t="s">
        <v>3120</v>
      </c>
      <c r="K169" s="77"/>
    </row>
    <row r="170" spans="1:11" x14ac:dyDescent="0.25">
      <c r="A170" s="143" t="s">
        <v>2518</v>
      </c>
      <c r="B170" s="75" t="s">
        <v>3561</v>
      </c>
      <c r="C170" s="75" t="s">
        <v>3904</v>
      </c>
      <c r="D170" s="76" t="s">
        <v>4669</v>
      </c>
      <c r="E170" s="77"/>
      <c r="F170" s="77" t="s">
        <v>4670</v>
      </c>
      <c r="G170" s="77" t="s">
        <v>829</v>
      </c>
      <c r="H170" s="77" t="str">
        <f t="shared" si="2"/>
        <v>barkatali.vadhavania@ujjivan.com;;ashok.gosawi@ujjivan.com;satish.ankola@ujjivan.com;west-ankleshwar-branch@ujjivan.com;ccr.ankaleshwar@ujjivan.com;sushil.vijayvargiya@ujjivan.com;barkatali.vadhvania@ujjivan.com;nirav.vahalia@ujjivan.com;vijay.rohit@ujjivan.com;amit.thakur@ujjivan.com;hitarth.trivedi@ujjivan.com;dharmesh.vaghela@ujjivan.com;atul.patel@ujjivan.com;natvar.vasava@ujjivan.com;indrajeet.shirke@ujjivan.com;manish.rana@ujjivan.com;;;</v>
      </c>
      <c r="J170" s="77" t="s">
        <v>3122</v>
      </c>
      <c r="K170" s="77"/>
    </row>
    <row r="171" spans="1:11" x14ac:dyDescent="0.25">
      <c r="A171" s="143" t="s">
        <v>814</v>
      </c>
      <c r="B171" s="75" t="s">
        <v>3513</v>
      </c>
      <c r="C171" s="75" t="s">
        <v>3905</v>
      </c>
      <c r="D171" s="76" t="s">
        <v>4671</v>
      </c>
      <c r="E171" s="77" t="s">
        <v>4168</v>
      </c>
      <c r="F171" s="77" t="s">
        <v>4670</v>
      </c>
      <c r="G171" s="77" t="s">
        <v>829</v>
      </c>
      <c r="H171" s="77" t="str">
        <f t="shared" si="2"/>
        <v>nilesh.patel@ujjivan.com;kalpeshkumar.rathod@ujjivan.com;ashok.gosawi@ujjivan.com;satish.ankola@ujjivan.com;west-bharuch-branch@ujjivan.com;ccr-bharuch@ujjivan.com;bipinkumar.chauhan@ujjivan.com;dharmesh.vaghela@ujjivan.com;vivek.anand@ujjivan.com;nirav.vahalia@ujjivan.com;vijay.rohit@ujjivan.com;amit.thakur@ujjivan.com;hitarth.trivedi@ujjivan.com;vinod.khristi@ujjivan.com;atul.patel@ujjivan.com;shehjad.mistry@ujjivan.com;manish.rana@ujjivan.com;;</v>
      </c>
      <c r="J171" s="77" t="s">
        <v>3124</v>
      </c>
      <c r="K171" s="77"/>
    </row>
    <row r="172" spans="1:11" x14ac:dyDescent="0.25">
      <c r="A172" s="143" t="s">
        <v>2522</v>
      </c>
      <c r="B172" s="75" t="s">
        <v>3562</v>
      </c>
      <c r="C172" s="75" t="s">
        <v>2760</v>
      </c>
      <c r="D172" s="76" t="s">
        <v>3730</v>
      </c>
      <c r="E172" s="77" t="s">
        <v>4672</v>
      </c>
      <c r="F172" s="77" t="s">
        <v>4542</v>
      </c>
      <c r="G172" s="77"/>
      <c r="H172" s="77" t="str">
        <f t="shared" si="2"/>
        <v>sopan.avhad@ujjivan.com;jayant.kulkarni@ujjivan.com;vaibhav.dudhekar@ujjivan.com;;west-ahmednagarcity-branch@ujjivan.com;ccr-ahmednagarcity@ujjivan.com;shrikant.rokade@ujjivan.com;nandkishor.wagh@ujjivan.com;amarpratap.singh@ujjivan.com;nitin.hemade@ujjivan.com;navnath.pendpale@ujjivan.com;jayant.kulkarni@ujjivan.com;santosh.khaire@ujjivan.com;aarti.sanga@ujjivan.com;vaibhav.dudhekar@ujjivan.com;shashi.ghorpade@ujjivan.com;somnath.dhamal@ujjivan.com;mali.ravi@ujjivan.com;amol.sonawane@ujjivan.com;;</v>
      </c>
      <c r="J172" s="77" t="s">
        <v>3126</v>
      </c>
      <c r="K172" s="77"/>
    </row>
    <row r="173" spans="1:11" x14ac:dyDescent="0.25">
      <c r="A173" s="143" t="s">
        <v>2525</v>
      </c>
      <c r="B173" s="75"/>
      <c r="C173" s="75"/>
      <c r="D173" s="76"/>
      <c r="E173" s="77"/>
      <c r="F173" s="77"/>
      <c r="G173" s="77"/>
      <c r="H173" s="77" t="str">
        <f t="shared" si="2"/>
        <v>;;;;;;</v>
      </c>
      <c r="J173" s="77"/>
      <c r="K173" s="77"/>
    </row>
    <row r="174" spans="1:11" x14ac:dyDescent="0.25">
      <c r="A174" s="143" t="s">
        <v>815</v>
      </c>
      <c r="B174" s="75" t="s">
        <v>3514</v>
      </c>
      <c r="C174" s="75" t="s">
        <v>3906</v>
      </c>
      <c r="D174" s="76" t="s">
        <v>4169</v>
      </c>
      <c r="E174" s="77" t="s">
        <v>4673</v>
      </c>
      <c r="F174" s="77" t="s">
        <v>768</v>
      </c>
      <c r="G174" s="77"/>
      <c r="H174" s="77" t="str">
        <f t="shared" si="2"/>
        <v>kedar.dahale@ujjivan.com;angad.gadre@ujjivan.com;tushar.upase@ujjivan.com;;west-satara-branch@ujjivan.com;ccr-satara@ujjivan.com;rohit.sawant@ujjivan.com;dnyaneshwar.kulkarni@ujjivan.com;tushar.upase@ujjivan.com;amit.salunkhe@ujjivan.com;ramesh.chavan@ujjivan.com;hemant.awade@ujjivan.com;shivraj.more@ujjivan.com;ganesh.salunke@ujjivan.com;amar.jadhav@ujjivan.com;kedar.dahale@ujjivan.com;;;</v>
      </c>
      <c r="J174" s="77" t="s">
        <v>3128</v>
      </c>
      <c r="K174" s="77"/>
    </row>
    <row r="175" spans="1:11" x14ac:dyDescent="0.25">
      <c r="A175" s="143" t="s">
        <v>816</v>
      </c>
      <c r="B175" s="75" t="s">
        <v>3515</v>
      </c>
      <c r="C175" s="75" t="s">
        <v>3907</v>
      </c>
      <c r="D175" s="76" t="s">
        <v>3193</v>
      </c>
      <c r="E175" s="77" t="s">
        <v>4170</v>
      </c>
      <c r="F175" s="77" t="s">
        <v>768</v>
      </c>
      <c r="G175" s="77" t="s">
        <v>978</v>
      </c>
      <c r="H175" s="77" t="str">
        <f t="shared" si="2"/>
        <v>niranjan.mohite@ujjivan.com;ajay.patil@ujjivan.com;tushar.upase@ujjivan.com;varun.yadav@ujjivan.com;west-karad-branch@ujjivan.com;ccr-karad@ujjivan.com;amar.babar@ujjivan.com;ajay.patil@ujjivan.com;dnyaneshwar.kulkarni@ujjivan.com;tushar.upase@ujjivan.com;ramesh.chavan@ujjivan.com;hemant.awade@ujjivan.com;rushiraj.hinukale@ujjivan.com;vikram.jadhav@ujjivan.com;swapnil.shinkar@ujjivan.com;;</v>
      </c>
      <c r="J175" s="115" t="s">
        <v>3194</v>
      </c>
      <c r="K175" s="77"/>
    </row>
    <row r="176" spans="1:11" x14ac:dyDescent="0.25">
      <c r="A176" s="143" t="s">
        <v>2531</v>
      </c>
      <c r="B176" s="75" t="s">
        <v>3563</v>
      </c>
      <c r="C176" s="75" t="s">
        <v>2762</v>
      </c>
      <c r="D176" s="76" t="s">
        <v>3740</v>
      </c>
      <c r="E176" s="77" t="s">
        <v>4171</v>
      </c>
      <c r="F176" s="77" t="s">
        <v>4542</v>
      </c>
      <c r="G176" s="77" t="s">
        <v>978</v>
      </c>
      <c r="H176" s="77" t="str">
        <f t="shared" si="2"/>
        <v>kailash.bhoite@ujjivan.com;sonali.ebitkar@ujjivan.com;vaibhav.dudhekar@ujjivan.com;varun.yadav@ujjivan.com;west-aurangabadcity-branch@ujjivan.com;ccr-aurangabadcity-branch@ujjivan.com;akash.kolshetwar@ujjivan.com;santosh.bahire@ujjivan.com;ranjeet.mali@ujjivan.com;paras.chaudhari@ujjivan.com;vaibhav.dudhekar@ujjivan.com;santosh.bhalerao@ujjivan.com;vinod.deshmukh@ujjivan.com;aditya.das@ujjivan.com;;</v>
      </c>
      <c r="J176" s="77" t="s">
        <v>3131</v>
      </c>
      <c r="K176" s="77"/>
    </row>
    <row r="177" spans="1:11" x14ac:dyDescent="0.25">
      <c r="A177" s="143" t="s">
        <v>817</v>
      </c>
      <c r="B177" s="75" t="s">
        <v>3516</v>
      </c>
      <c r="C177" s="75" t="s">
        <v>2759</v>
      </c>
      <c r="D177" s="76" t="s">
        <v>4674</v>
      </c>
      <c r="E177" s="77" t="s">
        <v>4172</v>
      </c>
      <c r="F177" s="77" t="s">
        <v>4542</v>
      </c>
      <c r="G177" s="77" t="s">
        <v>978</v>
      </c>
      <c r="H177" s="77" t="str">
        <f t="shared" si="2"/>
        <v>sandeep.ugale@ujjivan.com;santosh.bhalerao@ujjivan.com;vaibhav.dudhekar@ujjivan.com;varun.yadav@ujjivan.com;west-aurangabadcbs-branch@ujjivan.com;ccr-aurangabadcbs-branch@ujjivan.com;prafull.nirbhavane@ujjivan.com;sandip.dhole@ujjivan.com;kailash.bhoite@ujjivan.com;paras.chaudhari@ujjivan.com;vaibhav.dudhekar@ujjivan.com;ranjeet.mali@ujjivan.com;yogesh.bomble@ujjivan.com;vishal.jagdale@ujjivan.com;;</v>
      </c>
      <c r="J177" s="77" t="s">
        <v>3133</v>
      </c>
      <c r="K177" s="77"/>
    </row>
    <row r="178" spans="1:11" x14ac:dyDescent="0.25">
      <c r="A178" s="143" t="s">
        <v>818</v>
      </c>
      <c r="B178" s="75" t="s">
        <v>3517</v>
      </c>
      <c r="C178" s="75" t="s">
        <v>2752</v>
      </c>
      <c r="D178" s="76" t="s">
        <v>4675</v>
      </c>
      <c r="E178" s="77" t="s">
        <v>4487</v>
      </c>
      <c r="F178" s="77" t="s">
        <v>783</v>
      </c>
      <c r="G178" s="77" t="s">
        <v>2756</v>
      </c>
      <c r="H178" s="77" t="str">
        <f t="shared" si="2"/>
        <v>nagmaparvin.khan@ujjivan.com;dhanraj.dambre@ujjivan.com;gaurav.oberoi@ujjivan.com;nirav.vahalia@ujjivan.com;west-bhiwandi-branch@ujjivan.com;ccr-bhiwandi@ujjivan.com;rahul.lohar@ujjivan.com;yogesh.shinde@ujjivan.com;prashant.jadhav@ujjivan.com;vijay.bhalerao@ujjivan.com;gaurav.oberoi@ujjivan.com;jitendra.sodhi@ujjivan.com;gupta.mahesh@ujjivan.com;Sanjay.kalwar@ujjivan.com;rahul.kushwaha@ujjivan.com;kavita.mahadik@ujjivan.com;geeta.nora@ujjivan.com;sunil.parab@ujjivan.com;singh.vijay@ujjivan.com;;;</v>
      </c>
      <c r="J178" s="77" t="s">
        <v>3135</v>
      </c>
      <c r="K178" s="77"/>
    </row>
    <row r="179" spans="1:11" x14ac:dyDescent="0.25">
      <c r="A179" s="143" t="s">
        <v>819</v>
      </c>
      <c r="B179" s="75" t="s">
        <v>3518</v>
      </c>
      <c r="C179" s="75" t="s">
        <v>3908</v>
      </c>
      <c r="D179" s="76" t="s">
        <v>3741</v>
      </c>
      <c r="E179" s="77" t="s">
        <v>4174</v>
      </c>
      <c r="F179" s="77" t="s">
        <v>798</v>
      </c>
      <c r="G179" s="77" t="s">
        <v>829</v>
      </c>
      <c r="H179" s="77" t="str">
        <f t="shared" si="2"/>
        <v>ankush.marathe@ujjivan.com;manoj.mali@ujjivan.com;rajesh.khedkar@ujjivan.com;satish.ankola@ujjivan.com;west-vapi-branch@ujjivan.com;ccr-vapi@ujjivan.com;hitesh.chaudhari@ujjivan.com;manoj.mali@ujjivan.com;semalkumar.patel@ujjivan.com;sarfaraz.hussain@ujjivan.com;rajesh.khedkar@ujjivan.com;himanshu.chauhan@ujjivan.com;suraj.shah@ujjivan.com;hitarth.trivedi@ujjivan.com;dnyaneshwar.wakadikar@ujjivan.com;kiran.damare@ujjivan.com;manish.rana@ujjivan.com;;</v>
      </c>
      <c r="J179" s="77" t="s">
        <v>3137</v>
      </c>
      <c r="K179" s="77"/>
    </row>
    <row r="180" spans="1:11" x14ac:dyDescent="0.25">
      <c r="A180" s="143" t="s">
        <v>820</v>
      </c>
      <c r="B180" s="75" t="s">
        <v>3519</v>
      </c>
      <c r="C180" s="75" t="s">
        <v>2763</v>
      </c>
      <c r="D180" s="76" t="s">
        <v>2764</v>
      </c>
      <c r="E180" s="77" t="s">
        <v>4488</v>
      </c>
      <c r="F180" s="77" t="s">
        <v>4543</v>
      </c>
      <c r="G180" s="77" t="s">
        <v>978</v>
      </c>
      <c r="H180" s="77" t="str">
        <f t="shared" si="2"/>
        <v>Arvind.Sable@ujjivan.com;sarika.patil@ujjivan.com;akshay.joshi@ujjivan.com;varun.yadav@ujjivan.com;west-solapursouth-branch@ujjivan.com;ccr-solapursouth@ujjivan.com;pramod.pandit@ujjivan.com;sarika.patil@ujjivan.com;sachin.suryawanshi@ujjivan.com;abhijeet.bhadange@ujjivan.com;Sandeep.deshmukh@ujjivan.com;sameer.shaikh@ujjivan.com;benjamin.gaikwad@ujjivan.com;shreeram.walawe@ujjivan.com;pravin.ghule@ujjivan.com;mahamad.yaquob@ujjivan.com;;</v>
      </c>
      <c r="J180" s="77" t="s">
        <v>3139</v>
      </c>
      <c r="K180" s="77"/>
    </row>
    <row r="181" spans="1:11" x14ac:dyDescent="0.25">
      <c r="A181" s="143" t="s">
        <v>821</v>
      </c>
      <c r="B181" s="75"/>
      <c r="C181" s="75"/>
      <c r="D181" s="76"/>
      <c r="E181" s="77"/>
      <c r="F181" s="77"/>
      <c r="G181" s="77"/>
      <c r="H181" s="77" t="str">
        <f t="shared" si="2"/>
        <v>;;;;west-solapurnorth-branch@ujjivan.com;ccr-solapurnorth@ujjivan.com;arvind.sable@ujjivan.com;balkrishna.koukuntla@ujjivan.com;sachin.suryawanshi@ujjivan.com;abhijeet.bhadange@ujjivan.com;Sandeep.deshmukh@ujjivan.com;nasrin.jartarghar@ujjivan.com;benjamin.gaikwad@ujjivan.com;shreeram.walawe@ujjivan.com;;</v>
      </c>
      <c r="J181" s="77" t="s">
        <v>3141</v>
      </c>
      <c r="K181" s="77"/>
    </row>
    <row r="182" spans="1:11" x14ac:dyDescent="0.25">
      <c r="A182" s="143" t="s">
        <v>2544</v>
      </c>
      <c r="B182" s="75"/>
      <c r="C182" s="75"/>
      <c r="D182" s="76" t="s">
        <v>4676</v>
      </c>
      <c r="E182" s="77" t="s">
        <v>4176</v>
      </c>
      <c r="F182" s="77" t="s">
        <v>4543</v>
      </c>
      <c r="G182" s="77" t="s">
        <v>978</v>
      </c>
      <c r="H182" s="77" t="str">
        <f t="shared" si="2"/>
        <v>sandip.gavali@ujjivan.com;akram.makandar@ujjivan.com;akshay.joshi@ujjivan.com;varun.yadav@ujjivan.com;west-sangli-branch@ujjivan.com;ccr-sangli@ujjivan.com;kiran.phalke@ujjivan.com;pradnya.waghmare@ujjivan.com;vijay.dudhale@ujjivan.com;riyazahamad.makandar@ujjivan.com;shreeram.walawe@ujjivan.com;amit.salunkhe@ujjivan.com;swarup.patil@ujjivan.com;hemant.awade@ujjivan.com;samadhan.sawant@ujjivan.com;vishal.kamble@ujjivan.com;santosh.suryawanshi@ujjivan.com;mustak.mujawar@ujjivan.com;naganesaurabh@ujjivan.com;;;</v>
      </c>
      <c r="J182" s="77" t="s">
        <v>3143</v>
      </c>
      <c r="K182" s="77"/>
    </row>
    <row r="183" spans="1:11" x14ac:dyDescent="0.25">
      <c r="A183" s="143" t="s">
        <v>822</v>
      </c>
      <c r="B183" s="75"/>
      <c r="C183" s="75"/>
      <c r="D183" s="76"/>
      <c r="E183" s="77"/>
      <c r="F183" s="77"/>
      <c r="G183" s="77"/>
      <c r="H183" s="77" t="str">
        <f t="shared" si="2"/>
        <v>;;;;amit.kokare@ujjivan.com;;</v>
      </c>
      <c r="J183" s="77" t="s">
        <v>2996</v>
      </c>
      <c r="K183" s="77"/>
    </row>
    <row r="184" spans="1:11" x14ac:dyDescent="0.25">
      <c r="A184" s="143" t="s">
        <v>823</v>
      </c>
      <c r="B184" s="75" t="s">
        <v>3520</v>
      </c>
      <c r="C184" s="75" t="s">
        <v>3909</v>
      </c>
      <c r="D184" s="76" t="s">
        <v>3742</v>
      </c>
      <c r="E184" s="77" t="s">
        <v>4152</v>
      </c>
      <c r="F184" s="77" t="s">
        <v>783</v>
      </c>
      <c r="G184" s="77" t="s">
        <v>2756</v>
      </c>
      <c r="H184" s="77" t="str">
        <f t="shared" si="2"/>
        <v>tanaji.bansode@ujjivan.com;archana.shaha@ujjivan.com;gaurav.oberoi@ujjivan.com;nirav.vahalia@ujjivan.com;west-panvel-branch@ujjivan.com;ccr-panvel@ujjivan.com;mukesh.k@ujjivan.com;ravindra.sonvalkar@ujjivan.com;hiren.karolia@ujjivan.com;amarnath.kumhar@ujjivan.com;prashant.jadhav@ujjivan.com;kanchan.dalvi@ujjivan.com;gaurav.oberoi@ujjivan.com;jitendra.sodhi@ujjivan.com;gupta.mahesh@ujjivan.com;Sanjay.kalwar@ujjivan.com;laxman.jetithor@ujjivan.com;sunil.parab@ujjivan.com;;;</v>
      </c>
      <c r="J184" s="77" t="s">
        <v>3145</v>
      </c>
      <c r="K184" s="77"/>
    </row>
    <row r="185" spans="1:11" x14ac:dyDescent="0.25">
      <c r="A185" s="143" t="s">
        <v>825</v>
      </c>
      <c r="B185" s="75" t="s">
        <v>3521</v>
      </c>
      <c r="C185" s="75" t="s">
        <v>2766</v>
      </c>
      <c r="D185" s="76" t="s">
        <v>826</v>
      </c>
      <c r="E185" s="77" t="s">
        <v>4489</v>
      </c>
      <c r="F185" s="77" t="s">
        <v>4666</v>
      </c>
      <c r="G185" s="77" t="s">
        <v>829</v>
      </c>
      <c r="H185" s="77" t="str">
        <f t="shared" si="2"/>
        <v>alpesh.prajapati@ujjivan.com;nilesh.parmar@ujjivan.com;jenish.lapsiwala@ujjivan.com;satish.ankola@ujjivan.com;west-nadiad-branch@ujjivan.com;ccr-nadiad-branch@ujjivan.com;rafik.vohra@ujjivan.com;alpesh.prajapati@ujjivan.com;nilesh.patel@ujjivan.com;hiten.patel@ujjivan.com;nirav.vahalia@ujjivan.com;vijay.rohit@ujjivan.com;nikhil.kulshretsha@ujjivan.com;mayur.dindorkar@ujjivan.com;hitarth.trivedi@ujjivan.com;bhautik.vekariya@ujjivan.com;denish.parmar@ujjivan.com;praful.sodha@ujjivan.com;manish.rana@ujjivan.com;vijayshankar.rajput@ujjivan.com;;</v>
      </c>
      <c r="J185" s="77" t="s">
        <v>3147</v>
      </c>
      <c r="K185" s="77"/>
    </row>
    <row r="186" spans="1:11" x14ac:dyDescent="0.25">
      <c r="A186" s="143" t="s">
        <v>827</v>
      </c>
      <c r="B186" s="75" t="s">
        <v>3522</v>
      </c>
      <c r="C186" s="75" t="s">
        <v>2767</v>
      </c>
      <c r="D186" s="76" t="s">
        <v>4677</v>
      </c>
      <c r="E186" s="77" t="s">
        <v>4490</v>
      </c>
      <c r="F186" s="77" t="s">
        <v>4543</v>
      </c>
      <c r="G186" s="77" t="s">
        <v>978</v>
      </c>
      <c r="H186" s="77" t="str">
        <f t="shared" si="2"/>
        <v>amit.suryawanshi@ujjivan.com;Rahul.Lade@ujjivan.com;akshay.joshi@ujjivan.com;varun.yadav@ujjivan.com;west-shahupuri-branch@ujjivan.com;ccr-shahupuri@ujjivan.com;bajirao.patil@ujjivan.com;javed.bijapure@ujjivan.com;shreeram.walawe@ujjivan.com;prakash.karade@ujjivan.com;santosh.khot@ujjivan.com;hemant.awade@ujjivan.com;rajesh.patil@ujjivan.com;patil.abhijeet@ujjivan.com; kapil.katkar@ujjivan.com;rahul.lade@ujjivan.com;abhijeet.patil@ujjivan.com;nitin.nair@ujjivan.com;digvijay.bhandari@ujjivan.com;;;</v>
      </c>
      <c r="J186" s="77" t="s">
        <v>3149</v>
      </c>
      <c r="K186" s="77"/>
    </row>
    <row r="187" spans="1:11" x14ac:dyDescent="0.25">
      <c r="A187" s="143" t="s">
        <v>828</v>
      </c>
      <c r="B187" s="75"/>
      <c r="C187" s="75"/>
      <c r="D187" s="76" t="s">
        <v>4678</v>
      </c>
      <c r="E187" s="77" t="s">
        <v>4179</v>
      </c>
      <c r="F187" s="77" t="s">
        <v>4544</v>
      </c>
      <c r="G187" s="77" t="s">
        <v>829</v>
      </c>
      <c r="H187" s="77" t="str">
        <f t="shared" si="2"/>
        <v>hardik.desai@ujjivan.com;naresh.parmar@ujjivan.com;ruchira.patel@ujjivan.com;satish.ankola@ujjivan.com;west-navavadaj@ujjivan.com;ccr-navavadaj@ujjivan.com;hanny.rajawat@ujjivan.com;lokpal.rathod@ujjivan.com;raghu.mudaliar@ujjivan.com;satish.ankola@ujjivan.com;nirav.kanojiya@ujjivan.com;ranjit.jadhav@ujjivan.com;sanjay.rathod@ujjivan.com;hitarth.trivedi@ujjivan.com;vinod.khristi@ujjivan.com;sanjay.rathod@ujjivan.com;vijay.dodia@ujjivan.com;rajesh.rupala@ujjivan.com;manish.rana@ujjivan.com;;</v>
      </c>
      <c r="J187" s="77" t="s">
        <v>3151</v>
      </c>
      <c r="K187" s="77"/>
    </row>
    <row r="188" spans="1:11" x14ac:dyDescent="0.25">
      <c r="A188" s="143" t="s">
        <v>830</v>
      </c>
      <c r="B188" s="75"/>
      <c r="C188" s="75"/>
      <c r="D188" s="76"/>
      <c r="E188" s="77"/>
      <c r="F188" s="77"/>
      <c r="G188" s="77"/>
      <c r="H188" s="77" t="str">
        <f t="shared" si="2"/>
        <v>;;;;ramakrishnan.chandrasekaran@ujjivan.com;;</v>
      </c>
      <c r="J188" s="77" t="s">
        <v>3010</v>
      </c>
      <c r="K188" s="77"/>
    </row>
    <row r="189" spans="1:11" x14ac:dyDescent="0.25">
      <c r="A189" s="143" t="s">
        <v>831</v>
      </c>
      <c r="B189" s="75" t="s">
        <v>3523</v>
      </c>
      <c r="C189" s="75" t="s">
        <v>3910</v>
      </c>
      <c r="D189" s="76" t="s">
        <v>3743</v>
      </c>
      <c r="E189" s="77" t="s">
        <v>4492</v>
      </c>
      <c r="F189" s="77" t="s">
        <v>4544</v>
      </c>
      <c r="G189" s="77" t="s">
        <v>829</v>
      </c>
      <c r="H189" s="77" t="str">
        <f t="shared" si="2"/>
        <v>mrugesh.patel@ujjivan.com;dhaval.patel@ujjivan.com;ruchira.patel@ujjivan.com;satish.ankola@ujjivan.com;west-naroda@ujjivan.com;ccr-naroda@ujjivan.com;jayendra.zala@ujjivan.com;alpesh.patel@ujjivan.com;milankumar.devmurari@ujjivan.com;satish.ankola@ujjivan.com;nirav.kanojiya@ujjivan.com;ranjit.jadhav@ujjivan.com;hitarth.trivedi@ujjivan.com;biren.shah@ujjivan.com;arpit.panchal@ujjivan.com;manish.rana@ujjivan.com;;</v>
      </c>
      <c r="J189" s="77" t="s">
        <v>3153</v>
      </c>
      <c r="K189" s="77"/>
    </row>
    <row r="190" spans="1:11" x14ac:dyDescent="0.25">
      <c r="A190" s="143" t="s">
        <v>832</v>
      </c>
      <c r="B190" s="75" t="s">
        <v>3524</v>
      </c>
      <c r="C190" s="75" t="s">
        <v>3911</v>
      </c>
      <c r="D190" s="76" t="s">
        <v>3744</v>
      </c>
      <c r="E190" s="77" t="s">
        <v>4493</v>
      </c>
      <c r="F190" s="77" t="s">
        <v>4544</v>
      </c>
      <c r="G190" s="77" t="s">
        <v>829</v>
      </c>
      <c r="H190" s="77" t="str">
        <f t="shared" si="2"/>
        <v>salins.christian@ujjivan.com;anilkumar.parmar@ujjivan.com;ruchira.patel@ujjivan.com;satish.ankola@ujjivan.com;west-ctm@ujjivan.com;ccr-ctm@ujjivan.com;praful.sodha@ujjivan.com;satish.ankola@ujjivan.com;nirav.kanojiya@ujjivan.com;ranjit.jadhav@ujjivan.com;mrugesh.patel@ujjivan.com;hitarth.trivedi@ujjivan.com;biren.shah@ujjivan.com;salins.christian@ujjivan.com;ranjit.jadhav@ujjivan.com;west-isanpur@ujjivan.com;ganesh.badgujar@ujjivan.com;ccr-isanpur@ujjivan.com;vijay.nathani@ujjivan.com;mrugesh.patel@ujjivan.com;manish.rana@ujjivan.com;;</v>
      </c>
      <c r="J190" s="77" t="s">
        <v>3155</v>
      </c>
      <c r="K190" s="77"/>
    </row>
    <row r="191" spans="1:11" x14ac:dyDescent="0.25">
      <c r="A191" s="143" t="s">
        <v>833</v>
      </c>
      <c r="B191" s="75"/>
      <c r="C191" s="75"/>
      <c r="D191" s="76"/>
      <c r="E191" s="77"/>
      <c r="F191" s="77"/>
      <c r="G191" s="77"/>
      <c r="H191" s="77" t="str">
        <f t="shared" si="2"/>
        <v>;;;;west-rankala-branch@ujjivan.com;ccr-rankala@ujjivan.com;pandurang.giri@ujjivan.com;digvijay.bhandari@ujjivan.com;abhijeet.patil@ujjivan.com;shreeram.walawe@ujjivan.com;prakash.karade@ujjivan.com;hemant.awade@ujjivan.com;hemant.phadatre@ujjivan.com;;;</v>
      </c>
      <c r="J191" s="77" t="s">
        <v>3157</v>
      </c>
      <c r="K191" s="77"/>
    </row>
    <row r="192" spans="1:11" x14ac:dyDescent="0.25">
      <c r="A192" s="143" t="s">
        <v>834</v>
      </c>
      <c r="B192" s="75" t="s">
        <v>3525</v>
      </c>
      <c r="C192" s="75" t="s">
        <v>3912</v>
      </c>
      <c r="D192" s="76" t="s">
        <v>4679</v>
      </c>
      <c r="E192" s="77" t="s">
        <v>4182</v>
      </c>
      <c r="F192" s="77" t="s">
        <v>4543</v>
      </c>
      <c r="G192" s="77" t="s">
        <v>978</v>
      </c>
      <c r="H192" s="77" t="str">
        <f t="shared" si="2"/>
        <v>riyazahamad.makandar@ujjivan.com;rajkumar.patil@ujjivan.com;akshay.joshi@ujjivan.com;varun.yadav@ujjivan.com;west-ichalkaranji-branch@ujjivan.com;ccr-ichalkaranji@ujjivan.com;swapnil.patil@ujjivan.com;uttam.vakale@ujjivan.com;rahul.kadole@ujjivan.com;sandip.gavali@ujjivan.com;shreeram.walawe@ujjivan.com;nitin.nair@ujjivan.com;prakash.karade@ujjivan.com;hemant.awade@ujjivan.com;anant.udagave@ujjivan.com;vijay.dudhale@ujjivan.com;nitin.nair@ujjivan.com;;;</v>
      </c>
      <c r="J192" s="77" t="s">
        <v>3159</v>
      </c>
      <c r="K192" s="77"/>
    </row>
    <row r="193" spans="1:11" x14ac:dyDescent="0.25">
      <c r="A193" s="143" t="s">
        <v>835</v>
      </c>
      <c r="B193" s="75"/>
      <c r="C193" s="75"/>
      <c r="D193" s="76"/>
      <c r="E193" s="77"/>
      <c r="F193" s="77"/>
      <c r="G193" s="77"/>
      <c r="H193" s="77" t="str">
        <f t="shared" si="2"/>
        <v>;;;;;;</v>
      </c>
      <c r="J193" s="77"/>
      <c r="K193" s="77"/>
    </row>
    <row r="194" spans="1:11" x14ac:dyDescent="0.25">
      <c r="A194" s="143" t="s">
        <v>837</v>
      </c>
      <c r="B194" s="75" t="s">
        <v>3526</v>
      </c>
      <c r="C194" s="75" t="s">
        <v>3913</v>
      </c>
      <c r="D194" s="76" t="s">
        <v>3746</v>
      </c>
      <c r="E194" s="77" t="s">
        <v>4183</v>
      </c>
      <c r="F194" s="77" t="s">
        <v>4670</v>
      </c>
      <c r="G194" s="77" t="s">
        <v>829</v>
      </c>
      <c r="H194" s="77" t="str">
        <f t="shared" si="2"/>
        <v>yashpal.jadhav@ujjivan.com;yogesh.chaudhari@ujjivan.com;ashok.gosawi@ujjivan.com;satish.ankola@ujjivan.com;west-bardoli@ujjivan.com;ccr-bardoli@ujjivan.com;sudip.khokhar@ujjivan.com;rajesh.khedkar@ujjivan.com;himanshu.chauhan@ujjivan.com;vivek.mistry@ujjivan.com;hitarth.trivedi@ujjivan.com;bhishma.mahajan@ujjivan.com;keval.moradiya@ujjivan.com;manish.rana@ujjivan.com;dharmesh.mahyavanshi@ujjivan.com;bhavtik.barvaliya@ujjivan.com;;</v>
      </c>
      <c r="J194" s="77" t="s">
        <v>3161</v>
      </c>
      <c r="K194" s="77"/>
    </row>
    <row r="195" spans="1:11" x14ac:dyDescent="0.25">
      <c r="A195" s="143" t="s">
        <v>838</v>
      </c>
      <c r="B195" s="75" t="s">
        <v>3527</v>
      </c>
      <c r="C195" s="75" t="s">
        <v>3914</v>
      </c>
      <c r="D195" s="76" t="s">
        <v>4680</v>
      </c>
      <c r="E195" s="77" t="s">
        <v>4184</v>
      </c>
      <c r="F195" s="77" t="s">
        <v>798</v>
      </c>
      <c r="G195" s="77" t="s">
        <v>829</v>
      </c>
      <c r="H195" s="77" t="str">
        <f t="shared" ref="H195:H258" si="3">CONCATENATE(D195,";",E195,";",F195,";",G195,";",J195,";",K195,";")</f>
        <v>keyurkumar.patel@ujjivan.com;kiran.damare@ujjivan.com;rajesh.khedkar@ujjivan.com;satish.ankola@ujjivan.com;west-valsad@ujjivan.com;ccr-valsad@ujjivan.com;pragnesh.saidane@ujjivan.com;nilesh.girase@ujjivan.com;bhagwan.patil@ujjivan.com;sarfaraz.hussain@ujjivan.com;rajesh.khedkar@ujjivan.com;himanshu.chauhan@ujjivan.com;suraj.shah@ujjivan.com;hitarth.trivedi@ujjivan.com;gautam.panpatil@ujjivan.com;manish.rana@ujjivan.com;;</v>
      </c>
      <c r="J195" s="77" t="s">
        <v>3163</v>
      </c>
      <c r="K195" s="77"/>
    </row>
    <row r="196" spans="1:11" x14ac:dyDescent="0.25">
      <c r="A196" s="143" t="s">
        <v>839</v>
      </c>
      <c r="B196" s="75" t="s">
        <v>3528</v>
      </c>
      <c r="C196" s="75" t="s">
        <v>2770</v>
      </c>
      <c r="D196" s="76" t="s">
        <v>4681</v>
      </c>
      <c r="E196" s="77" t="s">
        <v>4682</v>
      </c>
      <c r="F196" s="77" t="s">
        <v>779</v>
      </c>
      <c r="G196" s="77" t="s">
        <v>978</v>
      </c>
      <c r="H196" s="77" t="str">
        <f t="shared" si="3"/>
        <v>shoeb.shaikh692@ujjivan.com;gulamkhaza.shaikh@ujjivan.com;kausalya.sirgire@ujjivan.com;varun.yadav@ujjivan.com;west-jalgaon-north@ujjivan.com;ccr-jalgaonnorth@ujjivan.com;pravin.Ingale@ujjivan.com;dipaksingh.rajput@ujjivan.com;amit.jadhav@ujjivan.com;kausalya.sirgire@ujjivan.com;paras.chaudhari@ujjivan.com;samadhan.janjal@ujjivan.com;yadnesh.chaudhari@ujjivan.com;;</v>
      </c>
      <c r="J196" s="77" t="s">
        <v>3165</v>
      </c>
      <c r="K196" s="77"/>
    </row>
    <row r="197" spans="1:11" x14ac:dyDescent="0.25">
      <c r="A197" s="143" t="s">
        <v>841</v>
      </c>
      <c r="B197" s="75" t="s">
        <v>3529</v>
      </c>
      <c r="C197" s="75" t="s">
        <v>3915</v>
      </c>
      <c r="D197" s="76" t="s">
        <v>3748</v>
      </c>
      <c r="E197" s="77" t="s">
        <v>4186</v>
      </c>
      <c r="F197" s="77" t="s">
        <v>779</v>
      </c>
      <c r="G197" s="77" t="s">
        <v>978</v>
      </c>
      <c r="H197" s="77" t="str">
        <f t="shared" si="3"/>
        <v>Mukesh.Chaudhari@ujjivan.com;ghansham.fegade@ujjivan.com;kausalya.sirgire@ujjivan.com;varun.yadav@ujjivan.com;west-bhusawal@ujjivan.com;ccr-bhusaval@ujjivan.com;hemangi.hambardikar@ujjivan.com;mahesh.jagtap@ujjivan.com;somnath.bhusare@ujjivan.com;prashant.shimpi@ujjivan.com;amit.jadhav@ujjivan.com;kausalya.sirgire@ujjivan.com;paras.chaudhari@ujjivan.com;yadnesh.chaudhari@ujjivan.com;;</v>
      </c>
      <c r="J197" s="77" t="s">
        <v>3167</v>
      </c>
      <c r="K197" s="77"/>
    </row>
    <row r="198" spans="1:11" x14ac:dyDescent="0.25">
      <c r="A198" s="143" t="s">
        <v>2944</v>
      </c>
      <c r="B198" s="75"/>
      <c r="C198" s="75"/>
      <c r="D198" s="76"/>
      <c r="E198" s="77"/>
      <c r="F198" s="77"/>
      <c r="G198" s="77"/>
      <c r="H198" s="77" t="str">
        <f t="shared" si="3"/>
        <v>;;;;;;</v>
      </c>
      <c r="J198" s="77"/>
      <c r="K198" s="77"/>
    </row>
    <row r="199" spans="1:11" x14ac:dyDescent="0.25">
      <c r="A199" s="143" t="s">
        <v>2943</v>
      </c>
      <c r="B199" s="75" t="s">
        <v>895</v>
      </c>
      <c r="C199" s="75" t="s">
        <v>2831</v>
      </c>
      <c r="D199" s="76" t="s">
        <v>896</v>
      </c>
      <c r="E199" s="77" t="s">
        <v>4644</v>
      </c>
      <c r="F199" s="77" t="s">
        <v>4645</v>
      </c>
      <c r="G199" s="77" t="s">
        <v>888</v>
      </c>
      <c r="H199" s="77" t="str">
        <f t="shared" si="3"/>
        <v>purnanand.thakur@ujjivan.com;anil.kumar280@ujjivan.com;ravikant.kumar@ujjivan.com;vijay.choudhary@ujjivan.com;;;</v>
      </c>
      <c r="J199" s="77"/>
      <c r="K199" s="77"/>
    </row>
    <row r="200" spans="1:11" x14ac:dyDescent="0.25">
      <c r="A200" s="143" t="s">
        <v>2579</v>
      </c>
      <c r="B200" s="75"/>
      <c r="C200" s="75"/>
      <c r="D200" s="76"/>
      <c r="E200" s="77"/>
      <c r="F200" s="77"/>
      <c r="G200" s="77"/>
      <c r="H200" s="77" t="str">
        <f t="shared" si="3"/>
        <v>;;;;west-jalgaon-south@ujjivan.com;ccr-jalgaonsouth@ujjivan.com;mangesh.kulkarni@ujjivan.com;kishor.sonar@ujjivan.com;amit.jadhav@ujjivan.com;kausalya.sirgire@ujjivan.com;paras.chaudhari@ujjivan.com;dinesh.sonar@ujjivan.com;mukesh.chaudhari@ujjivan.com;yadnesh.chaudhari@ujjivan.com;;</v>
      </c>
      <c r="J200" s="77" t="s">
        <v>3169</v>
      </c>
      <c r="K200" s="77"/>
    </row>
    <row r="201" spans="1:11" x14ac:dyDescent="0.25">
      <c r="A201" s="143" t="s">
        <v>842</v>
      </c>
      <c r="B201" s="75" t="s">
        <v>3530</v>
      </c>
      <c r="C201" s="75" t="s">
        <v>3916</v>
      </c>
      <c r="D201" s="76" t="s">
        <v>3749</v>
      </c>
      <c r="E201" s="77" t="s">
        <v>4494</v>
      </c>
      <c r="F201" s="77" t="s">
        <v>4544</v>
      </c>
      <c r="G201" s="77" t="s">
        <v>829</v>
      </c>
      <c r="H201" s="77" t="str">
        <f t="shared" si="3"/>
        <v>jigar.panchal@ujjivan.com;sujitkumar.patel@ujjivan.com;ruchira.patel@ujjivan.com;satish.ankola@ujjivan.com;west-mehsana-branch@ujjivan.com;tahir.bahelim@ujjivan.com;alpesh.thakor@ujjivan.com;ashutosh.saxena@ujjivan.com;satish.ankola@ujjivan.com;ranjit.jadhav@ujjivan.com;nirav.kanojiya@ujjivan.com;hitarth.trivedi@ujjivan.com;vinod.khristi@ujjivan.com;arpit.panchal@ujjivan.com;manish.rana@ujjivan.com;chandrakant.patel@ujjivan.com;;</v>
      </c>
      <c r="J201" s="77" t="s">
        <v>3171</v>
      </c>
      <c r="K201" s="77"/>
    </row>
    <row r="202" spans="1:11" x14ac:dyDescent="0.25">
      <c r="A202" s="143" t="s">
        <v>843</v>
      </c>
      <c r="B202" s="75" t="s">
        <v>3531</v>
      </c>
      <c r="C202" s="75" t="s">
        <v>3917</v>
      </c>
      <c r="D202" s="76" t="s">
        <v>3750</v>
      </c>
      <c r="E202" s="77" t="s">
        <v>4189</v>
      </c>
      <c r="F202" s="77" t="s">
        <v>4544</v>
      </c>
      <c r="G202" s="77" t="s">
        <v>829</v>
      </c>
      <c r="H202" s="77" t="str">
        <f t="shared" si="3"/>
        <v>bhavesh.patel@ujjivan.com;priteshkumar@ujjivan.com;ruchira.patel@ujjivan.com;satish.ankola@ujjivan.com;west-himmatnagar-branch@ujjivan.com;arpit.panchal@ujjivan.com;satish.ankola@ujjivan.com;nirav.kanojiya@ujjivan.com;ranjit.jadhav@ujjivan.com;rushabh.mehta@ujjivan.com;hitarth.trivedi@ujjivan.com;nilesh.parmar@ujjivan.com;parth.joshi@ujjivan.com;jigar.panchal@ujjivan.com;bhavesh.patel@ujjivan.com;manish.rana@ujjivan.com;chandrakant.patel@ujjivan.com;;</v>
      </c>
      <c r="J202" s="77" t="s">
        <v>3173</v>
      </c>
      <c r="K202" s="77"/>
    </row>
    <row r="203" spans="1:11" x14ac:dyDescent="0.25">
      <c r="A203" s="143" t="s">
        <v>2586</v>
      </c>
      <c r="B203" s="75"/>
      <c r="C203" s="75"/>
      <c r="D203" s="76"/>
      <c r="E203" s="77"/>
      <c r="F203" s="77"/>
      <c r="G203" s="77"/>
      <c r="H203" s="77" t="str">
        <f t="shared" si="3"/>
        <v>;;;;;;</v>
      </c>
      <c r="J203" s="77"/>
      <c r="K203" s="77"/>
    </row>
    <row r="204" spans="1:11" x14ac:dyDescent="0.25">
      <c r="A204" s="143" t="s">
        <v>844</v>
      </c>
      <c r="B204" s="75" t="s">
        <v>3532</v>
      </c>
      <c r="C204" s="75" t="s">
        <v>3918</v>
      </c>
      <c r="D204" s="76" t="s">
        <v>3751</v>
      </c>
      <c r="E204" s="77" t="s">
        <v>4683</v>
      </c>
      <c r="F204" s="77" t="s">
        <v>4545</v>
      </c>
      <c r="G204" s="77" t="s">
        <v>829</v>
      </c>
      <c r="H204" s="77" t="str">
        <f t="shared" si="3"/>
        <v>rupesh.vaghela@ujjivan.com;dhwani.gohil@ujjivan.com;hitarth.trivedi@ujjivan.com;satish.ankola@ujjivan.com;rajkot-south@ujjivan.com;ccr-rajkot-south@ujjivan.com;chirag.mehta@ujjivan.com;natubhai.desai@ujjivan.com;kishor.rathod@ujjivan.com;rushabh.mehta@ujjivan.com;hitarth.trivedi@ujjivan.com;sanjay.korat@ujjivan.com;dinesh.parmar@ujjivan.com;natubhai.desai@ujjivan.com;vinod.khristi@ujjivan.com;jayshri.chavda@ujjivan.com;harpal.dedaniya@ujjivan.com;;</v>
      </c>
      <c r="J204" s="77" t="s">
        <v>3175</v>
      </c>
      <c r="K204" s="77"/>
    </row>
    <row r="205" spans="1:11" x14ac:dyDescent="0.25">
      <c r="A205" s="143" t="s">
        <v>846</v>
      </c>
      <c r="B205" s="75" t="s">
        <v>3533</v>
      </c>
      <c r="C205" s="75" t="s">
        <v>2774</v>
      </c>
      <c r="D205" s="76" t="s">
        <v>4684</v>
      </c>
      <c r="E205" s="77" t="s">
        <v>4685</v>
      </c>
      <c r="F205" s="77" t="s">
        <v>4545</v>
      </c>
      <c r="G205" s="77" t="s">
        <v>829</v>
      </c>
      <c r="H205" s="77" t="str">
        <f t="shared" si="3"/>
        <v>milankumar.devmurari@ujjivan.com;jigar.mehta@ujjivan.com;hitarth.trivedi@ujjivan.com;satish.ankola@ujjivan.com;rajkot-north@ujjivan.com;ccr-rajkot-north@ujjivan.com;irfan.aibani@ujjivan.com;natubhai.desai@ujjivan.com;kishor.rathod@ujjivan.com;rushabh.mehta@ujjivan.com;hitarth.trivedi@ujjivan.com;virendra.jadeja@ujjivan.com;natubhai.desai@ujjivan.com;prakash.ramoliya@ujjivan.com;nirav.vyas@ujjivan.com;;</v>
      </c>
      <c r="J205" s="77" t="s">
        <v>3177</v>
      </c>
      <c r="K205" s="77"/>
    </row>
    <row r="206" spans="1:11" x14ac:dyDescent="0.25">
      <c r="A206" s="143" t="s">
        <v>847</v>
      </c>
      <c r="B206" s="75"/>
      <c r="C206" s="75"/>
      <c r="D206" s="76"/>
      <c r="E206" s="77"/>
      <c r="F206" s="77"/>
      <c r="G206" s="77"/>
      <c r="H206" s="77" t="str">
        <f t="shared" si="3"/>
        <v>;;;;;;</v>
      </c>
      <c r="J206" s="77"/>
      <c r="K206" s="77"/>
    </row>
    <row r="207" spans="1:11" x14ac:dyDescent="0.25">
      <c r="A207" s="143" t="s">
        <v>2595</v>
      </c>
      <c r="B207" s="75"/>
      <c r="C207" s="75"/>
      <c r="D207" s="76"/>
      <c r="E207" s="77"/>
      <c r="F207" s="77"/>
      <c r="G207" s="77"/>
      <c r="H207" s="77" t="str">
        <f t="shared" si="3"/>
        <v>;;;;west-chikalthana-branch@ujjivan.com;ccr-chikalthana@ujjivan.com;yogesh.bomble@ujjivan.com;sandeep.ugale@ujjivan.com;paras.chaudhari@ujjivan.com;vaibhav.dudhekar@ujjivan.com;dilip.kharde@ujjivan.com;vishal.jagdale@ujjivan.com;krushna.pawar@ujjivan.com;vinod.deshmukh@ujjivan.com;;</v>
      </c>
      <c r="J207" s="77" t="s">
        <v>3179</v>
      </c>
      <c r="K207" s="77"/>
    </row>
    <row r="208" spans="1:11" x14ac:dyDescent="0.25">
      <c r="A208" s="143" t="s">
        <v>2946</v>
      </c>
      <c r="B208" s="75" t="s">
        <v>3534</v>
      </c>
      <c r="C208" s="75" t="s">
        <v>2773</v>
      </c>
      <c r="D208" s="76" t="s">
        <v>4646</v>
      </c>
      <c r="E208" s="77" t="s">
        <v>4187</v>
      </c>
      <c r="F208" s="77" t="s">
        <v>4645</v>
      </c>
      <c r="G208" s="77" t="s">
        <v>888</v>
      </c>
      <c r="H208" s="77" t="str">
        <f t="shared" si="3"/>
        <v>jitendra.agrahari@ujjivan.com;govind.nirmal@ujjivan.com;ravikant.kumar@ujjivan.com;vijay.choudhary@ujjivan.com;;;</v>
      </c>
      <c r="J208" s="77"/>
      <c r="K208" s="77"/>
    </row>
    <row r="209" spans="1:11" x14ac:dyDescent="0.25">
      <c r="A209" s="143" t="s">
        <v>2948</v>
      </c>
      <c r="B209" s="75"/>
      <c r="C209" s="75"/>
      <c r="D209" s="76"/>
      <c r="E209" s="77"/>
      <c r="F209" s="77"/>
      <c r="G209" s="77"/>
      <c r="H209" s="77" t="str">
        <f t="shared" si="3"/>
        <v>;;;;;;</v>
      </c>
      <c r="J209" s="77"/>
      <c r="K209" s="77"/>
    </row>
    <row r="210" spans="1:11" x14ac:dyDescent="0.25">
      <c r="A210" s="143" t="s">
        <v>2952</v>
      </c>
      <c r="B210" s="75" t="s">
        <v>776</v>
      </c>
      <c r="C210" s="75" t="s">
        <v>3919</v>
      </c>
      <c r="D210" s="76" t="s">
        <v>4425</v>
      </c>
      <c r="E210" s="77"/>
      <c r="F210" s="77" t="s">
        <v>4645</v>
      </c>
      <c r="G210" s="77"/>
      <c r="H210" s="77" t="str">
        <f t="shared" si="3"/>
        <v>anshul.vishwakrma@ujjivan.com;;ravikant.kumar@ujjivan.com;;;;</v>
      </c>
      <c r="J210" s="77"/>
      <c r="K210" s="77"/>
    </row>
    <row r="211" spans="1:11" x14ac:dyDescent="0.25">
      <c r="A211" s="143" t="s">
        <v>2950</v>
      </c>
      <c r="B211" s="75" t="s">
        <v>3564</v>
      </c>
      <c r="C211" s="75" t="s">
        <v>2775</v>
      </c>
      <c r="D211" s="76" t="s">
        <v>4647</v>
      </c>
      <c r="E211" s="77" t="s">
        <v>4193</v>
      </c>
      <c r="F211" s="77" t="s">
        <v>4645</v>
      </c>
      <c r="G211" s="77" t="s">
        <v>888</v>
      </c>
      <c r="H211" s="77" t="str">
        <f t="shared" si="3"/>
        <v>sharvan.kumar@ujjivan.com;lalaramyadav@ujjivan.com;ravikant.kumar@ujjivan.com;vijay.choudhary@ujjivan.com;;;</v>
      </c>
      <c r="J211" s="77"/>
      <c r="K211" s="77"/>
    </row>
    <row r="212" spans="1:11" x14ac:dyDescent="0.25">
      <c r="A212" s="143" t="s">
        <v>1023</v>
      </c>
      <c r="B212" s="75" t="s">
        <v>3535</v>
      </c>
      <c r="C212" s="75" t="s">
        <v>2776</v>
      </c>
      <c r="D212" s="76" t="s">
        <v>4686</v>
      </c>
      <c r="E212" s="77" t="s">
        <v>4194</v>
      </c>
      <c r="F212" s="77" t="s">
        <v>4670</v>
      </c>
      <c r="G212" s="77" t="s">
        <v>829</v>
      </c>
      <c r="H212" s="77" t="str">
        <f t="shared" si="3"/>
        <v>bhailalbhai.baria@ujjivan.com;balvantsinh.chauhan@ujjivan.com;ashok.gosawi@ujjivan.com;satish.ankola@ujjivan.com;west-rajpipla-branch@ujjivan.com;nirmalsharan.barot@ujjivan.com;vivek.anand@ujjivan.com;nirav.vahalia@ujjivan.com;vijay.rohit@ujjivan.com;hitarth.trivedi@ujjivan.com;mayur.dindorkar@ujjivan.com;balvantsinh.chauhan@ujjivan.com;vijaykumar.rohit@ujjivan.com;;</v>
      </c>
      <c r="J212" s="77" t="s">
        <v>3181</v>
      </c>
      <c r="K212" s="77"/>
    </row>
    <row r="213" spans="1:11" x14ac:dyDescent="0.25">
      <c r="A213" s="143" t="s">
        <v>2604</v>
      </c>
      <c r="B213" s="75" t="s">
        <v>3565</v>
      </c>
      <c r="C213" s="75" t="s">
        <v>3920</v>
      </c>
      <c r="D213" s="76" t="s">
        <v>3765</v>
      </c>
      <c r="E213" s="77"/>
      <c r="F213" s="77" t="s">
        <v>4670</v>
      </c>
      <c r="G213" s="77"/>
      <c r="H213" s="77" t="str">
        <f t="shared" si="3"/>
        <v>sandeep.mewara@ujjivan.com;;ashok.gosawi@ujjivan.com;;west-vyara-branch@ujjivan.com;ccr-vyara@ujjivan.com;mehul.rana@ujjivan.com;ujesh.modi@ujjivan.com;prakash.bhitora@ujjivan.com;rajesh.khedkar@ujjivan.com;himanshu.chauhan@ujjivan.com;vivek.mistry@ujjivan.com;namdeo.patil@ujjivan.com;hitarth.trivedi@ujjivan.com;ccr-vyara@ujjivan.com;bhojraj.prajapati@ujjivan.com;ruchira.patel@ujjivan.com;manish.rana@ujjivan.com;;</v>
      </c>
      <c r="J213" s="77" t="s">
        <v>3183</v>
      </c>
      <c r="K213" s="77"/>
    </row>
    <row r="214" spans="1:11" x14ac:dyDescent="0.25">
      <c r="A214" s="143" t="s">
        <v>2607</v>
      </c>
      <c r="B214" s="75"/>
      <c r="C214" s="75"/>
      <c r="D214" s="76"/>
      <c r="E214" s="77"/>
      <c r="F214" s="77"/>
      <c r="G214" s="77"/>
      <c r="H214" s="77" t="str">
        <f t="shared" si="3"/>
        <v>;;;;;;</v>
      </c>
      <c r="J214" s="77"/>
      <c r="K214" s="77"/>
    </row>
    <row r="215" spans="1:11" x14ac:dyDescent="0.25">
      <c r="A215" s="143" t="s">
        <v>2610</v>
      </c>
      <c r="B215" s="75" t="s">
        <v>3566</v>
      </c>
      <c r="C215" s="75" t="s">
        <v>3921</v>
      </c>
      <c r="D215" s="76" t="s">
        <v>4175</v>
      </c>
      <c r="E215" s="77"/>
      <c r="F215" s="77" t="s">
        <v>4542</v>
      </c>
      <c r="G215" s="77" t="s">
        <v>978</v>
      </c>
      <c r="H215" s="77" t="str">
        <f t="shared" si="3"/>
        <v>mahamad.yaquob@ujjivan.com;;vaibhav.dudhekar@ujjivan.com;varun.yadav@ujjivan.com;shahuchowk-latur@ujjivan.com;swarup.dhakne@ujjivan.com;sachin.suryawanshi@ujjivan.com;abhijeet.bhadange@ujjivan.com;Sandeep.deshmukh@ujjivan.com;shreeram.walawe@ujjivan.com;;;</v>
      </c>
      <c r="J215" s="77" t="s">
        <v>3185</v>
      </c>
      <c r="K215" s="77"/>
    </row>
    <row r="216" spans="1:11" x14ac:dyDescent="0.25">
      <c r="A216" s="143" t="s">
        <v>2613</v>
      </c>
      <c r="B216" s="75"/>
      <c r="C216" s="75"/>
      <c r="D216" s="76"/>
      <c r="E216" s="77"/>
      <c r="F216" s="77"/>
      <c r="G216" s="77"/>
      <c r="H216" s="77" t="str">
        <f t="shared" si="3"/>
        <v>;;;;;;</v>
      </c>
      <c r="J216" s="77"/>
      <c r="K216" s="77"/>
    </row>
    <row r="217" spans="1:11" x14ac:dyDescent="0.25">
      <c r="A217" s="143" t="s">
        <v>2616</v>
      </c>
      <c r="B217" s="75" t="s">
        <v>3567</v>
      </c>
      <c r="C217" s="75" t="s">
        <v>2777</v>
      </c>
      <c r="D217" s="76" t="s">
        <v>4687</v>
      </c>
      <c r="E217" s="77"/>
      <c r="F217" s="77" t="s">
        <v>4542</v>
      </c>
      <c r="G217" s="77"/>
      <c r="H217" s="77" t="str">
        <f t="shared" si="3"/>
        <v>dilip.kharde@ujjivan.com;;vaibhav.dudhekar@ujjivan.com;;west-north.nagpur@ujjivan.com;harshal.takwale@ujjivan.com;rajendra.chunarkar@ujjivan.com;ashish.kale@ujjivan.com;vaibhav.dudhekar@ujjivan.com;abhijeet.bhadange@ujjivan.com;shama.siddique@ujjivan.com;;;</v>
      </c>
      <c r="J217" s="77" t="s">
        <v>3186</v>
      </c>
      <c r="K217" s="77"/>
    </row>
    <row r="218" spans="1:11" x14ac:dyDescent="0.25">
      <c r="A218" s="143" t="s">
        <v>2619</v>
      </c>
      <c r="B218" s="75" t="s">
        <v>3568</v>
      </c>
      <c r="C218" s="75" t="s">
        <v>2778</v>
      </c>
      <c r="D218" s="76" t="s">
        <v>3771</v>
      </c>
      <c r="E218" s="77"/>
      <c r="F218" s="77" t="s">
        <v>4542</v>
      </c>
      <c r="G218" s="77" t="s">
        <v>978</v>
      </c>
      <c r="H218" s="77" t="str">
        <f t="shared" si="3"/>
        <v>hitesh.bhoyar@ujjivan.com;;vaibhav.dudhekar@ujjivan.com;varun.yadav@ujjivan.com;west-east.nagpur@ujjivan.com;hitesh.bhoyar@ujjivan.com;rajendra.chunarkar@ujjivan.com;ashish.kale@ujjivan.com;vaibhav.dudhekar@ujjivan.com;abhijeet.bhadange@ujjivan.com;;</v>
      </c>
      <c r="J218" s="77" t="s">
        <v>3188</v>
      </c>
      <c r="K218" s="77"/>
    </row>
    <row r="219" spans="1:11" x14ac:dyDescent="0.25">
      <c r="A219" s="143" t="s">
        <v>2622</v>
      </c>
      <c r="B219" s="75"/>
      <c r="C219" s="75"/>
      <c r="D219" s="76"/>
      <c r="E219" s="77"/>
      <c r="F219" s="77"/>
      <c r="G219" s="77"/>
      <c r="H219" s="77" t="str">
        <f t="shared" si="3"/>
        <v>;;;;;;</v>
      </c>
      <c r="J219" s="77"/>
      <c r="K219" s="77"/>
    </row>
    <row r="220" spans="1:11" x14ac:dyDescent="0.25">
      <c r="A220" s="143" t="s">
        <v>2625</v>
      </c>
      <c r="B220" s="75" t="s">
        <v>3569</v>
      </c>
      <c r="C220" s="75" t="s">
        <v>3922</v>
      </c>
      <c r="D220" s="76" t="s">
        <v>3772</v>
      </c>
      <c r="E220" s="77" t="s">
        <v>4198</v>
      </c>
      <c r="F220" s="77" t="s">
        <v>4545</v>
      </c>
      <c r="G220" s="77" t="s">
        <v>829</v>
      </c>
      <c r="H220" s="77" t="str">
        <f t="shared" si="3"/>
        <v>jaydeepsinh.bagsadiya@ujjivan.com;ghanshyambhai.parmar@ujjivan.com;hitarth.trivedi@ujjivan.com;satish.ankola@ujjivan.com;west-west.bhavnagar-branch@ujjivan.com;rajesh.rupala@ujjivan.com;dinesh.sonawane@ujjivan.com;rushabh.mehta@ujjivan.com;hitarth.trivedi@ujjivan.com;brij.kothadiya@ujjivan.com;dinesh.sonawane@ujjivan.com;parth.rajyaguru@ujjivan.com;rushabh.mehta@ujjivan.com;jaydeepsinh.bagsadiya@ujjivan.com;jigna.pandit@ujjivan.com;vikrambhai.aalgotar@ujjivan.com;;</v>
      </c>
      <c r="J220" s="77" t="s">
        <v>3190</v>
      </c>
      <c r="K220" s="77"/>
    </row>
    <row r="221" spans="1:11" x14ac:dyDescent="0.25">
      <c r="A221" s="143" t="s">
        <v>2628</v>
      </c>
      <c r="B221" s="75" t="s">
        <v>3570</v>
      </c>
      <c r="C221" s="75" t="s">
        <v>2779</v>
      </c>
      <c r="D221" s="76" t="s">
        <v>4688</v>
      </c>
      <c r="E221" s="77" t="s">
        <v>4199</v>
      </c>
      <c r="F221" s="77" t="s">
        <v>4545</v>
      </c>
      <c r="G221" s="77" t="s">
        <v>829</v>
      </c>
      <c r="H221" s="77" t="str">
        <f t="shared" si="3"/>
        <v>bhargav.devmurari@ujjivan.com;yuvrajsinh.vaghela@ujjivan.com;hitarth.trivedi@ujjivan.com;satish.ankola@ujjivan.com;west-botad-branch@ujjivan.com;gopal.muliya@ujjivan.com;dinesh.sonawane@ujjivan.com;rushabh.mehta@ujjivan.com;hitarth.trivedi@ujjivan.com;parth.rajyaguru@ujjivan.com;;</v>
      </c>
      <c r="J221" s="77" t="s">
        <v>3192</v>
      </c>
      <c r="K221" s="77"/>
    </row>
    <row r="222" spans="1:11" x14ac:dyDescent="0.25">
      <c r="A222" s="144" t="s">
        <v>865</v>
      </c>
      <c r="B222" s="75" t="s">
        <v>3301</v>
      </c>
      <c r="C222" s="75" t="s">
        <v>2811</v>
      </c>
      <c r="D222" s="76" t="s">
        <v>4201</v>
      </c>
      <c r="E222" s="77" t="s">
        <v>4571</v>
      </c>
      <c r="F222" s="77" t="s">
        <v>4546</v>
      </c>
      <c r="G222" s="77" t="s">
        <v>868</v>
      </c>
      <c r="H222" s="77" t="str">
        <f t="shared" si="3"/>
        <v>ombeer.sharma@ujjivan.com;monica.dhariwal@ujjivan.com;neelkant.tyagi@ujjivan.com;dharmendra.kumar@ujjivan.com;;;</v>
      </c>
      <c r="J222" s="77"/>
      <c r="K222" s="77"/>
    </row>
    <row r="223" spans="1:11" x14ac:dyDescent="0.25">
      <c r="A223" s="144" t="s">
        <v>871</v>
      </c>
      <c r="B223" s="75" t="s">
        <v>877</v>
      </c>
      <c r="C223" s="75" t="s">
        <v>2807</v>
      </c>
      <c r="D223" s="76" t="s">
        <v>4226</v>
      </c>
      <c r="E223" s="77" t="s">
        <v>4572</v>
      </c>
      <c r="F223" s="77" t="s">
        <v>2784</v>
      </c>
      <c r="G223" s="77" t="s">
        <v>868</v>
      </c>
      <c r="H223" s="77" t="str">
        <f t="shared" si="3"/>
        <v>atul.prakash@ujjivan.com;soumya.shukla@ujjivan.com;kumar.vivek@ujjivan.com;dharmendra.kumar@ujjivan.com;;;</v>
      </c>
      <c r="J223" s="77"/>
      <c r="K223" s="77"/>
    </row>
    <row r="224" spans="1:11" x14ac:dyDescent="0.25">
      <c r="A224" s="144" t="s">
        <v>1801</v>
      </c>
      <c r="B224" s="75" t="s">
        <v>3543</v>
      </c>
      <c r="C224" s="75" t="s">
        <v>3923</v>
      </c>
      <c r="D224" s="76" t="s">
        <v>3759</v>
      </c>
      <c r="E224" s="77" t="s">
        <v>4202</v>
      </c>
      <c r="F224" s="77" t="s">
        <v>2784</v>
      </c>
      <c r="G224" s="77" t="s">
        <v>868</v>
      </c>
      <c r="H224" s="77" t="str">
        <f t="shared" si="3"/>
        <v>shishir.tripathi@ujjivan.com;neeraj.kumar@ujjivan.com;kumar.vivek@ujjivan.com;dharmendra.kumar@ujjivan.com;;;</v>
      </c>
      <c r="J224" s="77"/>
      <c r="K224" s="77"/>
    </row>
    <row r="225" spans="1:11" x14ac:dyDescent="0.25">
      <c r="A225" s="144" t="s">
        <v>1804</v>
      </c>
      <c r="B225" s="75"/>
      <c r="C225" s="75"/>
      <c r="D225" s="76" t="s">
        <v>4573</v>
      </c>
      <c r="E225" s="77" t="s">
        <v>4495</v>
      </c>
      <c r="F225" s="77" t="s">
        <v>2784</v>
      </c>
      <c r="G225" s="77" t="s">
        <v>868</v>
      </c>
      <c r="H225" s="77" t="str">
        <f t="shared" si="3"/>
        <v>ranjeet.kumar@ujjivan.com;neelam.kumar@ujjivan.com;kumar.vivek@ujjivan.com;dharmendra.kumar@ujjivan.com;;;</v>
      </c>
      <c r="J225" s="77"/>
      <c r="K225" s="77"/>
    </row>
    <row r="226" spans="1:11" x14ac:dyDescent="0.25">
      <c r="A226" s="144" t="s">
        <v>872</v>
      </c>
      <c r="B226" s="75" t="s">
        <v>3302</v>
      </c>
      <c r="C226" s="75" t="s">
        <v>2785</v>
      </c>
      <c r="D226" s="76" t="s">
        <v>4575</v>
      </c>
      <c r="E226" s="77" t="s">
        <v>4496</v>
      </c>
      <c r="F226" s="77" t="s">
        <v>2784</v>
      </c>
      <c r="G226" s="77" t="s">
        <v>868</v>
      </c>
      <c r="H226" s="77" t="str">
        <f t="shared" si="3"/>
        <v>govind.bhandari@ujjivan.com;dinesh.khokher@ujjivan.com;kumar.vivek@ujjivan.com;dharmendra.kumar@ujjivan.com;;;</v>
      </c>
      <c r="J226" s="77"/>
      <c r="K226" s="77"/>
    </row>
    <row r="227" spans="1:11" x14ac:dyDescent="0.25">
      <c r="A227" s="144" t="s">
        <v>873</v>
      </c>
      <c r="B227" s="75"/>
      <c r="C227" s="75"/>
      <c r="D227" s="76"/>
      <c r="E227" s="77"/>
      <c r="F227" s="77"/>
      <c r="G227" s="77"/>
      <c r="H227" s="77" t="str">
        <f t="shared" si="3"/>
        <v>;;;;;;</v>
      </c>
      <c r="J227" s="77"/>
      <c r="K227" s="77"/>
    </row>
    <row r="228" spans="1:11" x14ac:dyDescent="0.25">
      <c r="A228" s="144" t="s">
        <v>1811</v>
      </c>
      <c r="B228" s="75" t="s">
        <v>2786</v>
      </c>
      <c r="C228" s="75" t="s">
        <v>2787</v>
      </c>
      <c r="D228" s="76" t="s">
        <v>2688</v>
      </c>
      <c r="E228" s="77" t="s">
        <v>4204</v>
      </c>
      <c r="F228" s="77" t="s">
        <v>4546</v>
      </c>
      <c r="G228" s="77" t="s">
        <v>868</v>
      </c>
      <c r="H228" s="77" t="str">
        <f t="shared" si="3"/>
        <v>singh.dharmendra@ujjivan.com;arif.khan@ujjivan.com;neelkant.tyagi@ujjivan.com;dharmendra.kumar@ujjivan.com;;;</v>
      </c>
      <c r="J228" s="77"/>
      <c r="K228" s="77"/>
    </row>
    <row r="229" spans="1:11" x14ac:dyDescent="0.25">
      <c r="A229" s="144" t="s">
        <v>1814</v>
      </c>
      <c r="B229" s="75"/>
      <c r="C229" s="75"/>
      <c r="D229" s="76" t="s">
        <v>4203</v>
      </c>
      <c r="E229" s="77"/>
      <c r="F229" s="77" t="s">
        <v>2784</v>
      </c>
      <c r="G229" s="77"/>
      <c r="H229" s="77" t="str">
        <f t="shared" si="3"/>
        <v>manoj.tiwari@ujjivan.com;;kumar.vivek@ujjivan.com;;;;</v>
      </c>
      <c r="J229" s="77"/>
      <c r="K229" s="77"/>
    </row>
    <row r="230" spans="1:11" x14ac:dyDescent="0.25">
      <c r="A230" s="144" t="s">
        <v>953</v>
      </c>
      <c r="B230" s="75" t="s">
        <v>3303</v>
      </c>
      <c r="C230" s="75" t="s">
        <v>3924</v>
      </c>
      <c r="D230" s="76" t="s">
        <v>3636</v>
      </c>
      <c r="E230" s="77" t="s">
        <v>4205</v>
      </c>
      <c r="F230" s="77" t="s">
        <v>3023</v>
      </c>
      <c r="G230" s="77" t="s">
        <v>955</v>
      </c>
      <c r="H230" s="77" t="str">
        <f t="shared" si="3"/>
        <v>shubham.chauhan@ujjivan.com;manoj.sharma@ujjivan.com;deepak.duttatrey@ujjivan.com;rohit.parashar@ujjivan.com;;;</v>
      </c>
      <c r="J230" s="77"/>
      <c r="K230" s="77"/>
    </row>
    <row r="231" spans="1:11" x14ac:dyDescent="0.25">
      <c r="A231" s="144" t="s">
        <v>976</v>
      </c>
      <c r="B231" s="75" t="s">
        <v>3304</v>
      </c>
      <c r="C231" s="75" t="s">
        <v>2789</v>
      </c>
      <c r="D231" s="76" t="s">
        <v>2790</v>
      </c>
      <c r="E231" s="77" t="s">
        <v>4577</v>
      </c>
      <c r="F231" s="77" t="s">
        <v>977</v>
      </c>
      <c r="G231" s="77" t="s">
        <v>911</v>
      </c>
      <c r="H231" s="77" t="str">
        <f t="shared" si="3"/>
        <v>afzal.ali@ujjivan.com;intazar.118@ujjivan.com;sarveshpratap.singh@ujjivan.com;mahesh.gupta@ujjivan.com;;;</v>
      </c>
      <c r="J231" s="77"/>
      <c r="K231" s="77"/>
    </row>
    <row r="232" spans="1:11" x14ac:dyDescent="0.25">
      <c r="A232" s="144" t="s">
        <v>957</v>
      </c>
      <c r="B232" s="75" t="s">
        <v>3305</v>
      </c>
      <c r="C232" s="75" t="s">
        <v>3925</v>
      </c>
      <c r="D232" s="76" t="s">
        <v>3024</v>
      </c>
      <c r="E232" s="77" t="s">
        <v>4497</v>
      </c>
      <c r="F232" s="77" t="s">
        <v>4415</v>
      </c>
      <c r="G232" s="77" t="s">
        <v>955</v>
      </c>
      <c r="H232" s="77" t="str">
        <f t="shared" si="3"/>
        <v>rahul.singh@ujjivan.com;yadav.jitendrakumar@ujjivan.com;rajesh.kr@ujjivan.com;rohit.parashar@ujjivan.com;;;</v>
      </c>
      <c r="J232" s="77"/>
      <c r="K232" s="77"/>
    </row>
    <row r="233" spans="1:11" x14ac:dyDescent="0.25">
      <c r="A233" s="144" t="s">
        <v>958</v>
      </c>
      <c r="B233" s="75" t="s">
        <v>2856</v>
      </c>
      <c r="C233" s="75" t="s">
        <v>2857</v>
      </c>
      <c r="D233" s="76" t="s">
        <v>4207</v>
      </c>
      <c r="E233" s="77"/>
      <c r="F233" s="77" t="s">
        <v>3023</v>
      </c>
      <c r="G233" s="77"/>
      <c r="H233" s="77" t="str">
        <f t="shared" si="3"/>
        <v>manojkumar.baghel@ujjivan.com;;deepak.duttatrey@ujjivan.com;;;;</v>
      </c>
      <c r="J233" s="77"/>
      <c r="K233" s="77"/>
    </row>
    <row r="234" spans="1:11" x14ac:dyDescent="0.25">
      <c r="A234" s="144" t="s">
        <v>979</v>
      </c>
      <c r="B234" s="75"/>
      <c r="C234" s="75"/>
      <c r="D234" s="76"/>
      <c r="E234" s="77"/>
      <c r="F234" s="77"/>
      <c r="G234" s="77"/>
      <c r="H234" s="77" t="str">
        <f t="shared" si="3"/>
        <v>;;;;;;</v>
      </c>
      <c r="J234" s="77"/>
      <c r="K234" s="77"/>
    </row>
    <row r="235" spans="1:11" x14ac:dyDescent="0.25">
      <c r="A235" s="144" t="s">
        <v>874</v>
      </c>
      <c r="B235" s="75" t="s">
        <v>3306</v>
      </c>
      <c r="C235" s="75" t="s">
        <v>3926</v>
      </c>
      <c r="D235" s="76" t="s">
        <v>3637</v>
      </c>
      <c r="E235" s="77" t="s">
        <v>4208</v>
      </c>
      <c r="F235" s="77" t="s">
        <v>4546</v>
      </c>
      <c r="G235" s="77" t="s">
        <v>868</v>
      </c>
      <c r="H235" s="77" t="str">
        <f t="shared" si="3"/>
        <v>birender.singh@ujjivan.com;prabin.devedi@ujjivan.com;neelkant.tyagi@ujjivan.com;dharmendra.kumar@ujjivan.com;;;</v>
      </c>
      <c r="J235" s="77"/>
      <c r="K235" s="77"/>
    </row>
    <row r="236" spans="1:11" x14ac:dyDescent="0.25">
      <c r="A236" s="144" t="s">
        <v>981</v>
      </c>
      <c r="B236" s="75" t="s">
        <v>2834</v>
      </c>
      <c r="C236" s="75" t="s">
        <v>2835</v>
      </c>
      <c r="D236" s="76" t="s">
        <v>2836</v>
      </c>
      <c r="E236" s="77" t="s">
        <v>4209</v>
      </c>
      <c r="F236" s="77" t="s">
        <v>977</v>
      </c>
      <c r="G236" s="77" t="s">
        <v>911</v>
      </c>
      <c r="H236" s="77" t="str">
        <f t="shared" si="3"/>
        <v>manish.singh@ujjivan.com;sudhir.panwar@ujjivan.com;sarveshpratap.singh@ujjivan.com;mahesh.gupta@ujjivan.com;;;</v>
      </c>
      <c r="J236" s="77"/>
      <c r="K236" s="77"/>
    </row>
    <row r="237" spans="1:11" x14ac:dyDescent="0.25">
      <c r="A237" s="144" t="s">
        <v>982</v>
      </c>
      <c r="B237" s="75" t="s">
        <v>3307</v>
      </c>
      <c r="C237" s="75" t="s">
        <v>3927</v>
      </c>
      <c r="D237" s="76" t="s">
        <v>3638</v>
      </c>
      <c r="E237" s="77" t="s">
        <v>4498</v>
      </c>
      <c r="F237" s="77" t="s">
        <v>977</v>
      </c>
      <c r="G237" s="77" t="s">
        <v>911</v>
      </c>
      <c r="H237" s="77" t="str">
        <f t="shared" si="3"/>
        <v>gajendra.sharma@ujjivan.com;rajeev.solanki@ujjivan.com;sarveshpratap.singh@ujjivan.com;mahesh.gupta@ujjivan.com;;;</v>
      </c>
      <c r="J237" s="77"/>
      <c r="K237" s="77"/>
    </row>
    <row r="238" spans="1:11" s="121" customFormat="1" x14ac:dyDescent="0.25">
      <c r="A238" s="145" t="s">
        <v>959</v>
      </c>
      <c r="B238" s="129" t="s">
        <v>3308</v>
      </c>
      <c r="C238" s="129" t="s">
        <v>2794</v>
      </c>
      <c r="D238" s="76" t="s">
        <v>964</v>
      </c>
      <c r="E238" s="77" t="s">
        <v>4211</v>
      </c>
      <c r="F238" s="77" t="s">
        <v>4547</v>
      </c>
      <c r="G238" s="77" t="s">
        <v>955</v>
      </c>
      <c r="H238" s="77" t="str">
        <f t="shared" si="3"/>
        <v>gordhan.choudhary@ujjivan.com;bhagwan.rawat@ujjivan.com;dalla.ram@ujjivan.com;rohit.parashar@ujjivan.com;;;</v>
      </c>
      <c r="J238" s="125"/>
      <c r="K238" s="125"/>
    </row>
    <row r="239" spans="1:11" x14ac:dyDescent="0.25">
      <c r="A239" s="144" t="s">
        <v>960</v>
      </c>
      <c r="B239" s="75" t="s">
        <v>3309</v>
      </c>
      <c r="C239" s="75" t="s">
        <v>2795</v>
      </c>
      <c r="D239" s="76" t="s">
        <v>3639</v>
      </c>
      <c r="E239" s="77" t="s">
        <v>4580</v>
      </c>
      <c r="F239" s="77" t="s">
        <v>3023</v>
      </c>
      <c r="G239" s="77" t="s">
        <v>888</v>
      </c>
      <c r="H239" s="77" t="str">
        <f t="shared" si="3"/>
        <v>kiran.singh@ujjivan.com;rohitash.meena@ujjivan.com;deepak.duttatrey@ujjivan.com;vijay.choudhary@ujjivan.com;;;</v>
      </c>
      <c r="J239" s="77"/>
      <c r="K239" s="77"/>
    </row>
    <row r="240" spans="1:11" x14ac:dyDescent="0.25">
      <c r="A240" s="144" t="s">
        <v>1836</v>
      </c>
      <c r="B240" s="75"/>
      <c r="C240" s="75"/>
      <c r="D240" s="76" t="s">
        <v>3664</v>
      </c>
      <c r="E240" s="77" t="s">
        <v>4213</v>
      </c>
      <c r="F240" s="77" t="s">
        <v>4415</v>
      </c>
      <c r="G240" s="77" t="s">
        <v>888</v>
      </c>
      <c r="H240" s="77" t="str">
        <f t="shared" si="3"/>
        <v>satyanarayan.savlia@ujjivan.com;ghanshyam.verma@ujjivan.com;rajesh.kr@ujjivan.com;vijay.choudhary@ujjivan.com;;;</v>
      </c>
      <c r="J240" s="77"/>
      <c r="K240" s="77"/>
    </row>
    <row r="241" spans="1:11" x14ac:dyDescent="0.25">
      <c r="A241" s="144" t="s">
        <v>961</v>
      </c>
      <c r="B241" s="75" t="s">
        <v>2800</v>
      </c>
      <c r="C241" s="75" t="s">
        <v>2801</v>
      </c>
      <c r="D241" s="76" t="s">
        <v>2701</v>
      </c>
      <c r="E241" s="77" t="s">
        <v>4499</v>
      </c>
      <c r="F241" s="77" t="s">
        <v>4547</v>
      </c>
      <c r="G241" s="77" t="s">
        <v>888</v>
      </c>
      <c r="H241" s="77" t="str">
        <f t="shared" si="3"/>
        <v>rakesh.suman@ujjivan.com;harikesh.gurjar@ujjivan.com;dalla.ram@ujjivan.com;vijay.choudhary@ujjivan.com;;;</v>
      </c>
      <c r="J241" s="77"/>
      <c r="K241" s="77"/>
    </row>
    <row r="242" spans="1:11" x14ac:dyDescent="0.25">
      <c r="A242" s="144" t="s">
        <v>1841</v>
      </c>
      <c r="B242" s="75" t="s">
        <v>3544</v>
      </c>
      <c r="C242" s="75" t="s">
        <v>2796</v>
      </c>
      <c r="D242" s="76" t="s">
        <v>973</v>
      </c>
      <c r="E242" s="77" t="s">
        <v>4215</v>
      </c>
      <c r="F242" s="77" t="s">
        <v>4547</v>
      </c>
      <c r="G242" s="77" t="s">
        <v>888</v>
      </c>
      <c r="H242" s="77" t="str">
        <f t="shared" si="3"/>
        <v>swatantra.nama@ujjivan.com;vijay.shankar@ujjivan.com;dalla.ram@ujjivan.com;vijay.choudhary@ujjivan.com;;;</v>
      </c>
      <c r="J242" s="77"/>
      <c r="K242" s="77"/>
    </row>
    <row r="243" spans="1:11" x14ac:dyDescent="0.25">
      <c r="A243" s="144" t="s">
        <v>962</v>
      </c>
      <c r="B243" s="75" t="s">
        <v>3310</v>
      </c>
      <c r="C243" s="75" t="s">
        <v>3928</v>
      </c>
      <c r="D243" s="76" t="s">
        <v>3640</v>
      </c>
      <c r="E243" s="77" t="s">
        <v>4582</v>
      </c>
      <c r="F243" s="77" t="s">
        <v>3023</v>
      </c>
      <c r="G243" s="77" t="s">
        <v>955</v>
      </c>
      <c r="H243" s="77" t="str">
        <f t="shared" si="3"/>
        <v>akshat.sharma@ujjivan.com;prastuti.goswami@ujjivan.com;deepak.duttatrey@ujjivan.com;rohit.parashar@ujjivan.com;;;</v>
      </c>
      <c r="J243" s="77"/>
      <c r="K243" s="77"/>
    </row>
    <row r="244" spans="1:11" s="121" customFormat="1" x14ac:dyDescent="0.25">
      <c r="A244" s="145" t="s">
        <v>963</v>
      </c>
      <c r="B244" s="129" t="s">
        <v>970</v>
      </c>
      <c r="C244" s="129" t="s">
        <v>2797</v>
      </c>
      <c r="D244" s="76" t="s">
        <v>971</v>
      </c>
      <c r="E244" s="77" t="s">
        <v>1822</v>
      </c>
      <c r="F244" s="77" t="s">
        <v>4547</v>
      </c>
      <c r="G244" s="77" t="s">
        <v>955</v>
      </c>
      <c r="H244" s="77" t="str">
        <f t="shared" si="3"/>
        <v>madhuram.jat@ujjivan.com;del-dausa-branch@ujjivan.com;dalla.ram@ujjivan.com;rohit.parashar@ujjivan.com;;;</v>
      </c>
      <c r="J244" s="125"/>
      <c r="K244" s="125"/>
    </row>
    <row r="245" spans="1:11" x14ac:dyDescent="0.25">
      <c r="A245" s="144" t="s">
        <v>983</v>
      </c>
      <c r="B245" s="75" t="s">
        <v>3311</v>
      </c>
      <c r="C245" s="75" t="s">
        <v>3929</v>
      </c>
      <c r="D245" s="76" t="s">
        <v>3641</v>
      </c>
      <c r="E245" s="77" t="s">
        <v>4218</v>
      </c>
      <c r="F245" s="77" t="s">
        <v>1004</v>
      </c>
      <c r="G245" s="77" t="s">
        <v>911</v>
      </c>
      <c r="H245" s="77" t="str">
        <f t="shared" si="3"/>
        <v>vijay.chauhan@ujjivan.com;sachin.patwal@ujjivan.com;singh.sandeep@ujjivan.com;mahesh.gupta@ujjivan.com;;;</v>
      </c>
      <c r="J245" s="77"/>
      <c r="K245" s="77"/>
    </row>
    <row r="246" spans="1:11" x14ac:dyDescent="0.25">
      <c r="A246" s="144" t="s">
        <v>984</v>
      </c>
      <c r="B246" s="75" t="s">
        <v>3312</v>
      </c>
      <c r="C246" s="75" t="s">
        <v>2799</v>
      </c>
      <c r="D246" s="76"/>
      <c r="E246" s="77" t="s">
        <v>4219</v>
      </c>
      <c r="F246" s="77" t="s">
        <v>1004</v>
      </c>
      <c r="G246" s="77" t="s">
        <v>911</v>
      </c>
      <c r="H246" s="77" t="str">
        <f t="shared" si="3"/>
        <v>;vikas.thakur959@ujjivan.com;singh.sandeep@ujjivan.com;mahesh.gupta@ujjivan.com;;;</v>
      </c>
      <c r="J246" s="77"/>
      <c r="K246" s="77"/>
    </row>
    <row r="247" spans="1:11" x14ac:dyDescent="0.25">
      <c r="A247" s="144" t="s">
        <v>986</v>
      </c>
      <c r="B247" s="75" t="s">
        <v>3313</v>
      </c>
      <c r="C247" s="75" t="s">
        <v>3930</v>
      </c>
      <c r="D247" s="76" t="s">
        <v>3642</v>
      </c>
      <c r="E247" s="77" t="s">
        <v>4220</v>
      </c>
      <c r="F247" s="77" t="s">
        <v>1004</v>
      </c>
      <c r="G247" s="77" t="s">
        <v>911</v>
      </c>
      <c r="H247" s="77" t="str">
        <f t="shared" si="3"/>
        <v>shrikant.shandilya@ujjivan.com;jogendra.kumar@ujjivan.com;singh.sandeep@ujjivan.com;mahesh.gupta@ujjivan.com;;;</v>
      </c>
      <c r="J247" s="77"/>
      <c r="K247" s="77"/>
    </row>
    <row r="248" spans="1:11" s="121" customFormat="1" x14ac:dyDescent="0.25">
      <c r="A248" s="145" t="s">
        <v>965</v>
      </c>
      <c r="B248" s="129" t="s">
        <v>3314</v>
      </c>
      <c r="C248" s="129" t="s">
        <v>3931</v>
      </c>
      <c r="D248" s="76" t="s">
        <v>4416</v>
      </c>
      <c r="E248" s="77" t="s">
        <v>4221</v>
      </c>
      <c r="F248" s="77" t="s">
        <v>4547</v>
      </c>
      <c r="G248" s="77" t="s">
        <v>955</v>
      </c>
      <c r="H248" s="77" t="str">
        <f t="shared" si="3"/>
        <v>mahendra.panchariya@ujjivan.com;deda.ram@ujjivan.com;dalla.ram@ujjivan.com;rohit.parashar@ujjivan.com;;;</v>
      </c>
      <c r="J248" s="125"/>
      <c r="K248" s="125"/>
    </row>
    <row r="249" spans="1:11" x14ac:dyDescent="0.25">
      <c r="A249" s="144" t="s">
        <v>987</v>
      </c>
      <c r="B249" s="75" t="s">
        <v>3315</v>
      </c>
      <c r="C249" s="75" t="s">
        <v>2839</v>
      </c>
      <c r="D249" s="76" t="s">
        <v>4586</v>
      </c>
      <c r="E249" s="77" t="s">
        <v>4222</v>
      </c>
      <c r="F249" s="77" t="s">
        <v>1004</v>
      </c>
      <c r="G249" s="77" t="s">
        <v>911</v>
      </c>
      <c r="H249" s="77" t="str">
        <f t="shared" si="3"/>
        <v>sachinkumar.panwar@ujjivan.com;pankaj.kumar642@ujjivan.com;singh.sandeep@ujjivan.com;mahesh.gupta@ujjivan.com;;;</v>
      </c>
      <c r="J249" s="77"/>
      <c r="K249" s="77"/>
    </row>
    <row r="250" spans="1:11" s="121" customFormat="1" x14ac:dyDescent="0.25">
      <c r="A250" s="145" t="s">
        <v>966</v>
      </c>
      <c r="B250" s="129" t="s">
        <v>3316</v>
      </c>
      <c r="C250" s="129" t="s">
        <v>3932</v>
      </c>
      <c r="D250" s="76" t="s">
        <v>4588</v>
      </c>
      <c r="E250" s="77" t="s">
        <v>4223</v>
      </c>
      <c r="F250" s="77" t="s">
        <v>4547</v>
      </c>
      <c r="G250" s="77" t="s">
        <v>955</v>
      </c>
      <c r="H250" s="77" t="str">
        <f t="shared" si="3"/>
        <v>avinash.kumar@ujjivan.com;deepakbhati@ujjivan.com;dalla.ram@ujjivan.com;rohit.parashar@ujjivan.com;;;</v>
      </c>
      <c r="J250" s="125"/>
      <c r="K250" s="125"/>
    </row>
    <row r="251" spans="1:11" x14ac:dyDescent="0.25">
      <c r="A251" s="144" t="s">
        <v>904</v>
      </c>
      <c r="B251" s="75" t="s">
        <v>3317</v>
      </c>
      <c r="C251" s="75" t="s">
        <v>2802</v>
      </c>
      <c r="D251" s="76" t="s">
        <v>2803</v>
      </c>
      <c r="E251" s="77" t="s">
        <v>4224</v>
      </c>
      <c r="F251" s="77" t="s">
        <v>4549</v>
      </c>
      <c r="G251" s="77" t="s">
        <v>880</v>
      </c>
      <c r="H251" s="77" t="str">
        <f t="shared" si="3"/>
        <v>maneet.kumar@ujjivan.com;ram.prasad@ujjivan.com;manu.verma@ujjivan.com;amit.vij@ujjivan.com;;;</v>
      </c>
      <c r="J251" s="77"/>
      <c r="K251" s="77"/>
    </row>
    <row r="252" spans="1:11" x14ac:dyDescent="0.25">
      <c r="A252" s="144" t="s">
        <v>906</v>
      </c>
      <c r="B252" s="75" t="s">
        <v>3318</v>
      </c>
      <c r="C252" s="75" t="s">
        <v>3933</v>
      </c>
      <c r="D252" s="76" t="s">
        <v>3644</v>
      </c>
      <c r="E252" s="77" t="s">
        <v>4500</v>
      </c>
      <c r="F252" s="77" t="s">
        <v>4549</v>
      </c>
      <c r="G252" s="77" t="s">
        <v>880</v>
      </c>
      <c r="H252" s="77" t="str">
        <f t="shared" si="3"/>
        <v>pal.suraj@ujjivan.com;rakesh.grasiya@ujjivan.com;manu.verma@ujjivan.com;amit.vij@ujjivan.com;;;</v>
      </c>
      <c r="J252" s="77"/>
      <c r="K252" s="77"/>
    </row>
    <row r="253" spans="1:11" x14ac:dyDescent="0.25">
      <c r="A253" s="144" t="s">
        <v>1875</v>
      </c>
      <c r="B253" s="75" t="s">
        <v>3545</v>
      </c>
      <c r="C253" s="75" t="s">
        <v>3934</v>
      </c>
      <c r="D253" s="76" t="s">
        <v>3760</v>
      </c>
      <c r="E253" s="77"/>
      <c r="F253" s="77" t="s">
        <v>2784</v>
      </c>
      <c r="G253" s="77" t="s">
        <v>868</v>
      </c>
      <c r="H253" s="77" t="str">
        <f t="shared" si="3"/>
        <v>gopal.singh@ujjivan.com;;kumar.vivek@ujjivan.com;dharmendra.kumar@ujjivan.com;;;</v>
      </c>
      <c r="J253" s="77"/>
      <c r="K253" s="77"/>
    </row>
    <row r="254" spans="1:11" x14ac:dyDescent="0.25">
      <c r="A254" s="144" t="s">
        <v>875</v>
      </c>
      <c r="B254" s="75" t="s">
        <v>3319</v>
      </c>
      <c r="C254" s="75" t="s">
        <v>3935</v>
      </c>
      <c r="D254" s="76" t="s">
        <v>3645</v>
      </c>
      <c r="E254" s="77" t="s">
        <v>4227</v>
      </c>
      <c r="F254" s="77" t="s">
        <v>4546</v>
      </c>
      <c r="G254" s="77" t="s">
        <v>868</v>
      </c>
      <c r="H254" s="77" t="str">
        <f t="shared" si="3"/>
        <v>chandrakant.sharma@ujjivan.com;satpal.shrivastav@ujjivan.com;neelkant.tyagi@ujjivan.com;dharmendra.kumar@ujjivan.com;;;</v>
      </c>
      <c r="J254" s="77"/>
      <c r="K254" s="77"/>
    </row>
    <row r="255" spans="1:11" x14ac:dyDescent="0.25">
      <c r="A255" s="144" t="s">
        <v>908</v>
      </c>
      <c r="B255" s="75" t="s">
        <v>909</v>
      </c>
      <c r="C255" s="75" t="s">
        <v>2804</v>
      </c>
      <c r="D255" s="76" t="s">
        <v>3652</v>
      </c>
      <c r="E255" s="77" t="s">
        <v>4590</v>
      </c>
      <c r="F255" s="77" t="s">
        <v>2805</v>
      </c>
      <c r="G255" s="77" t="s">
        <v>905</v>
      </c>
      <c r="H255" s="77" t="str">
        <f t="shared" si="3"/>
        <v>manoj.yadav@ujjivan.com;ajit.kumar@ujjivan.com;shanta.bhardwaj@ujjivan.com;rahul.sukhija@ujjivan.com;;;</v>
      </c>
      <c r="J255" s="77"/>
      <c r="K255" s="77"/>
    </row>
    <row r="256" spans="1:11" x14ac:dyDescent="0.25">
      <c r="A256" s="144" t="s">
        <v>988</v>
      </c>
      <c r="B256" s="75" t="s">
        <v>3320</v>
      </c>
      <c r="C256" s="75" t="s">
        <v>3936</v>
      </c>
      <c r="D256" s="76" t="s">
        <v>3646</v>
      </c>
      <c r="E256" s="77" t="s">
        <v>4501</v>
      </c>
      <c r="F256" s="77" t="s">
        <v>4591</v>
      </c>
      <c r="G256" s="77" t="s">
        <v>955</v>
      </c>
      <c r="H256" s="77" t="str">
        <f t="shared" si="3"/>
        <v>gopesh.raj@ujjivan.com;yogesh.rajput@ujjivan.com;chandan.sriwastava@ujjivan.com;rohit.parashar@ujjivan.com;faisal.mahmood@ujjivan.com;;</v>
      </c>
      <c r="J256" s="77" t="s">
        <v>3056</v>
      </c>
      <c r="K256" s="77"/>
    </row>
    <row r="257" spans="1:11" x14ac:dyDescent="0.25">
      <c r="A257" s="144" t="s">
        <v>989</v>
      </c>
      <c r="B257" s="75" t="s">
        <v>3321</v>
      </c>
      <c r="C257" s="75" t="s">
        <v>3937</v>
      </c>
      <c r="D257" s="76" t="s">
        <v>3647</v>
      </c>
      <c r="E257" s="77" t="s">
        <v>4592</v>
      </c>
      <c r="F257" s="77" t="s">
        <v>4591</v>
      </c>
      <c r="G257" s="77" t="s">
        <v>955</v>
      </c>
      <c r="H257" s="77" t="str">
        <f t="shared" si="3"/>
        <v>saurabh.singh@ujjivan.com;tejveer.rawat@ujjivan.com;chandan.sriwastava@ujjivan.com;rohit.parashar@ujjivan.com;;;</v>
      </c>
      <c r="J257" s="77"/>
      <c r="K257" s="77"/>
    </row>
    <row r="258" spans="1:11" x14ac:dyDescent="0.25">
      <c r="A258" s="144" t="s">
        <v>990</v>
      </c>
      <c r="B258" s="75" t="s">
        <v>3322</v>
      </c>
      <c r="C258" s="75" t="s">
        <v>3938</v>
      </c>
      <c r="D258" s="76" t="s">
        <v>3648</v>
      </c>
      <c r="E258" s="77" t="s">
        <v>4231</v>
      </c>
      <c r="F258" s="77" t="s">
        <v>4591</v>
      </c>
      <c r="G258" s="77" t="s">
        <v>955</v>
      </c>
      <c r="H258" s="77" t="str">
        <f t="shared" si="3"/>
        <v>satish.chandra@ujjivan.com;jagdeep.kumar@ujjivan.com;chandan.sriwastava@ujjivan.com;rohit.parashar@ujjivan.com;;;</v>
      </c>
      <c r="J258" s="77"/>
      <c r="K258" s="77"/>
    </row>
    <row r="259" spans="1:11" x14ac:dyDescent="0.25">
      <c r="A259" s="144" t="s">
        <v>991</v>
      </c>
      <c r="B259" s="75" t="s">
        <v>3323</v>
      </c>
      <c r="C259" s="75" t="s">
        <v>2798</v>
      </c>
      <c r="D259" s="76" t="s">
        <v>3672</v>
      </c>
      <c r="E259" s="77" t="s">
        <v>4232</v>
      </c>
      <c r="F259" s="77" t="s">
        <v>977</v>
      </c>
      <c r="G259" s="77" t="s">
        <v>911</v>
      </c>
      <c r="H259" s="77" t="str">
        <f t="shared" ref="H259:H322" si="4">CONCATENATE(D259,";",E259,";",F259,";",G259,";",J259,";",K259,";")</f>
        <v>mohit.chauhan@ujjivan.com;sonu.sagar@ujjivan.com;sarveshpratap.singh@ujjivan.com;mahesh.gupta@ujjivan.com;;;</v>
      </c>
      <c r="J259" s="77"/>
      <c r="K259" s="77"/>
    </row>
    <row r="260" spans="1:11" x14ac:dyDescent="0.25">
      <c r="A260" s="144" t="s">
        <v>992</v>
      </c>
      <c r="B260" s="75" t="s">
        <v>993</v>
      </c>
      <c r="C260" s="75" t="s">
        <v>2806</v>
      </c>
      <c r="D260" s="76" t="s">
        <v>4206</v>
      </c>
      <c r="E260" s="77" t="s">
        <v>4413</v>
      </c>
      <c r="F260" s="77" t="s">
        <v>977</v>
      </c>
      <c r="G260" s="77" t="s">
        <v>911</v>
      </c>
      <c r="H260" s="77" t="str">
        <f t="shared" si="4"/>
        <v>hitesh.vimal@ujjivan.com;shiv.kumar971@ujjivan.com;sarveshpratap.singh@ujjivan.com;mahesh.gupta@ujjivan.com;;;</v>
      </c>
      <c r="J260" s="77"/>
      <c r="K260" s="77"/>
    </row>
    <row r="261" spans="1:11" x14ac:dyDescent="0.25">
      <c r="A261" s="144" t="s">
        <v>876</v>
      </c>
      <c r="B261" s="75" t="s">
        <v>866</v>
      </c>
      <c r="C261" s="75" t="s">
        <v>2780</v>
      </c>
      <c r="D261" s="76" t="s">
        <v>2781</v>
      </c>
      <c r="E261" s="77" t="s">
        <v>4233</v>
      </c>
      <c r="F261" s="77" t="s">
        <v>4546</v>
      </c>
      <c r="G261" s="77" t="s">
        <v>868</v>
      </c>
      <c r="H261" s="77" t="str">
        <f t="shared" si="4"/>
        <v>sharvankumar.gupta@ujjivan.com;amit.maheshwari@ujjivan.com;neelkant.tyagi@ujjivan.com;dharmendra.kumar@ujjivan.com;;;</v>
      </c>
      <c r="J261" s="77"/>
      <c r="K261" s="77"/>
    </row>
    <row r="262" spans="1:11" x14ac:dyDescent="0.25">
      <c r="A262" s="144" t="s">
        <v>912</v>
      </c>
      <c r="B262" s="75"/>
      <c r="C262" s="75"/>
      <c r="D262" s="76" t="s">
        <v>4593</v>
      </c>
      <c r="E262" s="77" t="s">
        <v>4503</v>
      </c>
      <c r="F262" s="77" t="s">
        <v>4550</v>
      </c>
      <c r="G262" s="77" t="s">
        <v>905</v>
      </c>
      <c r="H262" s="77" t="str">
        <f t="shared" si="4"/>
        <v>vishal.sukhija@ujjivan.com;nitinkumar.mehra@ujjivan.com;kumar.suresh@ujjivan.com;rahul.sukhija@ujjivan.com;;;</v>
      </c>
      <c r="J262" s="77"/>
      <c r="K262" s="77"/>
    </row>
    <row r="263" spans="1:11" x14ac:dyDescent="0.25">
      <c r="A263" s="144" t="s">
        <v>913</v>
      </c>
      <c r="B263" s="75" t="s">
        <v>3324</v>
      </c>
      <c r="C263" s="75" t="s">
        <v>3939</v>
      </c>
      <c r="D263" s="76" t="s">
        <v>3650</v>
      </c>
      <c r="E263" s="77" t="s">
        <v>4282</v>
      </c>
      <c r="F263" s="77" t="s">
        <v>4551</v>
      </c>
      <c r="G263" s="77" t="s">
        <v>905</v>
      </c>
      <c r="H263" s="77" t="str">
        <f t="shared" si="4"/>
        <v>anil.diwedi@ujjivan.com;anil.kumar162@ujjivan.com;shyam.patidar@ujjivan.com;rahul.sukhija@ujjivan.com;;;</v>
      </c>
      <c r="J263" s="77"/>
      <c r="K263" s="77"/>
    </row>
    <row r="264" spans="1:11" x14ac:dyDescent="0.25">
      <c r="A264" s="144" t="s">
        <v>914</v>
      </c>
      <c r="B264" s="75" t="s">
        <v>3325</v>
      </c>
      <c r="C264" s="75" t="s">
        <v>3940</v>
      </c>
      <c r="D264" s="76" t="s">
        <v>4595</v>
      </c>
      <c r="E264" s="77" t="s">
        <v>4235</v>
      </c>
      <c r="F264" s="77" t="s">
        <v>4552</v>
      </c>
      <c r="G264" s="77" t="s">
        <v>880</v>
      </c>
      <c r="H264" s="77" t="str">
        <f t="shared" si="4"/>
        <v>;anup.ruhil@ujjivan.com;sourabh.narang@ujjivan.com;amit.vij@ujjivan.com;;;</v>
      </c>
      <c r="J264" s="77"/>
      <c r="K264" s="77"/>
    </row>
    <row r="265" spans="1:11" x14ac:dyDescent="0.25">
      <c r="A265" s="144" t="s">
        <v>915</v>
      </c>
      <c r="B265" s="75" t="s">
        <v>3326</v>
      </c>
      <c r="C265" s="75" t="s">
        <v>2849</v>
      </c>
      <c r="D265" s="76" t="s">
        <v>2844</v>
      </c>
      <c r="E265" s="77" t="s">
        <v>4234</v>
      </c>
      <c r="F265" s="77" t="s">
        <v>4551</v>
      </c>
      <c r="G265" s="77" t="s">
        <v>905</v>
      </c>
      <c r="H265" s="77" t="str">
        <f t="shared" si="4"/>
        <v>neeraj.sharma@ujjivan.com;sandeep.bhardwaj@ujjivan.com;shyam.patidar@ujjivan.com;rahul.sukhija@ujjivan.com;;;</v>
      </c>
      <c r="J265" s="77"/>
      <c r="K265" s="77"/>
    </row>
    <row r="266" spans="1:11" x14ac:dyDescent="0.25">
      <c r="A266" s="144" t="s">
        <v>916</v>
      </c>
      <c r="B266" s="75" t="s">
        <v>3327</v>
      </c>
      <c r="C266" s="75" t="s">
        <v>3941</v>
      </c>
      <c r="D266" s="76" t="s">
        <v>4237</v>
      </c>
      <c r="E266" s="77" t="s">
        <v>4596</v>
      </c>
      <c r="F266" s="77" t="s">
        <v>2805</v>
      </c>
      <c r="G266" s="77" t="s">
        <v>3652</v>
      </c>
      <c r="H266" s="77" t="str">
        <f t="shared" si="4"/>
        <v>lokesh.sen@ujjivan.com;ravinder.930@ujjivan.com;shanta.bhardwaj@ujjivan.com;manoj.yadav@ujjivan.com;;;</v>
      </c>
      <c r="J266" s="77"/>
      <c r="K266" s="77"/>
    </row>
    <row r="267" spans="1:11" x14ac:dyDescent="0.25">
      <c r="A267" s="144" t="s">
        <v>995</v>
      </c>
      <c r="B267" s="75" t="s">
        <v>3328</v>
      </c>
      <c r="C267" s="75" t="s">
        <v>2810</v>
      </c>
      <c r="D267" s="76" t="s">
        <v>996</v>
      </c>
      <c r="E267" s="77" t="s">
        <v>4505</v>
      </c>
      <c r="F267" s="77" t="s">
        <v>977</v>
      </c>
      <c r="G267" s="77" t="s">
        <v>911</v>
      </c>
      <c r="H267" s="77" t="str">
        <f t="shared" si="4"/>
        <v>shashank.goel@ujjivan.com;kailash.pingal@ujjivan.com;sarveshpratap.singh@ujjivan.com;mahesh.gupta@ujjivan.com;;;</v>
      </c>
      <c r="J267" s="77"/>
      <c r="K267" s="77"/>
    </row>
    <row r="268" spans="1:11" x14ac:dyDescent="0.25">
      <c r="A268" s="144" t="s">
        <v>997</v>
      </c>
      <c r="B268" s="75" t="s">
        <v>3329</v>
      </c>
      <c r="C268" s="75" t="s">
        <v>2792</v>
      </c>
      <c r="D268" s="76" t="s">
        <v>3675</v>
      </c>
      <c r="E268" s="77" t="s">
        <v>4238</v>
      </c>
      <c r="F268" s="77" t="s">
        <v>977</v>
      </c>
      <c r="G268" s="77" t="s">
        <v>911</v>
      </c>
      <c r="H268" s="77" t="str">
        <f t="shared" si="4"/>
        <v>vipin.tyagi@ujjivan.com;mohd.imran@ujjivan.com;sarveshpratap.singh@ujjivan.com;mahesh.gupta@ujjivan.com;;;</v>
      </c>
      <c r="J268" s="77"/>
      <c r="K268" s="77"/>
    </row>
    <row r="269" spans="1:11" x14ac:dyDescent="0.25">
      <c r="A269" s="144" t="s">
        <v>879</v>
      </c>
      <c r="B269" s="75"/>
      <c r="C269" s="75"/>
      <c r="D269" s="76"/>
      <c r="E269" s="77"/>
      <c r="F269" s="77"/>
      <c r="G269" s="77"/>
      <c r="H269" s="77" t="str">
        <f t="shared" si="4"/>
        <v>;;;;;;</v>
      </c>
      <c r="J269" s="77"/>
      <c r="K269" s="77"/>
    </row>
    <row r="270" spans="1:11" x14ac:dyDescent="0.25">
      <c r="A270" s="144" t="s">
        <v>881</v>
      </c>
      <c r="B270" s="75" t="s">
        <v>3330</v>
      </c>
      <c r="C270" s="75" t="s">
        <v>2813</v>
      </c>
      <c r="D270" s="76" t="s">
        <v>882</v>
      </c>
      <c r="E270" s="77" t="s">
        <v>4506</v>
      </c>
      <c r="F270" s="77" t="s">
        <v>4552</v>
      </c>
      <c r="G270" s="77" t="s">
        <v>880</v>
      </c>
      <c r="H270" s="77" t="str">
        <f t="shared" si="4"/>
        <v>rakesh.kumar@ujjivan.com;kumar.parveen@ujjivan.com;sourabh.narang@ujjivan.com;amit.vij@ujjivan.com;;;</v>
      </c>
      <c r="J270" s="77"/>
      <c r="K270" s="77"/>
    </row>
    <row r="271" spans="1:11" x14ac:dyDescent="0.25">
      <c r="A271" s="144" t="s">
        <v>917</v>
      </c>
      <c r="B271" s="75" t="s">
        <v>3331</v>
      </c>
      <c r="C271" s="75" t="s">
        <v>3942</v>
      </c>
      <c r="D271" s="76" t="s">
        <v>4272</v>
      </c>
      <c r="E271" s="77" t="s">
        <v>4598</v>
      </c>
      <c r="F271" s="77" t="s">
        <v>4550</v>
      </c>
      <c r="G271" s="77" t="s">
        <v>905</v>
      </c>
      <c r="H271" s="77" t="str">
        <f t="shared" si="4"/>
        <v>bharat.singh@ujjivan.com;prabhdeepsingh.khosa@ujjivan.com;kumar.suresh@ujjivan.com;rahul.sukhija@ujjivan.com;;;</v>
      </c>
      <c r="J271" s="77"/>
      <c r="K271" s="77"/>
    </row>
    <row r="272" spans="1:11" x14ac:dyDescent="0.25">
      <c r="A272" s="144" t="s">
        <v>919</v>
      </c>
      <c r="B272" s="75" t="s">
        <v>3332</v>
      </c>
      <c r="C272" s="75" t="s">
        <v>3943</v>
      </c>
      <c r="D272" s="76" t="s">
        <v>2820</v>
      </c>
      <c r="E272" s="77" t="s">
        <v>4241</v>
      </c>
      <c r="F272" s="77" t="s">
        <v>918</v>
      </c>
      <c r="G272" s="77" t="s">
        <v>905</v>
      </c>
      <c r="H272" s="77" t="str">
        <f t="shared" si="4"/>
        <v>pradeep.rana@ujjivan.com;nareshkumar.chhimpa@ujjivan.com;shiv.thanvi@ujjivan.com;rahul.sukhija@ujjivan.com;;;</v>
      </c>
      <c r="J272" s="77"/>
      <c r="K272" s="77"/>
    </row>
    <row r="273" spans="1:11" x14ac:dyDescent="0.25">
      <c r="A273" s="144" t="s">
        <v>1937</v>
      </c>
      <c r="B273" s="75" t="s">
        <v>3546</v>
      </c>
      <c r="C273" s="75" t="s">
        <v>3944</v>
      </c>
      <c r="D273" s="76" t="s">
        <v>947</v>
      </c>
      <c r="E273" s="77" t="s">
        <v>4242</v>
      </c>
      <c r="F273" s="77" t="s">
        <v>918</v>
      </c>
      <c r="G273" s="77" t="s">
        <v>905</v>
      </c>
      <c r="H273" s="77" t="str">
        <f t="shared" si="4"/>
        <v>vikram.singh@ujjivan.com;deepak.dalal@ujjivan.com;shiv.thanvi@ujjivan.com;rahul.sukhija@ujjivan.com;;;</v>
      </c>
      <c r="J273" s="77"/>
      <c r="K273" s="77"/>
    </row>
    <row r="274" spans="1:11" x14ac:dyDescent="0.25">
      <c r="A274" s="144" t="s">
        <v>920</v>
      </c>
      <c r="B274" s="75" t="s">
        <v>3333</v>
      </c>
      <c r="C274" s="75" t="s">
        <v>2814</v>
      </c>
      <c r="D274" s="76" t="s">
        <v>4240</v>
      </c>
      <c r="E274" s="77" t="s">
        <v>4601</v>
      </c>
      <c r="F274" s="77" t="s">
        <v>4550</v>
      </c>
      <c r="G274" s="77" t="s">
        <v>905</v>
      </c>
      <c r="H274" s="77" t="str">
        <f t="shared" si="4"/>
        <v>avtar.singh@ujjivan.com;ashishkumar.dubey@ujjivan.com;kumar.suresh@ujjivan.com;rahul.sukhija@ujjivan.com;;;</v>
      </c>
      <c r="J274" s="77"/>
      <c r="K274" s="77"/>
    </row>
    <row r="275" spans="1:11" x14ac:dyDescent="0.25">
      <c r="A275" s="144" t="s">
        <v>998</v>
      </c>
      <c r="B275" s="75" t="s">
        <v>3334</v>
      </c>
      <c r="C275" s="75" t="s">
        <v>3945</v>
      </c>
      <c r="D275" s="76" t="s">
        <v>3655</v>
      </c>
      <c r="E275" s="77" t="s">
        <v>4244</v>
      </c>
      <c r="F275" s="77" t="s">
        <v>4591</v>
      </c>
      <c r="G275" s="77" t="s">
        <v>955</v>
      </c>
      <c r="H275" s="77" t="str">
        <f t="shared" si="4"/>
        <v>surjeet.yadav@ujjivan.com;bhuvnesh.kumar@ujjivan.com;chandan.sriwastava@ujjivan.com;rohit.parashar@ujjivan.com;;;</v>
      </c>
      <c r="J275" s="77"/>
      <c r="K275" s="77"/>
    </row>
    <row r="276" spans="1:11" x14ac:dyDescent="0.25">
      <c r="A276" s="144" t="s">
        <v>883</v>
      </c>
      <c r="B276" s="75" t="s">
        <v>3335</v>
      </c>
      <c r="C276" s="75" t="s">
        <v>3946</v>
      </c>
      <c r="D276" s="76" t="s">
        <v>3656</v>
      </c>
      <c r="E276" s="77" t="s">
        <v>4603</v>
      </c>
      <c r="F276" s="77" t="s">
        <v>4552</v>
      </c>
      <c r="G276" s="77" t="s">
        <v>880</v>
      </c>
      <c r="H276" s="77" t="str">
        <f t="shared" si="4"/>
        <v>hasim.ali@ujjivan.com;sandeep.sharma794@ujjivan.com;sourabh.narang@ujjivan.com;amit.vij@ujjivan.com;;;</v>
      </c>
      <c r="J276" s="77"/>
      <c r="K276" s="77"/>
    </row>
    <row r="277" spans="1:11" x14ac:dyDescent="0.25">
      <c r="A277" s="144" t="s">
        <v>922</v>
      </c>
      <c r="B277" s="75" t="s">
        <v>3336</v>
      </c>
      <c r="C277" s="75" t="s">
        <v>2808</v>
      </c>
      <c r="D277" s="76" t="s">
        <v>4605</v>
      </c>
      <c r="E277" s="77" t="s">
        <v>4606</v>
      </c>
      <c r="F277" s="77" t="s">
        <v>4552</v>
      </c>
      <c r="G277" s="77" t="s">
        <v>880</v>
      </c>
      <c r="H277" s="77" t="str">
        <f t="shared" si="4"/>
        <v>sandeep.gaur@ujjivan.com;himakshi.dhingra@ujjivan.com;sourabh.narang@ujjivan.com;amit.vij@ujjivan.com;;;</v>
      </c>
      <c r="J277" s="77"/>
      <c r="K277" s="77"/>
    </row>
    <row r="278" spans="1:11" x14ac:dyDescent="0.25">
      <c r="A278" s="144" t="s">
        <v>923</v>
      </c>
      <c r="B278" s="75" t="s">
        <v>3337</v>
      </c>
      <c r="C278" s="75" t="s">
        <v>3947</v>
      </c>
      <c r="D278" s="76" t="s">
        <v>3657</v>
      </c>
      <c r="E278" s="77" t="s">
        <v>4607</v>
      </c>
      <c r="F278" s="77" t="s">
        <v>907</v>
      </c>
      <c r="G278" s="77"/>
      <c r="H278" s="77" t="str">
        <f t="shared" si="4"/>
        <v>vikas.bedi@ujjivan.com;arpit.kalia@ujjivan.com;prakharkumar.pandey@ujjivan.com;;;;</v>
      </c>
      <c r="J278" s="77"/>
      <c r="K278" s="77"/>
    </row>
    <row r="279" spans="1:11" x14ac:dyDescent="0.25">
      <c r="A279" s="144" t="s">
        <v>924</v>
      </c>
      <c r="B279" s="75" t="s">
        <v>3338</v>
      </c>
      <c r="C279" s="75" t="s">
        <v>3948</v>
      </c>
      <c r="D279" s="76" t="s">
        <v>3658</v>
      </c>
      <c r="E279" s="77" t="s">
        <v>4508</v>
      </c>
      <c r="F279" s="77" t="s">
        <v>907</v>
      </c>
      <c r="G279" s="77" t="s">
        <v>905</v>
      </c>
      <c r="H279" s="77" t="str">
        <f t="shared" si="4"/>
        <v>singh.dhananjay@ujjivan.com;vijay.kumar372@ujjivan.com;prakharkumar.pandey@ujjivan.com;rahul.sukhija@ujjivan.com;;;</v>
      </c>
      <c r="J279" s="77"/>
      <c r="K279" s="77"/>
    </row>
    <row r="280" spans="1:11" x14ac:dyDescent="0.25">
      <c r="A280" s="144" t="s">
        <v>925</v>
      </c>
      <c r="B280" s="75" t="s">
        <v>3339</v>
      </c>
      <c r="C280" s="75" t="s">
        <v>2832</v>
      </c>
      <c r="D280" s="76" t="s">
        <v>2833</v>
      </c>
      <c r="E280" s="77" t="s">
        <v>4608</v>
      </c>
      <c r="F280" s="77" t="s">
        <v>4553</v>
      </c>
      <c r="G280" s="77" t="s">
        <v>880</v>
      </c>
      <c r="H280" s="77" t="str">
        <f t="shared" si="4"/>
        <v>ankit.sharma@ujjivan.com;ram.kumar491@ujjivan.com;ashok.pareek@ujjivan.com;amit.vij@ujjivan.com;;;</v>
      </c>
      <c r="J280" s="77"/>
      <c r="K280" s="77"/>
    </row>
    <row r="281" spans="1:11" x14ac:dyDescent="0.25">
      <c r="A281" s="144" t="s">
        <v>926</v>
      </c>
      <c r="B281" s="75" t="s">
        <v>3340</v>
      </c>
      <c r="C281" s="75" t="s">
        <v>3949</v>
      </c>
      <c r="D281" s="76" t="s">
        <v>4248</v>
      </c>
      <c r="E281" s="77" t="s">
        <v>4610</v>
      </c>
      <c r="F281" s="77" t="s">
        <v>4553</v>
      </c>
      <c r="G281" s="77" t="s">
        <v>880</v>
      </c>
      <c r="H281" s="77" t="str">
        <f t="shared" si="4"/>
        <v>satnam.singh@ujjivan.com;sachin.sharma@ujjivan.com;ashok.pareek@ujjivan.com;amit.vij@ujjivan.com;;;</v>
      </c>
      <c r="J281" s="77"/>
      <c r="K281" s="77"/>
    </row>
    <row r="282" spans="1:11" x14ac:dyDescent="0.25">
      <c r="A282" s="144" t="s">
        <v>1964</v>
      </c>
      <c r="B282" s="75" t="s">
        <v>3547</v>
      </c>
      <c r="C282" s="75" t="s">
        <v>3950</v>
      </c>
      <c r="D282" s="76" t="s">
        <v>2816</v>
      </c>
      <c r="E282" s="77" t="s">
        <v>4249</v>
      </c>
      <c r="F282" s="77" t="s">
        <v>907</v>
      </c>
      <c r="G282" s="77" t="s">
        <v>905</v>
      </c>
      <c r="H282" s="77" t="str">
        <f t="shared" si="4"/>
        <v>rishi.walia@ujjivan.com;deepak.k@ujjivan.com;prakharkumar.pandey@ujjivan.com;rahul.sukhija@ujjivan.com;;;</v>
      </c>
      <c r="J282" s="77"/>
      <c r="K282" s="77"/>
    </row>
    <row r="283" spans="1:11" x14ac:dyDescent="0.25">
      <c r="A283" s="144" t="s">
        <v>927</v>
      </c>
      <c r="B283" s="75" t="s">
        <v>3341</v>
      </c>
      <c r="C283" s="75" t="s">
        <v>3951</v>
      </c>
      <c r="D283" s="76" t="s">
        <v>3660</v>
      </c>
      <c r="E283" s="77" t="s">
        <v>4250</v>
      </c>
      <c r="F283" s="77" t="s">
        <v>4553</v>
      </c>
      <c r="G283" s="77" t="s">
        <v>880</v>
      </c>
      <c r="H283" s="77" t="str">
        <f t="shared" si="4"/>
        <v>sandeepsingh.18839@ujjivan.com;arun.nama@ujjivan.com;ashok.pareek@ujjivan.com;amit.vij@ujjivan.com;;;</v>
      </c>
      <c r="J283" s="77"/>
      <c r="K283" s="77"/>
    </row>
    <row r="284" spans="1:11" x14ac:dyDescent="0.25">
      <c r="A284" s="144" t="s">
        <v>928</v>
      </c>
      <c r="B284" s="75" t="s">
        <v>3342</v>
      </c>
      <c r="C284" s="75" t="s">
        <v>3952</v>
      </c>
      <c r="D284" s="76" t="s">
        <v>3661</v>
      </c>
      <c r="E284" s="77" t="s">
        <v>4251</v>
      </c>
      <c r="F284" s="77" t="s">
        <v>907</v>
      </c>
      <c r="G284" s="77" t="s">
        <v>905</v>
      </c>
      <c r="H284" s="77" t="str">
        <f t="shared" si="4"/>
        <v>rohit.sevta@ujjivan.com;parth.sehgal@ujjivan.com;prakharkumar.pandey@ujjivan.com;rahul.sukhija@ujjivan.com;;;</v>
      </c>
      <c r="J284" s="77"/>
      <c r="K284" s="77"/>
    </row>
    <row r="285" spans="1:11" x14ac:dyDescent="0.25">
      <c r="A285" s="144" t="s">
        <v>967</v>
      </c>
      <c r="B285" s="75"/>
      <c r="C285" s="75"/>
      <c r="D285" s="76"/>
      <c r="E285" s="77"/>
      <c r="F285" s="77"/>
      <c r="G285" s="77"/>
      <c r="H285" s="77" t="str">
        <f t="shared" si="4"/>
        <v>;;;;;;</v>
      </c>
      <c r="J285" s="77"/>
      <c r="K285" s="77"/>
    </row>
    <row r="286" spans="1:11" x14ac:dyDescent="0.25">
      <c r="A286" s="144" t="s">
        <v>999</v>
      </c>
      <c r="B286" s="75"/>
      <c r="C286" s="75"/>
      <c r="D286" s="76"/>
      <c r="E286" s="77"/>
      <c r="F286" s="77"/>
      <c r="G286" s="77"/>
      <c r="H286" s="77" t="str">
        <f t="shared" si="4"/>
        <v>;;;;;;</v>
      </c>
      <c r="J286" s="77"/>
      <c r="K286" s="77"/>
    </row>
    <row r="287" spans="1:11" x14ac:dyDescent="0.25">
      <c r="A287" s="144" t="s">
        <v>1000</v>
      </c>
      <c r="B287" s="75" t="s">
        <v>3343</v>
      </c>
      <c r="C287" s="75" t="s">
        <v>3953</v>
      </c>
      <c r="D287" s="76" t="s">
        <v>3662</v>
      </c>
      <c r="E287" s="77" t="s">
        <v>4613</v>
      </c>
      <c r="F287" s="77" t="s">
        <v>1004</v>
      </c>
      <c r="G287" s="77" t="s">
        <v>911</v>
      </c>
      <c r="H287" s="77" t="str">
        <f t="shared" si="4"/>
        <v>lalit.kumar@ujjivan.com;amit.kumar548@ujjivan.com;singh.sandeep@ujjivan.com;mahesh.gupta@ujjivan.com;;;</v>
      </c>
      <c r="J287" s="77"/>
      <c r="K287" s="77"/>
    </row>
    <row r="288" spans="1:11" x14ac:dyDescent="0.25">
      <c r="A288" s="144" t="s">
        <v>887</v>
      </c>
      <c r="B288" s="75" t="s">
        <v>3344</v>
      </c>
      <c r="C288" s="75" t="s">
        <v>2822</v>
      </c>
      <c r="D288" s="76" t="s">
        <v>2823</v>
      </c>
      <c r="E288" s="77" t="s">
        <v>4615</v>
      </c>
      <c r="F288" s="77" t="s">
        <v>4548</v>
      </c>
      <c r="G288" s="77" t="s">
        <v>888</v>
      </c>
      <c r="H288" s="77" t="str">
        <f t="shared" si="4"/>
        <v>ganesh.mandal@ujjivan.com;tiwari.nitin@ujjivan.com;lavesh.sharma@ujjivan.com;vijay.choudhary@ujjivan.com;;;</v>
      </c>
      <c r="J288" s="77"/>
      <c r="K288" s="77"/>
    </row>
    <row r="289" spans="1:11" x14ac:dyDescent="0.25">
      <c r="A289" s="144" t="s">
        <v>889</v>
      </c>
      <c r="B289" s="75"/>
      <c r="C289" s="75"/>
      <c r="D289" s="76"/>
      <c r="E289" s="77"/>
      <c r="F289" s="77"/>
      <c r="G289" s="77"/>
      <c r="H289" s="77" t="str">
        <f t="shared" si="4"/>
        <v>;;;;;;</v>
      </c>
      <c r="J289" s="77"/>
      <c r="K289" s="77"/>
    </row>
    <row r="290" spans="1:11" x14ac:dyDescent="0.25">
      <c r="A290" s="144" t="s">
        <v>890</v>
      </c>
      <c r="B290" s="75" t="s">
        <v>3345</v>
      </c>
      <c r="C290" s="75" t="s">
        <v>3954</v>
      </c>
      <c r="D290" s="76" t="s">
        <v>3663</v>
      </c>
      <c r="E290" s="77" t="s">
        <v>4254</v>
      </c>
      <c r="F290" s="77" t="s">
        <v>4548</v>
      </c>
      <c r="G290" s="77" t="s">
        <v>888</v>
      </c>
      <c r="H290" s="77" t="str">
        <f t="shared" si="4"/>
        <v>amit.verma@ujjivan.com;hari.mewada@ujjivan.com;lavesh.sharma@ujjivan.com;vijay.choudhary@ujjivan.com;;;</v>
      </c>
      <c r="J290" s="77"/>
      <c r="K290" s="77"/>
    </row>
    <row r="291" spans="1:11" s="121" customFormat="1" x14ac:dyDescent="0.25">
      <c r="A291" s="145" t="s">
        <v>969</v>
      </c>
      <c r="B291" s="129" t="s">
        <v>3346</v>
      </c>
      <c r="C291" s="129" t="s">
        <v>3955</v>
      </c>
      <c r="D291" s="76" t="s">
        <v>4616</v>
      </c>
      <c r="E291" s="77" t="s">
        <v>4617</v>
      </c>
      <c r="F291" s="77" t="s">
        <v>4547</v>
      </c>
      <c r="G291" s="77" t="s">
        <v>955</v>
      </c>
      <c r="H291" s="77" t="str">
        <f t="shared" si="4"/>
        <v>shankerlal.jat@ujjivan.com;dheeraj.tak@ujjivan.com;dalla.ram@ujjivan.com;rohit.parashar@ujjivan.com;;;</v>
      </c>
      <c r="J291" s="125"/>
      <c r="K291" s="125"/>
    </row>
    <row r="292" spans="1:11" x14ac:dyDescent="0.25">
      <c r="A292" s="144" t="s">
        <v>1985</v>
      </c>
      <c r="B292" s="75" t="s">
        <v>3548</v>
      </c>
      <c r="C292" s="75" t="s">
        <v>2824</v>
      </c>
      <c r="D292" s="76" t="s">
        <v>2700</v>
      </c>
      <c r="E292" s="77" t="s">
        <v>4256</v>
      </c>
      <c r="F292" s="77" t="s">
        <v>4552</v>
      </c>
      <c r="G292" s="77" t="s">
        <v>880</v>
      </c>
      <c r="H292" s="77" t="str">
        <f t="shared" si="4"/>
        <v>nitin.kumar@ujjivan.com;sanjeev.kumar604@ujjivan.com;sourabh.narang@ujjivan.com;amit.vij@ujjivan.com;;;</v>
      </c>
      <c r="J292" s="77"/>
      <c r="K292" s="77"/>
    </row>
    <row r="293" spans="1:11" x14ac:dyDescent="0.25">
      <c r="A293" s="144" t="s">
        <v>1988</v>
      </c>
      <c r="B293" s="75" t="s">
        <v>3549</v>
      </c>
      <c r="C293" s="75" t="s">
        <v>2817</v>
      </c>
      <c r="D293" s="76" t="s">
        <v>2818</v>
      </c>
      <c r="E293" s="77" t="s">
        <v>4257</v>
      </c>
      <c r="F293" s="77" t="s">
        <v>4552</v>
      </c>
      <c r="G293" s="77" t="s">
        <v>880</v>
      </c>
      <c r="H293" s="77" t="str">
        <f t="shared" si="4"/>
        <v>puneet.kamra@ujjivan.com;subash.majoka@ujjivan.com;sourabh.narang@ujjivan.com;amit.vij@ujjivan.com;;;</v>
      </c>
      <c r="J293" s="77"/>
      <c r="K293" s="77"/>
    </row>
    <row r="294" spans="1:11" x14ac:dyDescent="0.25">
      <c r="A294" s="144" t="s">
        <v>929</v>
      </c>
      <c r="B294" s="75" t="s">
        <v>930</v>
      </c>
      <c r="C294" s="75" t="s">
        <v>2825</v>
      </c>
      <c r="D294" s="76" t="s">
        <v>931</v>
      </c>
      <c r="E294" s="77" t="s">
        <v>4619</v>
      </c>
      <c r="F294" s="77" t="s">
        <v>4549</v>
      </c>
      <c r="G294" s="77" t="s">
        <v>880</v>
      </c>
      <c r="H294" s="77" t="str">
        <f t="shared" si="4"/>
        <v>pradeep.sharma@ujjivan.com;anandkumar.kunar@ujjivan.com;manu.verma@ujjivan.com;amit.vij@ujjivan.com;;;</v>
      </c>
      <c r="J294" s="77"/>
      <c r="K294" s="77"/>
    </row>
    <row r="295" spans="1:11" x14ac:dyDescent="0.25">
      <c r="A295" s="144" t="s">
        <v>1001</v>
      </c>
      <c r="B295" s="75"/>
      <c r="C295" s="75"/>
      <c r="D295" s="76"/>
      <c r="E295" s="77"/>
      <c r="F295" s="77"/>
      <c r="G295" s="77"/>
      <c r="H295" s="77" t="str">
        <f t="shared" si="4"/>
        <v>;;;;;;</v>
      </c>
      <c r="J295" s="77"/>
      <c r="K295" s="77"/>
    </row>
    <row r="296" spans="1:11" x14ac:dyDescent="0.25">
      <c r="A296" s="144" t="s">
        <v>932</v>
      </c>
      <c r="B296" s="75" t="s">
        <v>3347</v>
      </c>
      <c r="C296" s="75" t="s">
        <v>2826</v>
      </c>
      <c r="D296" s="76" t="s">
        <v>2827</v>
      </c>
      <c r="E296" s="77" t="s">
        <v>4511</v>
      </c>
      <c r="F296" s="77" t="s">
        <v>4553</v>
      </c>
      <c r="G296" s="77" t="s">
        <v>880</v>
      </c>
      <c r="H296" s="77" t="str">
        <f t="shared" si="4"/>
        <v>ravi.thakur@ujjivan.com;shammi.kumar@ujjivan.com;ashok.pareek@ujjivan.com;amit.vij@ujjivan.com;;;</v>
      </c>
      <c r="J296" s="77"/>
      <c r="K296" s="77"/>
    </row>
    <row r="297" spans="1:11" x14ac:dyDescent="0.25">
      <c r="A297" s="144" t="s">
        <v>933</v>
      </c>
      <c r="B297" s="75" t="s">
        <v>3348</v>
      </c>
      <c r="C297" s="75" t="s">
        <v>3956</v>
      </c>
      <c r="D297" s="76" t="s">
        <v>3665</v>
      </c>
      <c r="E297" s="77" t="s">
        <v>4512</v>
      </c>
      <c r="F297" s="77" t="s">
        <v>4549</v>
      </c>
      <c r="G297" s="77" t="s">
        <v>880</v>
      </c>
      <c r="H297" s="77" t="str">
        <f t="shared" si="4"/>
        <v>raj.nagiyan@ujjivan.com;parveen.bhagal@ujjivan.com;manu.verma@ujjivan.com;amit.vij@ujjivan.com;;;</v>
      </c>
      <c r="J297" s="77"/>
      <c r="K297" s="77"/>
    </row>
    <row r="298" spans="1:11" x14ac:dyDescent="0.25">
      <c r="A298" s="144" t="s">
        <v>935</v>
      </c>
      <c r="B298" s="75" t="s">
        <v>3349</v>
      </c>
      <c r="C298" s="75" t="s">
        <v>2843</v>
      </c>
      <c r="D298" s="76"/>
      <c r="E298" s="77" t="s">
        <v>4260</v>
      </c>
      <c r="F298" s="77" t="s">
        <v>2805</v>
      </c>
      <c r="G298" s="77" t="s">
        <v>905</v>
      </c>
      <c r="H298" s="77" t="str">
        <f t="shared" si="4"/>
        <v>;narvir.singh@ujjivan.com;shanta.bhardwaj@ujjivan.com;rahul.sukhija@ujjivan.com;;;</v>
      </c>
      <c r="J298" s="77"/>
      <c r="K298" s="77"/>
    </row>
    <row r="299" spans="1:11" x14ac:dyDescent="0.25">
      <c r="A299" s="144" t="s">
        <v>891</v>
      </c>
      <c r="B299" s="75" t="s">
        <v>3350</v>
      </c>
      <c r="C299" s="75" t="s">
        <v>3957</v>
      </c>
      <c r="D299" s="76" t="s">
        <v>4620</v>
      </c>
      <c r="E299" s="77" t="s">
        <v>4621</v>
      </c>
      <c r="F299" s="77" t="s">
        <v>4554</v>
      </c>
      <c r="G299" s="77" t="s">
        <v>888</v>
      </c>
      <c r="H299" s="77" t="str">
        <f t="shared" si="4"/>
        <v>deepak.tripathi@ujjivan.com;suman.thakur@ujjivan.com;sunilkumar.tiwari@ujjivan.com;vijay.choudhary@ujjivan.com;;;</v>
      </c>
      <c r="J299" s="77"/>
      <c r="K299" s="77"/>
    </row>
    <row r="300" spans="1:11" x14ac:dyDescent="0.25">
      <c r="A300" s="144" t="s">
        <v>892</v>
      </c>
      <c r="B300" s="75" t="s">
        <v>3351</v>
      </c>
      <c r="C300" s="75" t="s">
        <v>3958</v>
      </c>
      <c r="D300" s="76" t="s">
        <v>3667</v>
      </c>
      <c r="E300" s="77" t="s">
        <v>4622</v>
      </c>
      <c r="F300" s="77" t="s">
        <v>4554</v>
      </c>
      <c r="G300" s="77" t="s">
        <v>888</v>
      </c>
      <c r="H300" s="77" t="str">
        <f t="shared" si="4"/>
        <v>jaynarayan.malhare@ujjivan.com;yogesh.bhalse@ujjivan.com;sunilkumar.tiwari@ujjivan.com;vijay.choudhary@ujjivan.com;;;</v>
      </c>
      <c r="J300" s="77"/>
      <c r="K300" s="77"/>
    </row>
    <row r="301" spans="1:11" x14ac:dyDescent="0.25">
      <c r="A301" s="144" t="s">
        <v>893</v>
      </c>
      <c r="B301" s="75" t="s">
        <v>3352</v>
      </c>
      <c r="C301" s="75" t="s">
        <v>2829</v>
      </c>
      <c r="D301" s="76" t="s">
        <v>2830</v>
      </c>
      <c r="E301" s="77" t="s">
        <v>4513</v>
      </c>
      <c r="F301" s="77" t="s">
        <v>4554</v>
      </c>
      <c r="G301" s="77" t="s">
        <v>888</v>
      </c>
      <c r="H301" s="77" t="str">
        <f t="shared" si="4"/>
        <v>manoj.sawarkar@ujjivan.com;rajesh.078@ujjivan.com;sunilkumar.tiwari@ujjivan.com;vijay.choudhary@ujjivan.com;;;</v>
      </c>
      <c r="J301" s="77"/>
      <c r="K301" s="77"/>
    </row>
    <row r="302" spans="1:11" x14ac:dyDescent="0.25">
      <c r="A302" s="144" t="s">
        <v>894</v>
      </c>
      <c r="B302" s="75" t="s">
        <v>3353</v>
      </c>
      <c r="C302" s="75" t="s">
        <v>3959</v>
      </c>
      <c r="D302" s="76" t="s">
        <v>4623</v>
      </c>
      <c r="E302" s="77" t="s">
        <v>3202</v>
      </c>
      <c r="F302" s="77" t="s">
        <v>4548</v>
      </c>
      <c r="G302" s="77" t="s">
        <v>888</v>
      </c>
      <c r="H302" s="77" t="str">
        <f t="shared" si="4"/>
        <v>nitin.pawar@ujjivan.com;ashish.daga@ujjivan.com;lavesh.sharma@ujjivan.com;vijay.choudhary@ujjivan.com;;;</v>
      </c>
      <c r="J302" s="77"/>
      <c r="K302" s="77"/>
    </row>
    <row r="303" spans="1:11" x14ac:dyDescent="0.25">
      <c r="A303" s="144" t="s">
        <v>972</v>
      </c>
      <c r="B303" s="75" t="s">
        <v>3026</v>
      </c>
      <c r="C303" s="75" t="s">
        <v>3960</v>
      </c>
      <c r="D303" s="76" t="s">
        <v>3025</v>
      </c>
      <c r="E303" s="77" t="s">
        <v>4624</v>
      </c>
      <c r="F303" s="77" t="s">
        <v>3023</v>
      </c>
      <c r="G303" s="77" t="s">
        <v>955</v>
      </c>
      <c r="H303" s="77" t="str">
        <f t="shared" si="4"/>
        <v>dharmendra.sharma@ujjivan.com;ravi.kumarkarodia@ujjivan.com;deepak.duttatrey@ujjivan.com;rohit.parashar@ujjivan.com;;;</v>
      </c>
      <c r="J303" s="77"/>
      <c r="K303" s="77"/>
    </row>
    <row r="304" spans="1:11" x14ac:dyDescent="0.25">
      <c r="A304" s="144" t="s">
        <v>936</v>
      </c>
      <c r="B304" s="75" t="s">
        <v>3354</v>
      </c>
      <c r="C304" s="75" t="s">
        <v>2846</v>
      </c>
      <c r="D304" s="76" t="s">
        <v>2847</v>
      </c>
      <c r="E304" s="77" t="s">
        <v>4626</v>
      </c>
      <c r="F304" s="77" t="s">
        <v>4551</v>
      </c>
      <c r="G304" s="77"/>
      <c r="H304" s="77" t="str">
        <f t="shared" si="4"/>
        <v>rakesh.chauhan@ujjivan.com;vijender.dhaka@ujjivan.com;shyam.patidar@ujjivan.com;;;;</v>
      </c>
      <c r="J304" s="77"/>
      <c r="K304" s="77"/>
    </row>
    <row r="305" spans="1:11" x14ac:dyDescent="0.25">
      <c r="A305" s="144" t="s">
        <v>937</v>
      </c>
      <c r="B305" s="75" t="s">
        <v>3355</v>
      </c>
      <c r="C305" s="75" t="s">
        <v>3961</v>
      </c>
      <c r="D305" s="76" t="s">
        <v>3669</v>
      </c>
      <c r="E305" s="77" t="s">
        <v>4627</v>
      </c>
      <c r="F305" s="77" t="s">
        <v>907</v>
      </c>
      <c r="G305" s="77" t="s">
        <v>905</v>
      </c>
      <c r="H305" s="77" t="str">
        <f t="shared" si="4"/>
        <v>parveen.lohat@ujjivan.com;ccr.abohar@ujjivan.com;prakharkumar.pandey@ujjivan.com;rahul.sukhija@ujjivan.com;;;</v>
      </c>
      <c r="J305" s="77"/>
      <c r="K305" s="77"/>
    </row>
    <row r="306" spans="1:11" x14ac:dyDescent="0.25">
      <c r="A306" s="144" t="s">
        <v>938</v>
      </c>
      <c r="B306" s="75" t="s">
        <v>3356</v>
      </c>
      <c r="C306" s="75" t="s">
        <v>3962</v>
      </c>
      <c r="D306" s="76" t="s">
        <v>3670</v>
      </c>
      <c r="E306" s="77" t="s">
        <v>4243</v>
      </c>
      <c r="F306" s="77" t="s">
        <v>907</v>
      </c>
      <c r="G306" s="77" t="s">
        <v>905</v>
      </c>
      <c r="H306" s="77" t="str">
        <f t="shared" si="4"/>
        <v>aseem.sachdeva@ujjivan.com;gurvinder.singh@ujjivan.com;prakharkumar.pandey@ujjivan.com;rahul.sukhija@ujjivan.com;;;</v>
      </c>
      <c r="J306" s="77"/>
      <c r="K306" s="77"/>
    </row>
    <row r="307" spans="1:11" x14ac:dyDescent="0.25">
      <c r="A307" s="144" t="s">
        <v>939</v>
      </c>
      <c r="B307" s="75" t="s">
        <v>3357</v>
      </c>
      <c r="C307" s="75" t="s">
        <v>3963</v>
      </c>
      <c r="D307" s="76" t="s">
        <v>4630</v>
      </c>
      <c r="E307" s="77" t="s">
        <v>4266</v>
      </c>
      <c r="F307" s="77" t="s">
        <v>4550</v>
      </c>
      <c r="G307" s="77" t="s">
        <v>905</v>
      </c>
      <c r="H307" s="77" t="str">
        <f t="shared" si="4"/>
        <v>honey.kumar@ujjivan.com;yash.pal@ujjivan.com;kumar.suresh@ujjivan.com;rahul.sukhija@ujjivan.com;;;</v>
      </c>
      <c r="J307" s="77"/>
      <c r="K307" s="77"/>
    </row>
    <row r="308" spans="1:11" x14ac:dyDescent="0.25">
      <c r="A308" s="144" t="s">
        <v>1002</v>
      </c>
      <c r="B308" s="75"/>
      <c r="C308" s="75"/>
      <c r="D308" s="76"/>
      <c r="E308" s="77"/>
      <c r="F308" s="77"/>
      <c r="G308" s="77"/>
      <c r="H308" s="77" t="str">
        <f t="shared" si="4"/>
        <v>;;;;;;</v>
      </c>
      <c r="J308" s="77"/>
      <c r="K308" s="77"/>
    </row>
    <row r="309" spans="1:11" x14ac:dyDescent="0.25">
      <c r="A309" s="144" t="s">
        <v>974</v>
      </c>
      <c r="B309" s="75" t="s">
        <v>3358</v>
      </c>
      <c r="C309" s="75" t="s">
        <v>2850</v>
      </c>
      <c r="D309" s="76" t="s">
        <v>2851</v>
      </c>
      <c r="E309" s="77" t="s">
        <v>4267</v>
      </c>
      <c r="F309" s="77" t="s">
        <v>3023</v>
      </c>
      <c r="G309" s="77" t="s">
        <v>955</v>
      </c>
      <c r="H309" s="77" t="str">
        <f t="shared" si="4"/>
        <v>shakti.shekhawat@ujjivan.com;naresh.saini@ujjivan.com;deepak.duttatrey@ujjivan.com;rohit.parashar@ujjivan.com;;;</v>
      </c>
      <c r="J309" s="77"/>
      <c r="K309" s="77"/>
    </row>
    <row r="310" spans="1:11" x14ac:dyDescent="0.25">
      <c r="A310" s="144" t="s">
        <v>940</v>
      </c>
      <c r="B310" s="75"/>
      <c r="C310" s="75"/>
      <c r="D310" s="76"/>
      <c r="E310" s="77"/>
      <c r="F310" s="77"/>
      <c r="G310" s="77"/>
      <c r="H310" s="77" t="str">
        <f t="shared" si="4"/>
        <v>;;;;;;</v>
      </c>
      <c r="J310" s="77"/>
      <c r="K310" s="77"/>
    </row>
    <row r="311" spans="1:11" x14ac:dyDescent="0.25">
      <c r="A311" s="144" t="s">
        <v>941</v>
      </c>
      <c r="B311" s="75" t="s">
        <v>3359</v>
      </c>
      <c r="C311" s="75" t="s">
        <v>2828</v>
      </c>
      <c r="D311" s="76" t="s">
        <v>934</v>
      </c>
      <c r="E311" s="77" t="s">
        <v>4259</v>
      </c>
      <c r="F311" s="77" t="s">
        <v>4549</v>
      </c>
      <c r="G311" s="77" t="s">
        <v>880</v>
      </c>
      <c r="H311" s="77" t="str">
        <f t="shared" si="4"/>
        <v>anirudh.kumar@ujjivan.com;rajinder.kumar@ujjivan.com;manu.verma@ujjivan.com;amit.vij@ujjivan.com;;;</v>
      </c>
      <c r="J311" s="77"/>
      <c r="K311" s="77"/>
    </row>
    <row r="312" spans="1:11" x14ac:dyDescent="0.25">
      <c r="A312" s="144" t="s">
        <v>1003</v>
      </c>
      <c r="B312" s="75" t="s">
        <v>3360</v>
      </c>
      <c r="C312" s="75" t="s">
        <v>3964</v>
      </c>
      <c r="D312" s="76" t="s">
        <v>3649</v>
      </c>
      <c r="E312" s="77" t="s">
        <v>4269</v>
      </c>
      <c r="F312" s="77" t="s">
        <v>977</v>
      </c>
      <c r="G312" s="77" t="s">
        <v>911</v>
      </c>
      <c r="H312" s="77" t="str">
        <f t="shared" si="4"/>
        <v>mayank.suryavanshi@ujjivan.com;Vikash.bansal@ujjivan.com;sarveshpratap.singh@ujjivan.com;mahesh.gupta@ujjivan.com;;;</v>
      </c>
      <c r="J312" s="77"/>
      <c r="K312" s="77"/>
    </row>
    <row r="313" spans="1:11" x14ac:dyDescent="0.25">
      <c r="A313" s="144" t="s">
        <v>1005</v>
      </c>
      <c r="B313" s="75" t="s">
        <v>3361</v>
      </c>
      <c r="C313" s="75" t="s">
        <v>2791</v>
      </c>
      <c r="D313" s="76" t="s">
        <v>4631</v>
      </c>
      <c r="E313" s="77" t="s">
        <v>4270</v>
      </c>
      <c r="F313" s="77" t="s">
        <v>4415</v>
      </c>
      <c r="G313" s="77" t="s">
        <v>955</v>
      </c>
      <c r="H313" s="77" t="str">
        <f t="shared" si="4"/>
        <v>anand.gopal@ujjivan.com;hari.kaushik@ujjivan.com;rajesh.kr@ujjivan.com;rohit.parashar@ujjivan.com;;;</v>
      </c>
      <c r="J313" s="77"/>
      <c r="K313" s="77"/>
    </row>
    <row r="314" spans="1:11" x14ac:dyDescent="0.25">
      <c r="A314" s="144" t="s">
        <v>1006</v>
      </c>
      <c r="B314" s="75" t="s">
        <v>3362</v>
      </c>
      <c r="C314" s="75" t="s">
        <v>2837</v>
      </c>
      <c r="D314" s="76" t="s">
        <v>2838</v>
      </c>
      <c r="E314" s="77"/>
      <c r="F314" s="77" t="s">
        <v>4591</v>
      </c>
      <c r="G314" s="77"/>
      <c r="H314" s="77" t="str">
        <f t="shared" si="4"/>
        <v>gaurav.mishra@ujjivan.com;;chandan.sriwastava@ujjivan.com;;;;</v>
      </c>
      <c r="J314" s="77"/>
      <c r="K314" s="77"/>
    </row>
    <row r="315" spans="1:11" x14ac:dyDescent="0.25">
      <c r="A315" s="144" t="s">
        <v>884</v>
      </c>
      <c r="B315" s="75" t="s">
        <v>3363</v>
      </c>
      <c r="C315" s="75" t="s">
        <v>3965</v>
      </c>
      <c r="D315" s="76" t="s">
        <v>4245</v>
      </c>
      <c r="E315" s="77" t="s">
        <v>4632</v>
      </c>
      <c r="F315" s="77" t="s">
        <v>4552</v>
      </c>
      <c r="G315" s="77" t="s">
        <v>880</v>
      </c>
      <c r="H315" s="77" t="str">
        <f t="shared" si="4"/>
        <v>karan.singh@ujjivan.com;neerajkumar.sharma@ujjivan.com;sourabh.narang@ujjivan.com;amit.vij@ujjivan.com;;;</v>
      </c>
      <c r="J315" s="77"/>
      <c r="K315" s="77"/>
    </row>
    <row r="316" spans="1:11" x14ac:dyDescent="0.25">
      <c r="A316" s="144" t="s">
        <v>1007</v>
      </c>
      <c r="B316" s="75"/>
      <c r="C316" s="75"/>
      <c r="D316" s="76"/>
      <c r="E316" s="77"/>
      <c r="F316" s="77"/>
      <c r="G316" s="77"/>
      <c r="H316" s="77" t="str">
        <f t="shared" si="4"/>
        <v>;;;;;;</v>
      </c>
      <c r="J316" s="77"/>
      <c r="K316" s="77"/>
    </row>
    <row r="317" spans="1:11" x14ac:dyDescent="0.25">
      <c r="A317" s="144" t="s">
        <v>897</v>
      </c>
      <c r="B317" s="75" t="s">
        <v>3364</v>
      </c>
      <c r="C317" s="75" t="s">
        <v>2840</v>
      </c>
      <c r="D317" s="76" t="s">
        <v>3666</v>
      </c>
      <c r="E317" s="77"/>
      <c r="F317" s="77" t="s">
        <v>4548</v>
      </c>
      <c r="G317" s="77">
        <v>0</v>
      </c>
      <c r="H317" s="77" t="str">
        <f t="shared" si="4"/>
        <v>mrityunjay.gorana@ujjivan.com;;lavesh.sharma@ujjivan.com;0;;;</v>
      </c>
      <c r="J317" s="77"/>
      <c r="K317" s="77"/>
    </row>
    <row r="318" spans="1:11" x14ac:dyDescent="0.25">
      <c r="A318" s="144" t="s">
        <v>898</v>
      </c>
      <c r="B318" s="75"/>
      <c r="C318" s="75"/>
      <c r="D318" s="76"/>
      <c r="E318" s="77"/>
      <c r="F318" s="77"/>
      <c r="G318" s="77"/>
      <c r="H318" s="77" t="str">
        <f t="shared" si="4"/>
        <v>;;;;;;</v>
      </c>
      <c r="J318" s="77"/>
      <c r="K318" s="77"/>
    </row>
    <row r="319" spans="1:11" x14ac:dyDescent="0.25">
      <c r="A319" s="144" t="s">
        <v>899</v>
      </c>
      <c r="B319" s="75" t="s">
        <v>3365</v>
      </c>
      <c r="C319" s="75" t="s">
        <v>3966</v>
      </c>
      <c r="D319" s="76" t="s">
        <v>3674</v>
      </c>
      <c r="E319" s="77" t="s">
        <v>4515</v>
      </c>
      <c r="F319" s="77" t="s">
        <v>4548</v>
      </c>
      <c r="G319" s="77" t="s">
        <v>888</v>
      </c>
      <c r="H319" s="77" t="str">
        <f t="shared" si="4"/>
        <v>priyanshu.jaiswal@ujjivan.com;sunil.choudhary@ujjivan.com;lavesh.sharma@ujjivan.com;vijay.choudhary@ujjivan.com;;;</v>
      </c>
      <c r="J319" s="77"/>
      <c r="K319" s="77"/>
    </row>
    <row r="320" spans="1:11" x14ac:dyDescent="0.25">
      <c r="A320" s="144" t="s">
        <v>942</v>
      </c>
      <c r="B320" s="75"/>
      <c r="C320" s="75"/>
      <c r="D320" s="76"/>
      <c r="E320" s="77"/>
      <c r="F320" s="77"/>
      <c r="G320" s="77"/>
      <c r="H320" s="77" t="str">
        <f t="shared" si="4"/>
        <v>;;;;;;</v>
      </c>
      <c r="J320" s="77"/>
      <c r="K320" s="77"/>
    </row>
    <row r="321" spans="1:11" x14ac:dyDescent="0.25">
      <c r="A321" s="144" t="s">
        <v>1008</v>
      </c>
      <c r="B321" s="75" t="s">
        <v>3366</v>
      </c>
      <c r="C321" s="75" t="s">
        <v>3967</v>
      </c>
      <c r="D321" s="76" t="s">
        <v>4210</v>
      </c>
      <c r="E321" s="77" t="s">
        <v>4633</v>
      </c>
      <c r="F321" s="77" t="s">
        <v>977</v>
      </c>
      <c r="G321" s="77"/>
      <c r="H321" s="77" t="str">
        <f t="shared" si="4"/>
        <v>mohd.arslaan@ujjivan.com;prashant.kant@ujjivan.com;sarveshpratap.singh@ujjivan.com;;;;</v>
      </c>
      <c r="J321" s="77"/>
      <c r="K321" s="77"/>
    </row>
    <row r="322" spans="1:11" x14ac:dyDescent="0.25">
      <c r="A322" s="144" t="s">
        <v>943</v>
      </c>
      <c r="B322" s="75" t="s">
        <v>3367</v>
      </c>
      <c r="C322" s="75" t="s">
        <v>2852</v>
      </c>
      <c r="D322" s="76" t="s">
        <v>2853</v>
      </c>
      <c r="E322" s="77" t="s">
        <v>4516</v>
      </c>
      <c r="F322" s="77" t="s">
        <v>4551</v>
      </c>
      <c r="G322" s="77" t="s">
        <v>905</v>
      </c>
      <c r="H322" s="77" t="str">
        <f t="shared" si="4"/>
        <v>ravinder.kumar@ujjivan.com;ccr.mansa@ujjivan.com;shyam.patidar@ujjivan.com;rahul.sukhija@ujjivan.com;;;</v>
      </c>
      <c r="J322" s="77"/>
      <c r="K322" s="77"/>
    </row>
    <row r="323" spans="1:11" x14ac:dyDescent="0.25">
      <c r="A323" s="144" t="s">
        <v>901</v>
      </c>
      <c r="B323" s="75" t="s">
        <v>3368</v>
      </c>
      <c r="C323" s="75" t="s">
        <v>3968</v>
      </c>
      <c r="D323" s="76" t="s">
        <v>4595</v>
      </c>
      <c r="E323" s="77" t="s">
        <v>4635</v>
      </c>
      <c r="F323" s="77" t="s">
        <v>4554</v>
      </c>
      <c r="G323" s="77"/>
      <c r="H323" s="77" t="str">
        <f t="shared" ref="H323:H386" si="5">CONCATENATE(D323,";",E323,";",F323,";",G323,";",J323,";",K323,";")</f>
        <v>;rakesh.ningwal@ujjivan.com;sunilkumar.tiwari@ujjivan.com;;;;</v>
      </c>
      <c r="J323" s="77"/>
      <c r="K323" s="77"/>
    </row>
    <row r="324" spans="1:11" x14ac:dyDescent="0.25">
      <c r="A324" s="144" t="s">
        <v>902</v>
      </c>
      <c r="B324" s="75" t="s">
        <v>3369</v>
      </c>
      <c r="C324" s="75" t="s">
        <v>2845</v>
      </c>
      <c r="D324" s="76" t="s">
        <v>903</v>
      </c>
      <c r="E324" s="77" t="s">
        <v>4636</v>
      </c>
      <c r="F324" s="77" t="s">
        <v>4554</v>
      </c>
      <c r="G324" s="77" t="s">
        <v>888</v>
      </c>
      <c r="H324" s="77" t="str">
        <f t="shared" si="5"/>
        <v>dinesh.malviya@ujjivan.com;vijay.panwar@ujjivan.com;sunilkumar.tiwari@ujjivan.com;vijay.choudhary@ujjivan.com;;;</v>
      </c>
      <c r="J324" s="77"/>
      <c r="K324" s="77"/>
    </row>
    <row r="325" spans="1:11" x14ac:dyDescent="0.25">
      <c r="A325" s="144" t="s">
        <v>944</v>
      </c>
      <c r="B325" s="75" t="s">
        <v>3370</v>
      </c>
      <c r="C325" s="75" t="s">
        <v>3969</v>
      </c>
      <c r="D325" s="76" t="s">
        <v>3677</v>
      </c>
      <c r="E325" s="77" t="s">
        <v>4274</v>
      </c>
      <c r="F325" s="77" t="s">
        <v>4552</v>
      </c>
      <c r="G325" s="77" t="s">
        <v>880</v>
      </c>
      <c r="H325" s="77" t="str">
        <f t="shared" si="5"/>
        <v>sandeepkumar.phor@ujjivan.com;monu.kumar@ujjivan.com;sourabh.narang@ujjivan.com;amit.vij@ujjivan.com;;;</v>
      </c>
      <c r="J325" s="77"/>
      <c r="K325" s="77"/>
    </row>
    <row r="326" spans="1:11" x14ac:dyDescent="0.25">
      <c r="A326" s="144" t="s">
        <v>885</v>
      </c>
      <c r="B326" s="75" t="s">
        <v>3371</v>
      </c>
      <c r="C326" s="75" t="s">
        <v>3970</v>
      </c>
      <c r="D326" s="76" t="s">
        <v>3678</v>
      </c>
      <c r="E326" s="77"/>
      <c r="F326" s="77" t="s">
        <v>4546</v>
      </c>
      <c r="G326" s="77"/>
      <c r="H326" s="77" t="str">
        <f t="shared" si="5"/>
        <v>bijender.tanwar@ujjivan.com;;neelkant.tyagi@ujjivan.com;;;;</v>
      </c>
      <c r="J326" s="77"/>
      <c r="K326" s="77"/>
    </row>
    <row r="327" spans="1:11" x14ac:dyDescent="0.25">
      <c r="A327" s="144" t="s">
        <v>945</v>
      </c>
      <c r="B327" s="75" t="s">
        <v>3372</v>
      </c>
      <c r="C327" s="75" t="s">
        <v>3971</v>
      </c>
      <c r="D327" s="76" t="s">
        <v>4637</v>
      </c>
      <c r="E327" s="77" t="s">
        <v>4638</v>
      </c>
      <c r="F327" s="77" t="s">
        <v>4553</v>
      </c>
      <c r="G327" s="77"/>
      <c r="H327" s="77" t="str">
        <f t="shared" si="5"/>
        <v>deepankar.jayanth@ujjivan.com;ashish.kumar442@ujjivan.com;ashok.pareek@ujjivan.com;;;;</v>
      </c>
      <c r="J327" s="77"/>
      <c r="K327" s="77"/>
    </row>
    <row r="328" spans="1:11" x14ac:dyDescent="0.25">
      <c r="A328" s="144" t="s">
        <v>1009</v>
      </c>
      <c r="B328" s="75" t="s">
        <v>3373</v>
      </c>
      <c r="C328" s="75" t="s">
        <v>2842</v>
      </c>
      <c r="D328" s="76" t="s">
        <v>900</v>
      </c>
      <c r="E328" s="77" t="s">
        <v>4518</v>
      </c>
      <c r="F328" s="77" t="s">
        <v>4415</v>
      </c>
      <c r="G328" s="77" t="s">
        <v>955</v>
      </c>
      <c r="H328" s="77" t="str">
        <f t="shared" si="5"/>
        <v>saurabha.shrivastava@ujjivan.com;abhinav.chaudhary@ujjivan.com;rajesh.kr@ujjivan.com;rohit.parashar@ujjivan.com;;;</v>
      </c>
      <c r="J328" s="77"/>
      <c r="K328" s="77"/>
    </row>
    <row r="329" spans="1:11" x14ac:dyDescent="0.25">
      <c r="A329" s="144" t="s">
        <v>886</v>
      </c>
      <c r="B329" s="75"/>
      <c r="C329" s="75"/>
      <c r="D329" s="76"/>
      <c r="E329" s="77"/>
      <c r="F329" s="77"/>
      <c r="G329" s="77"/>
      <c r="H329" s="77" t="str">
        <f t="shared" si="5"/>
        <v>;;;;;;</v>
      </c>
      <c r="J329" s="77"/>
      <c r="K329" s="77"/>
    </row>
    <row r="330" spans="1:11" x14ac:dyDescent="0.25">
      <c r="A330" s="144" t="s">
        <v>946</v>
      </c>
      <c r="B330" s="75" t="s">
        <v>3374</v>
      </c>
      <c r="C330" s="75" t="s">
        <v>2819</v>
      </c>
      <c r="D330" s="76" t="s">
        <v>3671</v>
      </c>
      <c r="E330" s="77" t="s">
        <v>4277</v>
      </c>
      <c r="F330" s="77" t="s">
        <v>918</v>
      </c>
      <c r="G330" s="77" t="s">
        <v>905</v>
      </c>
      <c r="H330" s="77" t="str">
        <f t="shared" si="5"/>
        <v>vijendra.sharma@ujjivan.com;satpalsingh.jangra@ujjivan.com;shiv.thanvi@ujjivan.com;rahul.sukhija@ujjivan.com;;;</v>
      </c>
      <c r="J330" s="77"/>
      <c r="K330" s="77"/>
    </row>
    <row r="331" spans="1:11" x14ac:dyDescent="0.25">
      <c r="A331" s="144" t="s">
        <v>948</v>
      </c>
      <c r="B331" s="75" t="s">
        <v>3375</v>
      </c>
      <c r="C331" s="75" t="s">
        <v>2848</v>
      </c>
      <c r="D331" s="76" t="s">
        <v>4639</v>
      </c>
      <c r="E331" s="77" t="s">
        <v>4278</v>
      </c>
      <c r="F331" s="77" t="s">
        <v>4550</v>
      </c>
      <c r="G331" s="77" t="s">
        <v>905</v>
      </c>
      <c r="H331" s="77" t="str">
        <f t="shared" si="5"/>
        <v>vikas.indora@ujjivan.com;sanjeev.kumar720@ujjivan.com;kumar.suresh@ujjivan.com;rahul.sukhija@ujjivan.com;;;</v>
      </c>
      <c r="J331" s="77"/>
      <c r="K331" s="77"/>
    </row>
    <row r="332" spans="1:11" x14ac:dyDescent="0.25">
      <c r="A332" s="144" t="s">
        <v>950</v>
      </c>
      <c r="B332" s="75" t="s">
        <v>3376</v>
      </c>
      <c r="C332" s="75" t="s">
        <v>3972</v>
      </c>
      <c r="D332" s="76" t="s">
        <v>3680</v>
      </c>
      <c r="E332" s="77" t="s">
        <v>4640</v>
      </c>
      <c r="F332" s="77" t="s">
        <v>907</v>
      </c>
      <c r="G332" s="77" t="s">
        <v>905</v>
      </c>
      <c r="H332" s="77" t="str">
        <f t="shared" si="5"/>
        <v>ankaj.dhiman@ujjivan.com;ccr.ludhiananewshivajinagar@ujjivan.com;prakharkumar.pandey@ujjivan.com;rahul.sukhija@ujjivan.com;;;</v>
      </c>
      <c r="J332" s="77"/>
      <c r="K332" s="77"/>
    </row>
    <row r="333" spans="1:11" x14ac:dyDescent="0.25">
      <c r="A333" s="144" t="s">
        <v>951</v>
      </c>
      <c r="B333" s="75"/>
      <c r="C333" s="75"/>
      <c r="D333" s="76" t="s">
        <v>910</v>
      </c>
      <c r="E333" s="77" t="s">
        <v>4228</v>
      </c>
      <c r="F333" s="77" t="s">
        <v>2805</v>
      </c>
      <c r="G333" s="77" t="s">
        <v>905</v>
      </c>
      <c r="H333" s="77" t="str">
        <f t="shared" si="5"/>
        <v>lalchand.verma@ujjivan.com;Vikas.tanwar@ujjivan.com;shanta.bhardwaj@ujjivan.com;rahul.sukhija@ujjivan.com;;;</v>
      </c>
      <c r="J333" s="77"/>
      <c r="K333" s="77"/>
    </row>
    <row r="334" spans="1:11" s="121" customFormat="1" x14ac:dyDescent="0.25">
      <c r="A334" s="145" t="s">
        <v>975</v>
      </c>
      <c r="B334" s="129" t="s">
        <v>3377</v>
      </c>
      <c r="C334" s="129" t="s">
        <v>3973</v>
      </c>
      <c r="D334" s="76" t="s">
        <v>3681</v>
      </c>
      <c r="E334" s="77" t="s">
        <v>4641</v>
      </c>
      <c r="F334" s="77" t="s">
        <v>4547</v>
      </c>
      <c r="G334" s="77" t="s">
        <v>955</v>
      </c>
      <c r="H334" s="77" t="str">
        <f t="shared" si="5"/>
        <v>mukesh.kasotiya@ujjivan.com;jaipal.singh@ujjivan.com;dalla.ram@ujjivan.com;rohit.parashar@ujjivan.com;;;</v>
      </c>
      <c r="J334" s="125"/>
      <c r="K334" s="125"/>
    </row>
    <row r="335" spans="1:11" x14ac:dyDescent="0.25">
      <c r="A335" s="144" t="s">
        <v>921</v>
      </c>
      <c r="B335" s="75" t="s">
        <v>3378</v>
      </c>
      <c r="C335" s="75" t="s">
        <v>3974</v>
      </c>
      <c r="D335" s="76" t="s">
        <v>4642</v>
      </c>
      <c r="E335" s="77" t="s">
        <v>4519</v>
      </c>
      <c r="F335" s="77" t="s">
        <v>4550</v>
      </c>
      <c r="G335" s="77" t="s">
        <v>905</v>
      </c>
      <c r="H335" s="77" t="str">
        <f t="shared" si="5"/>
        <v>gurvinder.singh644@ujjivan.com;kumar.jatinder@ujjivan.com;kumar.suresh@ujjivan.com;rahul.sukhija@ujjivan.com;;;</v>
      </c>
      <c r="J335" s="77"/>
      <c r="K335" s="77"/>
    </row>
    <row r="336" spans="1:11" x14ac:dyDescent="0.25">
      <c r="A336" s="144" t="s">
        <v>2074</v>
      </c>
      <c r="B336" s="75"/>
      <c r="C336" s="75"/>
      <c r="D336" s="76"/>
      <c r="E336" s="77"/>
      <c r="F336" s="77"/>
      <c r="G336" s="77"/>
      <c r="H336" s="77" t="str">
        <f t="shared" si="5"/>
        <v>;;;;;;</v>
      </c>
      <c r="J336" s="77"/>
      <c r="K336" s="77"/>
    </row>
    <row r="337" spans="1:11" x14ac:dyDescent="0.25">
      <c r="A337" s="144" t="s">
        <v>2077</v>
      </c>
      <c r="B337" s="75"/>
      <c r="C337" s="75"/>
      <c r="D337" s="76"/>
      <c r="E337" s="77"/>
      <c r="F337" s="77"/>
      <c r="G337" s="77"/>
      <c r="H337" s="77" t="str">
        <f t="shared" si="5"/>
        <v>;;;;;;</v>
      </c>
      <c r="J337" s="77"/>
      <c r="K337" s="77"/>
    </row>
    <row r="338" spans="1:11" x14ac:dyDescent="0.25">
      <c r="A338" s="144" t="s">
        <v>2080</v>
      </c>
      <c r="B338" s="75" t="s">
        <v>3571</v>
      </c>
      <c r="C338" s="75" t="s">
        <v>2854</v>
      </c>
      <c r="D338" s="76" t="s">
        <v>2855</v>
      </c>
      <c r="E338" s="77" t="s">
        <v>4283</v>
      </c>
      <c r="F338" s="77" t="s">
        <v>4415</v>
      </c>
      <c r="G338" s="77" t="s">
        <v>955</v>
      </c>
      <c r="H338" s="77" t="str">
        <f t="shared" si="5"/>
        <v>banta.singh@ujjivan.com;fatehsingh.yogi@ujjivan.com;rajesh.kr@ujjivan.com;rohit.parashar@ujjivan.com;;;</v>
      </c>
      <c r="J338" s="77"/>
      <c r="K338" s="77"/>
    </row>
    <row r="339" spans="1:11" x14ac:dyDescent="0.25">
      <c r="A339" s="144" t="s">
        <v>2083</v>
      </c>
      <c r="B339" s="75" t="s">
        <v>3550</v>
      </c>
      <c r="C339" s="75" t="s">
        <v>2821</v>
      </c>
      <c r="D339" s="76" t="s">
        <v>4263</v>
      </c>
      <c r="E339" s="77" t="s">
        <v>4643</v>
      </c>
      <c r="F339" s="77" t="s">
        <v>3023</v>
      </c>
      <c r="G339" s="77" t="s">
        <v>955</v>
      </c>
      <c r="H339" s="77" t="str">
        <f t="shared" si="5"/>
        <v>kalu.ram@ujjivan.com;akash.saxena@ujjivan.com;deepak.duttatrey@ujjivan.com;rohit.parashar@ujjivan.com;;;</v>
      </c>
      <c r="J339" s="77"/>
      <c r="K339" s="77"/>
    </row>
    <row r="340" spans="1:11" x14ac:dyDescent="0.25">
      <c r="A340" s="146" t="s">
        <v>404</v>
      </c>
      <c r="B340" s="75" t="s">
        <v>3208</v>
      </c>
      <c r="C340" s="75" t="s">
        <v>3975</v>
      </c>
      <c r="D340" s="76" t="s">
        <v>3578</v>
      </c>
      <c r="E340" s="77" t="s">
        <v>4285</v>
      </c>
      <c r="F340" s="77" t="s">
        <v>2859</v>
      </c>
      <c r="G340" s="77" t="s">
        <v>405</v>
      </c>
      <c r="H340" s="77" t="str">
        <f t="shared" si="5"/>
        <v>v.mohan@ujjivan.com;thilakavathi.d@ujjivan.com;vijaykumar.g@ujjivan.com;sachinkumar.kb@ujjivan.com;shekhar.poojary@ujjivan.com;kirankumar.ks@ujjivan.com;</v>
      </c>
      <c r="J340" s="77" t="s">
        <v>2962</v>
      </c>
      <c r="K340" s="77" t="s">
        <v>2963</v>
      </c>
    </row>
    <row r="341" spans="1:11" x14ac:dyDescent="0.25">
      <c r="A341" s="146" t="s">
        <v>408</v>
      </c>
      <c r="B341" s="75" t="s">
        <v>3209</v>
      </c>
      <c r="C341" s="75" t="s">
        <v>3976</v>
      </c>
      <c r="D341" s="76" t="s">
        <v>4388</v>
      </c>
      <c r="E341" s="77" t="s">
        <v>4918</v>
      </c>
      <c r="F341" s="77" t="s">
        <v>414</v>
      </c>
      <c r="G341" s="77" t="s">
        <v>405</v>
      </c>
      <c r="H341" s="77" t="str">
        <f t="shared" si="5"/>
        <v>venkatesh.dm@ujjivan.com;devaraj.m@ujjivan.com;pratap.reddy@ujjivan.com;sachinkumar.kb@ujjivan.com;shekhar.poojary@ujjivan.com;vineethkumar.v@ujjivan.com;</v>
      </c>
      <c r="J341" s="77" t="s">
        <v>2962</v>
      </c>
      <c r="K341" s="77" t="s">
        <v>2964</v>
      </c>
    </row>
    <row r="342" spans="1:11" x14ac:dyDescent="0.25">
      <c r="A342" s="146" t="s">
        <v>410</v>
      </c>
      <c r="B342" s="75" t="s">
        <v>3210</v>
      </c>
      <c r="C342" s="75" t="s">
        <v>3977</v>
      </c>
      <c r="D342" s="76" t="s">
        <v>3601</v>
      </c>
      <c r="E342" s="77" t="s">
        <v>4287</v>
      </c>
      <c r="F342" s="77" t="s">
        <v>4521</v>
      </c>
      <c r="G342" s="77" t="s">
        <v>405</v>
      </c>
      <c r="H342" s="77" t="str">
        <f t="shared" si="5"/>
        <v>kiran.kumar@ujjivan.com;ramakrishna.k@ujjivan.com;sandeep.jain@ujjivan.com;sachinkumar.kb@ujjivan.com;umamaheswari.s@ujjivan.com;anand.rajkumar@ujjivan.com;</v>
      </c>
      <c r="J342" s="77" t="s">
        <v>2965</v>
      </c>
      <c r="K342" s="77" t="s">
        <v>2966</v>
      </c>
    </row>
    <row r="343" spans="1:11" x14ac:dyDescent="0.25">
      <c r="A343" s="146" t="s">
        <v>412</v>
      </c>
      <c r="B343" s="75" t="s">
        <v>3211</v>
      </c>
      <c r="C343" s="75" t="s">
        <v>2860</v>
      </c>
      <c r="D343" s="76" t="s">
        <v>413</v>
      </c>
      <c r="E343" s="77" t="s">
        <v>4919</v>
      </c>
      <c r="F343" s="77" t="s">
        <v>414</v>
      </c>
      <c r="G343" s="77" t="s">
        <v>405</v>
      </c>
      <c r="H343" s="77" t="str">
        <f t="shared" si="5"/>
        <v>shymala.ramesh@ujjivan.com;mahesh.m@ujjivan.com;pratap.reddy@ujjivan.com;sachinkumar.kb@ujjivan.com;umamaheswari.s@ujjivan.com;anand.rajkumar@ujjivan.com;</v>
      </c>
      <c r="J343" s="77" t="s">
        <v>2965</v>
      </c>
      <c r="K343" s="77" t="s">
        <v>2966</v>
      </c>
    </row>
    <row r="344" spans="1:11" x14ac:dyDescent="0.25">
      <c r="A344" s="146" t="s">
        <v>415</v>
      </c>
      <c r="B344" s="75" t="s">
        <v>3212</v>
      </c>
      <c r="C344" s="75" t="s">
        <v>2861</v>
      </c>
      <c r="D344" s="76" t="s">
        <v>4695</v>
      </c>
      <c r="E344" s="77" t="s">
        <v>4427</v>
      </c>
      <c r="F344" s="77" t="s">
        <v>2859</v>
      </c>
      <c r="G344" s="77" t="s">
        <v>405</v>
      </c>
      <c r="H344" s="77" t="str">
        <f t="shared" si="5"/>
        <v>bhmshashidhar.sharma@ujjivan.com;nandeesh.o@ujjivan.com;vijaykumar.g@ujjivan.com;sachinkumar.kb@ujjivan.com;shekhar.poojary@ujjivan.com;kirankumar.ks@ujjivan.com;</v>
      </c>
      <c r="J344" s="77" t="s">
        <v>2962</v>
      </c>
      <c r="K344" s="77" t="s">
        <v>2963</v>
      </c>
    </row>
    <row r="345" spans="1:11" x14ac:dyDescent="0.25">
      <c r="A345" s="146" t="s">
        <v>417</v>
      </c>
      <c r="B345" s="75" t="s">
        <v>3213</v>
      </c>
      <c r="C345" s="75" t="s">
        <v>2862</v>
      </c>
      <c r="D345" s="76" t="s">
        <v>411</v>
      </c>
      <c r="E345" s="77" t="s">
        <v>4288</v>
      </c>
      <c r="F345" s="77" t="s">
        <v>4521</v>
      </c>
      <c r="G345" s="77" t="s">
        <v>405</v>
      </c>
      <c r="H345" s="77" t="str">
        <f t="shared" si="5"/>
        <v>siddappa.s@ujjivan.com;hemavathi.narayanappa@ujjivan.com;sandeep.jain@ujjivan.com;sachinkumar.kb@ujjivan.com;umamaheswari.s@ujjivan.com;ashwin.prakash@ujjivan.com;</v>
      </c>
      <c r="J345" s="77" t="s">
        <v>2965</v>
      </c>
      <c r="K345" s="77" t="s">
        <v>2967</v>
      </c>
    </row>
    <row r="346" spans="1:11" x14ac:dyDescent="0.25">
      <c r="A346" s="146" t="s">
        <v>419</v>
      </c>
      <c r="B346" s="75" t="s">
        <v>3214</v>
      </c>
      <c r="C346" s="75" t="s">
        <v>3978</v>
      </c>
      <c r="D346" s="76" t="s">
        <v>3581</v>
      </c>
      <c r="E346" s="77" t="s">
        <v>4920</v>
      </c>
      <c r="F346" s="77" t="s">
        <v>414</v>
      </c>
      <c r="G346" s="77" t="s">
        <v>405</v>
      </c>
      <c r="H346" s="77" t="str">
        <f t="shared" si="5"/>
        <v>shivaprasad.br@ujjivan.com;deeksha.s@ujjivan.com;pratap.reddy@ujjivan.com;sachinkumar.kb@ujjivan.com;umamaheswari.s@ujjivan.com;anand.rajkumar@ujjivan.com;</v>
      </c>
      <c r="J346" s="77" t="s">
        <v>2965</v>
      </c>
      <c r="K346" s="77" t="s">
        <v>2966</v>
      </c>
    </row>
    <row r="347" spans="1:11" x14ac:dyDescent="0.25">
      <c r="A347" s="146" t="s">
        <v>421</v>
      </c>
      <c r="B347" s="75" t="s">
        <v>431</v>
      </c>
      <c r="C347" s="75" t="s">
        <v>2864</v>
      </c>
      <c r="D347" s="76" t="s">
        <v>4696</v>
      </c>
      <c r="E347" s="77" t="s">
        <v>4290</v>
      </c>
      <c r="F347" s="77" t="s">
        <v>2859</v>
      </c>
      <c r="G347" s="77" t="s">
        <v>405</v>
      </c>
      <c r="H347" s="77" t="str">
        <f t="shared" si="5"/>
        <v>sasitha.rajendran@ujjivan.com;mahesh.puttaraju@ujjivan.com;vijaykumar.g@ujjivan.com;sachinkumar.kb@ujjivan.com;shekhar.poojary@ujjivan.com;kirankumar.ks@ujjivan.com;</v>
      </c>
      <c r="J347" s="77" t="s">
        <v>2962</v>
      </c>
      <c r="K347" s="77" t="s">
        <v>2963</v>
      </c>
    </row>
    <row r="348" spans="1:11" x14ac:dyDescent="0.25">
      <c r="A348" s="146" t="s">
        <v>422</v>
      </c>
      <c r="B348" s="75" t="s">
        <v>3215</v>
      </c>
      <c r="C348" s="75" t="s">
        <v>3979</v>
      </c>
      <c r="D348" s="76" t="s">
        <v>4697</v>
      </c>
      <c r="E348" s="77" t="s">
        <v>4291</v>
      </c>
      <c r="F348" s="77" t="s">
        <v>2859</v>
      </c>
      <c r="G348" s="77" t="s">
        <v>405</v>
      </c>
      <c r="H348" s="77" t="str">
        <f t="shared" si="5"/>
        <v>bharath.p@ujjivan.com;manjula@ujjivan.com;vijaykumar.g@ujjivan.com;sachinkumar.kb@ujjivan.com;shekhar.poojary@ujjivan.com;kirankumar.ks@ujjivan.com;</v>
      </c>
      <c r="J348" s="77" t="s">
        <v>2962</v>
      </c>
      <c r="K348" s="77" t="s">
        <v>2963</v>
      </c>
    </row>
    <row r="349" spans="1:11" x14ac:dyDescent="0.25">
      <c r="A349" s="146" t="s">
        <v>423</v>
      </c>
      <c r="B349" s="75" t="s">
        <v>3216</v>
      </c>
      <c r="C349" s="75" t="s">
        <v>3980</v>
      </c>
      <c r="D349" s="76" t="s">
        <v>3583</v>
      </c>
      <c r="E349" s="77" t="s">
        <v>4428</v>
      </c>
      <c r="F349" s="77" t="s">
        <v>4521</v>
      </c>
      <c r="G349" s="77" t="s">
        <v>405</v>
      </c>
      <c r="H349" s="77" t="str">
        <f t="shared" si="5"/>
        <v>beulah.p@ujjivan.com;varalakshmi.k@ujjivan.com;sandeep.jain@ujjivan.com;sachinkumar.kb@ujjivan.com;umamaheswari.s@ujjivan.com;anand.rajkumar@ujjivan.com;</v>
      </c>
      <c r="J349" s="77" t="s">
        <v>2965</v>
      </c>
      <c r="K349" s="77" t="s">
        <v>2966</v>
      </c>
    </row>
    <row r="350" spans="1:11" x14ac:dyDescent="0.25">
      <c r="A350" s="146" t="s">
        <v>424</v>
      </c>
      <c r="B350" s="75" t="s">
        <v>3217</v>
      </c>
      <c r="C350" s="75" t="s">
        <v>2863</v>
      </c>
      <c r="D350" s="76" t="s">
        <v>4289</v>
      </c>
      <c r="E350" s="77" t="s">
        <v>4698</v>
      </c>
      <c r="F350" s="77" t="s">
        <v>414</v>
      </c>
      <c r="G350" s="77" t="s">
        <v>405</v>
      </c>
      <c r="H350" s="77" t="str">
        <f t="shared" si="5"/>
        <v>manjunath.bhat@ujjivan.com;goutam.k@ujjivan.com;pratap.reddy@ujjivan.com;sachinkumar.kb@ujjivan.com;shekhar.poojary@ujjivan.com;kirankumar.ks@ujjivan.com;</v>
      </c>
      <c r="J350" s="77" t="s">
        <v>2962</v>
      </c>
      <c r="K350" s="77" t="s">
        <v>2963</v>
      </c>
    </row>
    <row r="351" spans="1:11" x14ac:dyDescent="0.25">
      <c r="A351" s="146" t="s">
        <v>425</v>
      </c>
      <c r="B351" s="75" t="s">
        <v>3218</v>
      </c>
      <c r="C351" s="75" t="s">
        <v>2865</v>
      </c>
      <c r="D351" s="76" t="s">
        <v>426</v>
      </c>
      <c r="E351" s="77" t="s">
        <v>4293</v>
      </c>
      <c r="F351" s="77" t="s">
        <v>4699</v>
      </c>
      <c r="G351" s="77" t="s">
        <v>427</v>
      </c>
      <c r="H351" s="77" t="str">
        <f t="shared" si="5"/>
        <v>muthaiah.d@ujjivan.com;yogesha.sh@ujjivan.com;narasimha.murthy@ujjivan.com;ravichandra.mm@ujjivan.com;suresh.poojary@ujjivan.com;harshith.hn@ujjivan.com;</v>
      </c>
      <c r="J351" s="77" t="s">
        <v>2968</v>
      </c>
      <c r="K351" s="77" t="s">
        <v>2969</v>
      </c>
    </row>
    <row r="352" spans="1:11" x14ac:dyDescent="0.25">
      <c r="A352" s="146" t="s">
        <v>428</v>
      </c>
      <c r="B352" s="75" t="s">
        <v>3219</v>
      </c>
      <c r="C352" s="75" t="s">
        <v>2866</v>
      </c>
      <c r="D352" s="76" t="s">
        <v>4700</v>
      </c>
      <c r="E352" s="77" t="s">
        <v>4701</v>
      </c>
      <c r="F352" s="77" t="s">
        <v>4521</v>
      </c>
      <c r="G352" s="77" t="s">
        <v>405</v>
      </c>
      <c r="H352" s="77" t="str">
        <f t="shared" si="5"/>
        <v>satisha@ujjivan.com;chethan.k@ujjivan.com;sandeep.jain@ujjivan.com;sachinkumar.kb@ujjivan.com;shekhar.poojary@ujjivan.com;vineethkumar.v@ujjivan.com;</v>
      </c>
      <c r="J352" s="77" t="s">
        <v>2962</v>
      </c>
      <c r="K352" s="77" t="s">
        <v>2964</v>
      </c>
    </row>
    <row r="353" spans="1:11" x14ac:dyDescent="0.25">
      <c r="A353" s="146" t="s">
        <v>430</v>
      </c>
      <c r="B353" s="75" t="s">
        <v>3220</v>
      </c>
      <c r="C353" s="75" t="s">
        <v>2867</v>
      </c>
      <c r="D353" s="76" t="s">
        <v>4702</v>
      </c>
      <c r="E353" s="77" t="s">
        <v>4295</v>
      </c>
      <c r="F353" s="77" t="s">
        <v>2859</v>
      </c>
      <c r="G353" s="77" t="s">
        <v>405</v>
      </c>
      <c r="H353" s="77" t="str">
        <f t="shared" si="5"/>
        <v>manjunath.mr@ujjivan.com;muni.krishnappa@ujjivan.com;vijaykumar.g@ujjivan.com;sachinkumar.kb@ujjivan.com;umamaheswari.s@ujjivan.com;ashwin.prakash@ujjivan.com;</v>
      </c>
      <c r="J353" s="77" t="s">
        <v>2965</v>
      </c>
      <c r="K353" s="77" t="s">
        <v>2967</v>
      </c>
    </row>
    <row r="354" spans="1:11" x14ac:dyDescent="0.25">
      <c r="A354" s="146" t="s">
        <v>433</v>
      </c>
      <c r="B354" s="75" t="s">
        <v>3221</v>
      </c>
      <c r="C354" s="75" t="s">
        <v>2869</v>
      </c>
      <c r="D354" s="76" t="s">
        <v>434</v>
      </c>
      <c r="E354" s="77" t="s">
        <v>4703</v>
      </c>
      <c r="F354" s="77" t="s">
        <v>4522</v>
      </c>
      <c r="G354" s="77" t="s">
        <v>427</v>
      </c>
      <c r="H354" s="77" t="str">
        <f t="shared" si="5"/>
        <v>kumara.shivanna@ujjivan.com;suresha.d@ujjivan.com;murali.mohan@ujjivan.com;ravichandra.mm@ujjivan.com;suresh.poojary@ujjivan.com;harshith.hn@ujjivan.com;</v>
      </c>
      <c r="J354" s="77" t="s">
        <v>2968</v>
      </c>
      <c r="K354" s="77" t="s">
        <v>2969</v>
      </c>
    </row>
    <row r="355" spans="1:11" x14ac:dyDescent="0.25">
      <c r="A355" s="146" t="s">
        <v>435</v>
      </c>
      <c r="B355" s="75" t="s">
        <v>3222</v>
      </c>
      <c r="C355" s="75" t="s">
        <v>3981</v>
      </c>
      <c r="D355" s="76" t="s">
        <v>3584</v>
      </c>
      <c r="E355" s="77" t="s">
        <v>4286</v>
      </c>
      <c r="F355" s="77" t="s">
        <v>414</v>
      </c>
      <c r="G355" s="77" t="s">
        <v>405</v>
      </c>
      <c r="H355" s="77" t="str">
        <f t="shared" si="5"/>
        <v>sridhar.raghuramaiah@ujjivan.com;bhanupriya.am@ujjivan.com;pratap.reddy@ujjivan.com;sachinkumar.kb@ujjivan.com;shekhar.poojary@ujjivan.com;vineethkumar.v@ujjivan.com;</v>
      </c>
      <c r="J355" s="77" t="s">
        <v>2962</v>
      </c>
      <c r="K355" s="77" t="s">
        <v>2964</v>
      </c>
    </row>
    <row r="356" spans="1:11" x14ac:dyDescent="0.25">
      <c r="A356" s="146" t="s">
        <v>436</v>
      </c>
      <c r="B356" s="75" t="s">
        <v>437</v>
      </c>
      <c r="C356" s="75" t="s">
        <v>2870</v>
      </c>
      <c r="D356" s="76" t="s">
        <v>438</v>
      </c>
      <c r="E356" s="77" t="s">
        <v>4429</v>
      </c>
      <c r="F356" s="77" t="s">
        <v>414</v>
      </c>
      <c r="G356" s="77" t="s">
        <v>405</v>
      </c>
      <c r="H356" s="77" t="str">
        <f t="shared" si="5"/>
        <v>elizabeth.rani@ujjivan.com;ravikumar.venkatappa@ujjivan.com;pratap.reddy@ujjivan.com;sachinkumar.kb@ujjivan.com;umamaheswari.s@ujjivan.com;allisab.j@ujjivan.com;</v>
      </c>
      <c r="J356" s="77" t="s">
        <v>2965</v>
      </c>
      <c r="K356" s="77" t="s">
        <v>2970</v>
      </c>
    </row>
    <row r="357" spans="1:11" x14ac:dyDescent="0.25">
      <c r="A357" s="146" t="s">
        <v>439</v>
      </c>
      <c r="B357" s="75" t="s">
        <v>3223</v>
      </c>
      <c r="C357" s="75" t="s">
        <v>3982</v>
      </c>
      <c r="D357" s="76" t="s">
        <v>4704</v>
      </c>
      <c r="E357" s="77" t="s">
        <v>4298</v>
      </c>
      <c r="F357" s="77" t="s">
        <v>4699</v>
      </c>
      <c r="G357" s="77" t="s">
        <v>427</v>
      </c>
      <c r="H357" s="77" t="str">
        <f t="shared" si="5"/>
        <v>shivakumar.saraguru@ujjivan.com;latha.mk@ujjivan.com;narasimha.murthy@ujjivan.com;ravichandra.mm@ujjivan.com;suresh.poojary@ujjivan.com;harshith.hn@ujjivan.com;</v>
      </c>
      <c r="J357" s="77" t="s">
        <v>2968</v>
      </c>
      <c r="K357" s="77" t="s">
        <v>2969</v>
      </c>
    </row>
    <row r="358" spans="1:11" x14ac:dyDescent="0.25">
      <c r="A358" s="146" t="s">
        <v>440</v>
      </c>
      <c r="B358" s="75" t="s">
        <v>455</v>
      </c>
      <c r="C358" s="75" t="s">
        <v>2876</v>
      </c>
      <c r="D358" s="76" t="s">
        <v>456</v>
      </c>
      <c r="E358" s="77" t="s">
        <v>4299</v>
      </c>
      <c r="F358" s="77" t="s">
        <v>4699</v>
      </c>
      <c r="G358" s="77" t="s">
        <v>427</v>
      </c>
      <c r="H358" s="77" t="str">
        <f t="shared" si="5"/>
        <v>sampath.kumar@ujjivan.com;manjunatha.narayana@ujjivan.com;narasimha.murthy@ujjivan.com;ravichandra.mm@ujjivan.com;umamaheswari.s@ujjivan.com;allisab.j@ujjivan.com;</v>
      </c>
      <c r="J358" s="77" t="s">
        <v>2965</v>
      </c>
      <c r="K358" s="77" t="s">
        <v>2970</v>
      </c>
    </row>
    <row r="359" spans="1:11" x14ac:dyDescent="0.25">
      <c r="A359" s="146" t="s">
        <v>441</v>
      </c>
      <c r="B359" s="75" t="s">
        <v>3224</v>
      </c>
      <c r="C359" s="75" t="s">
        <v>2871</v>
      </c>
      <c r="D359" s="76" t="s">
        <v>2872</v>
      </c>
      <c r="E359" s="77" t="s">
        <v>4300</v>
      </c>
      <c r="F359" s="77" t="s">
        <v>2859</v>
      </c>
      <c r="G359" s="77" t="s">
        <v>405</v>
      </c>
      <c r="H359" s="77" t="str">
        <f t="shared" si="5"/>
        <v>jayeer.pasha@ujjivan.com;ramesha.ponnuswamy@ujjivan.com;vijaykumar.g@ujjivan.com;sachinkumar.kb@ujjivan.com;umamaheswari.s@ujjivan.com;ashwin.prakash@ujjivan.com;</v>
      </c>
      <c r="J359" s="77" t="s">
        <v>2965</v>
      </c>
      <c r="K359" s="77" t="s">
        <v>2967</v>
      </c>
    </row>
    <row r="360" spans="1:11" x14ac:dyDescent="0.25">
      <c r="A360" s="146" t="s">
        <v>442</v>
      </c>
      <c r="B360" s="75" t="s">
        <v>3225</v>
      </c>
      <c r="C360" s="75" t="s">
        <v>3983</v>
      </c>
      <c r="D360" s="76" t="s">
        <v>3586</v>
      </c>
      <c r="E360" s="77" t="s">
        <v>4706</v>
      </c>
      <c r="F360" s="77" t="s">
        <v>443</v>
      </c>
      <c r="G360" s="77" t="s">
        <v>466</v>
      </c>
      <c r="H360" s="77" t="str">
        <f t="shared" si="5"/>
        <v>somanath.jakkannavar@ujjivan.com;shivarajkumar.h@ujjivan.com;moinuddin.m@ujjivan.com;srinivas.govinda@ujjivan.com;shrungeshwara.cn@ujjivan.com;sureshkumar.komali@ujjivan.com;</v>
      </c>
      <c r="J360" s="77" t="s">
        <v>2971</v>
      </c>
      <c r="K360" s="77" t="s">
        <v>2972</v>
      </c>
    </row>
    <row r="361" spans="1:11" x14ac:dyDescent="0.25">
      <c r="A361" s="146" t="s">
        <v>444</v>
      </c>
      <c r="B361" s="75" t="s">
        <v>445</v>
      </c>
      <c r="C361" s="75" t="s">
        <v>2873</v>
      </c>
      <c r="D361" s="76" t="s">
        <v>2868</v>
      </c>
      <c r="E361" s="77" t="s">
        <v>4302</v>
      </c>
      <c r="F361" s="77" t="s">
        <v>473</v>
      </c>
      <c r="G361" s="77" t="s">
        <v>447</v>
      </c>
      <c r="H361" s="77" t="str">
        <f t="shared" si="5"/>
        <v>ramesh.munireddy@ujjivan.com;shivaprakash.sivam@ujjivan.com;sudhakar.babu@ujjivan.com;thiyagu.basavaraj@ujjivan.com;rajaguru.i@ujjivan.com;arasu.sokkalingam@ujjivan.com;</v>
      </c>
      <c r="J361" s="77" t="s">
        <v>2973</v>
      </c>
      <c r="K361" s="71" t="s">
        <v>2977</v>
      </c>
    </row>
    <row r="362" spans="1:11" x14ac:dyDescent="0.25">
      <c r="A362" s="146" t="s">
        <v>1494</v>
      </c>
      <c r="B362" s="75" t="s">
        <v>3536</v>
      </c>
      <c r="C362" s="75" t="s">
        <v>3984</v>
      </c>
      <c r="D362" s="76" t="s">
        <v>3753</v>
      </c>
      <c r="E362" s="77" t="s">
        <v>4303</v>
      </c>
      <c r="F362" s="77" t="s">
        <v>443</v>
      </c>
      <c r="G362" s="77" t="s">
        <v>466</v>
      </c>
      <c r="H362" s="77" t="str">
        <f t="shared" si="5"/>
        <v>manjunath.daivadnya@ujjivan.com;nagaraj.p@ujjivan.com;moinuddin.m@ujjivan.com;srinivas.govinda@ujjivan.com;shrungeshwara.cn@ujjivan.com;sureshkumar.komali@ujjivan.com;</v>
      </c>
      <c r="J362" s="77" t="s">
        <v>2971</v>
      </c>
      <c r="K362" s="77" t="s">
        <v>2972</v>
      </c>
    </row>
    <row r="363" spans="1:11" x14ac:dyDescent="0.25">
      <c r="A363" s="146" t="s">
        <v>849</v>
      </c>
      <c r="B363" s="75" t="s">
        <v>3226</v>
      </c>
      <c r="C363" s="75" t="s">
        <v>3985</v>
      </c>
      <c r="D363" s="76" t="s">
        <v>3587</v>
      </c>
      <c r="E363" s="77" t="s">
        <v>4430</v>
      </c>
      <c r="F363" s="77" t="s">
        <v>4707</v>
      </c>
      <c r="G363" s="77" t="s">
        <v>466</v>
      </c>
      <c r="H363" s="77" t="str">
        <f t="shared" si="5"/>
        <v>amit.chandaragi@ujjivan.com;siddappa.kanthi@ujjivan.com;basavaraj.yadoor@ujjivan.com;srinivas.govinda@ujjivan.com;shekhar.poojary@ujjivan.com;basantakumar.pasupalak@ujjivan.com;</v>
      </c>
      <c r="J363" s="77" t="s">
        <v>2962</v>
      </c>
      <c r="K363" s="77" t="s">
        <v>2975</v>
      </c>
    </row>
    <row r="364" spans="1:11" x14ac:dyDescent="0.25">
      <c r="A364" s="146" t="s">
        <v>448</v>
      </c>
      <c r="B364" s="75" t="s">
        <v>3227</v>
      </c>
      <c r="C364" s="75" t="s">
        <v>3986</v>
      </c>
      <c r="D364" s="76" t="s">
        <v>446</v>
      </c>
      <c r="E364" s="77" t="s">
        <v>4708</v>
      </c>
      <c r="F364" s="77" t="s">
        <v>473</v>
      </c>
      <c r="G364" s="77" t="s">
        <v>447</v>
      </c>
      <c r="H364" s="77" t="str">
        <f t="shared" si="5"/>
        <v>sivakumar.sv@Ujjivan.com;tamilarasan.raja@ujjivan.com;sudhakar.babu@ujjivan.com;thiyagu.basavaraj@ujjivan.com;rajaguru.i@ujjivan.com;arasu.sokkalingam@ujjivan.com;</v>
      </c>
      <c r="J364" s="77" t="s">
        <v>2973</v>
      </c>
      <c r="K364" s="71" t="s">
        <v>2977</v>
      </c>
    </row>
    <row r="365" spans="1:11" x14ac:dyDescent="0.25">
      <c r="A365" s="146" t="s">
        <v>449</v>
      </c>
      <c r="B365" s="75" t="s">
        <v>470</v>
      </c>
      <c r="C365" s="75" t="s">
        <v>2874</v>
      </c>
      <c r="D365" s="76" t="s">
        <v>471</v>
      </c>
      <c r="E365" s="77" t="s">
        <v>4315</v>
      </c>
      <c r="F365" s="77" t="s">
        <v>443</v>
      </c>
      <c r="G365" s="77" t="s">
        <v>466</v>
      </c>
      <c r="H365" s="77" t="str">
        <f t="shared" si="5"/>
        <v>shivaprasad.gm@ujjivan.com;raju.rangappa@ujjivan.com;moinuddin.m@ujjivan.com;srinivas.govinda@ujjivan.com;shrungeshwara.cn@ujjivan.com;sureshkumar.komali@ujjivan.com;</v>
      </c>
      <c r="J365" s="77" t="s">
        <v>2971</v>
      </c>
      <c r="K365" s="77" t="s">
        <v>2972</v>
      </c>
    </row>
    <row r="366" spans="1:11" x14ac:dyDescent="0.25">
      <c r="A366" s="146" t="s">
        <v>451</v>
      </c>
      <c r="B366" s="75" t="s">
        <v>3033</v>
      </c>
      <c r="C366" s="75" t="s">
        <v>3987</v>
      </c>
      <c r="D366" s="76" t="s">
        <v>3589</v>
      </c>
      <c r="E366" s="77" t="s">
        <v>4307</v>
      </c>
      <c r="F366" s="77" t="s">
        <v>443</v>
      </c>
      <c r="G366" s="77" t="s">
        <v>466</v>
      </c>
      <c r="H366" s="77" t="str">
        <f t="shared" si="5"/>
        <v>vishwanatha.nv@ujjivan.com;nagaraja.kk@ujjivan.com;moinuddin.m@ujjivan.com;srinivas.govinda@ujjivan.com;shrungeshwara.cn@ujjivan.com;sureshkumar.komali@ujjivan.com;</v>
      </c>
      <c r="J366" s="77" t="s">
        <v>2971</v>
      </c>
      <c r="K366" s="77" t="s">
        <v>2972</v>
      </c>
    </row>
    <row r="367" spans="1:11" x14ac:dyDescent="0.25">
      <c r="A367" s="146" t="s">
        <v>452</v>
      </c>
      <c r="B367" s="75" t="s">
        <v>3228</v>
      </c>
      <c r="C367" s="75" t="s">
        <v>2875</v>
      </c>
      <c r="D367" s="76" t="s">
        <v>453</v>
      </c>
      <c r="E367" s="77" t="s">
        <v>4308</v>
      </c>
      <c r="F367" s="77" t="s">
        <v>4709</v>
      </c>
      <c r="G367" s="77" t="s">
        <v>466</v>
      </c>
      <c r="H367" s="77" t="str">
        <f t="shared" si="5"/>
        <v>prakash.k@ujjivan.com;gowdra.prahalada@ujjivan.com;balakrishna.chottanahalli@ujjivan.com;srinivas.govinda@ujjivan.com;shrungeshwara.cn@ujjivan.com;yathisha.hb@ujjivan.com;</v>
      </c>
      <c r="J367" s="77" t="s">
        <v>2971</v>
      </c>
      <c r="K367" s="77" t="s">
        <v>2976</v>
      </c>
    </row>
    <row r="368" spans="1:11" x14ac:dyDescent="0.25">
      <c r="A368" s="146" t="s">
        <v>454</v>
      </c>
      <c r="B368" s="75" t="s">
        <v>3229</v>
      </c>
      <c r="C368" s="75" t="s">
        <v>3988</v>
      </c>
      <c r="D368" s="76" t="s">
        <v>4371</v>
      </c>
      <c r="E368" s="77" t="s">
        <v>4309</v>
      </c>
      <c r="F368" s="77" t="s">
        <v>4709</v>
      </c>
      <c r="G368" s="77" t="s">
        <v>466</v>
      </c>
      <c r="H368" s="77" t="str">
        <f t="shared" si="5"/>
        <v>mahadevaswamy.jadeswamy@ujjivan.com;nagaraj.naik@ujjivan.com;balakrishna.chottanahalli@ujjivan.com;srinivas.govinda@ujjivan.com;shrungeshwara.cn@ujjivan.com;yathisha.hb@ujjivan.com;</v>
      </c>
      <c r="J368" s="77" t="s">
        <v>2971</v>
      </c>
      <c r="K368" s="77" t="s">
        <v>2976</v>
      </c>
    </row>
    <row r="369" spans="1:11" x14ac:dyDescent="0.25">
      <c r="A369" s="146" t="s">
        <v>457</v>
      </c>
      <c r="B369" s="75" t="s">
        <v>3230</v>
      </c>
      <c r="C369" s="75" t="s">
        <v>3989</v>
      </c>
      <c r="D369" s="76" t="s">
        <v>3591</v>
      </c>
      <c r="E369" s="77" t="s">
        <v>4710</v>
      </c>
      <c r="F369" s="77" t="s">
        <v>4523</v>
      </c>
      <c r="G369" s="77" t="s">
        <v>447</v>
      </c>
      <c r="H369" s="77" t="str">
        <f t="shared" si="5"/>
        <v>sakthivelu.subramani@ujjivan.com;kalaivani.j@ujjivan.com;bharath.m@ujjivan.com;thiyagu.basavaraj@ujjivan.com;rajaguru.i@ujjivan.com;arasu.sokkalingam@ujjivan.com;</v>
      </c>
      <c r="J369" s="77" t="s">
        <v>2973</v>
      </c>
      <c r="K369" s="77" t="s">
        <v>2977</v>
      </c>
    </row>
    <row r="370" spans="1:11" x14ac:dyDescent="0.25">
      <c r="A370" s="146" t="s">
        <v>458</v>
      </c>
      <c r="B370" s="75" t="s">
        <v>3231</v>
      </c>
      <c r="C370" s="75" t="s">
        <v>2877</v>
      </c>
      <c r="D370" s="76" t="s">
        <v>459</v>
      </c>
      <c r="E370" s="77" t="s">
        <v>4711</v>
      </c>
      <c r="F370" s="77" t="s">
        <v>4699</v>
      </c>
      <c r="G370" s="77" t="s">
        <v>427</v>
      </c>
      <c r="H370" s="77" t="str">
        <f t="shared" si="5"/>
        <v>narasimha.mudugere@ujjivan.com;balanayka.muthanayka@ujjivan.com;narasimha.murthy@ujjivan.com;ravichandra.mm@ujjivan.com;umamaheswari.s@ujjivan.com;allisab.j@ujjivan.com;</v>
      </c>
      <c r="J370" s="77" t="s">
        <v>2965</v>
      </c>
      <c r="K370" s="77" t="s">
        <v>2970</v>
      </c>
    </row>
    <row r="371" spans="1:11" x14ac:dyDescent="0.25">
      <c r="A371" s="146" t="s">
        <v>460</v>
      </c>
      <c r="B371" s="75" t="s">
        <v>3232</v>
      </c>
      <c r="C371" s="75" t="s">
        <v>2878</v>
      </c>
      <c r="D371" s="76" t="s">
        <v>4712</v>
      </c>
      <c r="E371" s="77" t="s">
        <v>4431</v>
      </c>
      <c r="F371" s="77" t="s">
        <v>4709</v>
      </c>
      <c r="G371" s="77" t="s">
        <v>466</v>
      </c>
      <c r="H371" s="77" t="str">
        <f t="shared" si="5"/>
        <v>hemaprakash@ujjivan.com;vasanth.h@ujjivan.com;balakrishna.chottanahalli@ujjivan.com;srinivas.govinda@ujjivan.com;shrungeshwara.cn@ujjivan.com;yathisha.hb@ujjivan.com;</v>
      </c>
      <c r="J371" s="77" t="s">
        <v>2971</v>
      </c>
      <c r="K371" s="77" t="s">
        <v>2976</v>
      </c>
    </row>
    <row r="372" spans="1:11" x14ac:dyDescent="0.25">
      <c r="A372" s="146" t="s">
        <v>462</v>
      </c>
      <c r="B372" s="75" t="s">
        <v>3034</v>
      </c>
      <c r="C372" s="75" t="s">
        <v>3990</v>
      </c>
      <c r="D372" s="76" t="s">
        <v>3035</v>
      </c>
      <c r="E372" s="77" t="s">
        <v>4313</v>
      </c>
      <c r="F372" s="77" t="s">
        <v>443</v>
      </c>
      <c r="G372" s="77" t="s">
        <v>466</v>
      </c>
      <c r="H372" s="77" t="str">
        <f t="shared" si="5"/>
        <v>ashakiran.tp@ujjivan.com;naveen.malleshappa@ujjivan.com;moinuddin.m@ujjivan.com;srinivas.govinda@ujjivan.com;shrungeshwara.cn@ujjivan.com;sureshkumar.komali@ujjivan.com;</v>
      </c>
      <c r="J372" s="77" t="s">
        <v>2971</v>
      </c>
      <c r="K372" s="77" t="s">
        <v>2972</v>
      </c>
    </row>
    <row r="373" spans="1:11" x14ac:dyDescent="0.25">
      <c r="A373" s="146" t="s">
        <v>463</v>
      </c>
      <c r="B373" s="75" t="s">
        <v>464</v>
      </c>
      <c r="C373" s="75" t="s">
        <v>2879</v>
      </c>
      <c r="D373" s="76" t="s">
        <v>4395</v>
      </c>
      <c r="E373" s="77" t="s">
        <v>4314</v>
      </c>
      <c r="F373" s="77" t="s">
        <v>4524</v>
      </c>
      <c r="G373" s="77" t="s">
        <v>427</v>
      </c>
      <c r="H373" s="77" t="str">
        <f t="shared" si="5"/>
        <v>Sunitha.somashekar@ujjivan.com;baskaracharya.km@ujjivan.com;nagaraju.g@ujjivan.com;ravichandra.mm@ujjivan.com;suresh.poojary@ujjivan.com;padmaprabha.gm@ujjivan.com;</v>
      </c>
      <c r="J373" s="77" t="s">
        <v>2968</v>
      </c>
      <c r="K373" s="77" t="s">
        <v>2978</v>
      </c>
    </row>
    <row r="374" spans="1:11" x14ac:dyDescent="0.25">
      <c r="A374" s="146" t="s">
        <v>467</v>
      </c>
      <c r="B374" s="75" t="s">
        <v>3233</v>
      </c>
      <c r="C374" s="75" t="s">
        <v>3991</v>
      </c>
      <c r="D374" s="76" t="s">
        <v>3592</v>
      </c>
      <c r="E374" s="77" t="s">
        <v>4306</v>
      </c>
      <c r="F374" s="77" t="s">
        <v>4709</v>
      </c>
      <c r="G374" s="77" t="s">
        <v>466</v>
      </c>
      <c r="H374" s="77" t="str">
        <f t="shared" si="5"/>
        <v>mallappa.uppunasi@ujjivan.com;ravi.naik@ujjivan.com;balakrishna.chottanahalli@ujjivan.com;srinivas.govinda@ujjivan.com;shrungeshwara.cn@ujjivan.com;yathisha.hb@ujjivan.com;</v>
      </c>
      <c r="J374" s="77" t="s">
        <v>2971</v>
      </c>
      <c r="K374" s="77" t="s">
        <v>2976</v>
      </c>
    </row>
    <row r="375" spans="1:11" x14ac:dyDescent="0.25">
      <c r="A375" s="146" t="s">
        <v>468</v>
      </c>
      <c r="B375" s="75" t="s">
        <v>3234</v>
      </c>
      <c r="C375" s="75" t="s">
        <v>3992</v>
      </c>
      <c r="D375" s="76" t="s">
        <v>4716</v>
      </c>
      <c r="E375" s="77" t="s">
        <v>4316</v>
      </c>
      <c r="F375" s="77" t="s">
        <v>4709</v>
      </c>
      <c r="G375" s="77" t="s">
        <v>466</v>
      </c>
      <c r="H375" s="77" t="str">
        <f t="shared" si="5"/>
        <v>divya.k@ujjivan.com;dayananda.narasappa@ujjivan.com;balakrishna.chottanahalli@ujjivan.com;srinivas.govinda@ujjivan.com;shrungeshwara.cn@ujjivan.com;yathisha.hb@ujjivan.com;</v>
      </c>
      <c r="J375" s="77" t="s">
        <v>2971</v>
      </c>
      <c r="K375" s="77" t="s">
        <v>2976</v>
      </c>
    </row>
    <row r="376" spans="1:11" x14ac:dyDescent="0.25">
      <c r="A376" s="146" t="s">
        <v>469</v>
      </c>
      <c r="B376" s="75" t="s">
        <v>3235</v>
      </c>
      <c r="C376" s="75" t="s">
        <v>2883</v>
      </c>
      <c r="D376" s="76" t="s">
        <v>487</v>
      </c>
      <c r="E376" s="77" t="s">
        <v>4432</v>
      </c>
      <c r="F376" s="77" t="s">
        <v>443</v>
      </c>
      <c r="G376" s="77" t="s">
        <v>466</v>
      </c>
      <c r="H376" s="77" t="str">
        <f t="shared" si="5"/>
        <v>khajavali.m@ujjivan.com;shivananda.sv@ujjivan.com;moinuddin.m@ujjivan.com;srinivas.govinda@ujjivan.com;shrungeshwara.cn@ujjivan.com;sureshkumar.komali@ujjivan.com;</v>
      </c>
      <c r="J376" s="77" t="s">
        <v>2971</v>
      </c>
      <c r="K376" s="77" t="s">
        <v>2972</v>
      </c>
    </row>
    <row r="377" spans="1:11" x14ac:dyDescent="0.25">
      <c r="A377" s="146" t="s">
        <v>472</v>
      </c>
      <c r="B377" s="75" t="s">
        <v>3236</v>
      </c>
      <c r="C377" s="75" t="s">
        <v>3993</v>
      </c>
      <c r="D377" s="76" t="s">
        <v>3593</v>
      </c>
      <c r="E377" s="77" t="s">
        <v>4317</v>
      </c>
      <c r="F377" s="77" t="s">
        <v>473</v>
      </c>
      <c r="G377" s="77" t="s">
        <v>447</v>
      </c>
      <c r="H377" s="77" t="str">
        <f t="shared" si="5"/>
        <v>anandhan.pachiyappan@ujjivan.com;rajiv.gandhi@ujjivan.com;sudhakar.babu@ujjivan.com;thiyagu.basavaraj@ujjivan.com;rajaguru.i@ujjivan.com;muralidharan.n@ujjivan.com;</v>
      </c>
      <c r="J377" s="77" t="s">
        <v>2973</v>
      </c>
      <c r="K377" s="77" t="s">
        <v>2974</v>
      </c>
    </row>
    <row r="378" spans="1:11" x14ac:dyDescent="0.25">
      <c r="A378" s="146" t="s">
        <v>474</v>
      </c>
      <c r="B378" s="75" t="s">
        <v>475</v>
      </c>
      <c r="C378" s="75" t="s">
        <v>2880</v>
      </c>
      <c r="D378" s="76" t="s">
        <v>476</v>
      </c>
      <c r="E378" s="77" t="s">
        <v>4318</v>
      </c>
      <c r="F378" s="77" t="s">
        <v>4699</v>
      </c>
      <c r="G378" s="77" t="s">
        <v>427</v>
      </c>
      <c r="H378" s="77" t="str">
        <f t="shared" si="5"/>
        <v>narasimhaiah.yg@ujjivan.com;manohara.gr@ujjivan.com;narasimha.murthy@ujjivan.com;ravichandra.mm@ujjivan.com;umamaheswari.s@ujjivan.com;allisab.j@ujjivan.com;</v>
      </c>
      <c r="J378" s="77" t="s">
        <v>2965</v>
      </c>
      <c r="K378" s="77" t="s">
        <v>2970</v>
      </c>
    </row>
    <row r="379" spans="1:11" x14ac:dyDescent="0.25">
      <c r="A379" s="146" t="s">
        <v>477</v>
      </c>
      <c r="B379" s="75" t="s">
        <v>3237</v>
      </c>
      <c r="C379" s="75" t="s">
        <v>3994</v>
      </c>
      <c r="D379" s="76" t="s">
        <v>3594</v>
      </c>
      <c r="E379" s="77" t="s">
        <v>4433</v>
      </c>
      <c r="F379" s="77" t="s">
        <v>4521</v>
      </c>
      <c r="G379" s="77" t="s">
        <v>405</v>
      </c>
      <c r="H379" s="77" t="str">
        <f t="shared" si="5"/>
        <v>anilkumar.hanumantaraya@ujjivan.com;vijay.sudharshan@ujjivan.com;sandeep.jain@ujjivan.com;sachinkumar.kb@ujjivan.com;umamaheswari.s@ujjivan.com;anand.rajkumar@ujjivan.com;</v>
      </c>
      <c r="J379" s="77" t="s">
        <v>2965</v>
      </c>
      <c r="K379" s="77" t="s">
        <v>2966</v>
      </c>
    </row>
    <row r="380" spans="1:11" x14ac:dyDescent="0.25">
      <c r="A380" s="146" t="s">
        <v>478</v>
      </c>
      <c r="B380" s="75" t="s">
        <v>3238</v>
      </c>
      <c r="C380" s="75" t="s">
        <v>3995</v>
      </c>
      <c r="D380" s="76" t="s">
        <v>4718</v>
      </c>
      <c r="E380" s="77" t="s">
        <v>4320</v>
      </c>
      <c r="F380" s="77" t="s">
        <v>4709</v>
      </c>
      <c r="G380" s="77" t="s">
        <v>466</v>
      </c>
      <c r="H380" s="77" t="str">
        <f t="shared" si="5"/>
        <v>sangamesha.basavaraj@ujjivan.com;basavaraju.md@ujjivan.com;balakrishna.chottanahalli@ujjivan.com;srinivas.govinda@ujjivan.com;shrungeshwara.cn@ujjivan.com;yathisha.hb@ujjivan.com;</v>
      </c>
      <c r="J380" s="77" t="s">
        <v>2971</v>
      </c>
      <c r="K380" s="77" t="s">
        <v>2976</v>
      </c>
    </row>
    <row r="381" spans="1:11" x14ac:dyDescent="0.25">
      <c r="A381" s="146" t="s">
        <v>850</v>
      </c>
      <c r="B381" s="75" t="s">
        <v>3239</v>
      </c>
      <c r="C381" s="75" t="s">
        <v>3996</v>
      </c>
      <c r="D381" s="76" t="s">
        <v>4310</v>
      </c>
      <c r="E381" s="77" t="s">
        <v>4384</v>
      </c>
      <c r="F381" s="77" t="s">
        <v>4523</v>
      </c>
      <c r="G381" s="77" t="s">
        <v>447</v>
      </c>
      <c r="H381" s="77" t="str">
        <f t="shared" si="5"/>
        <v>muthuraman.a@ujjivan.com;arun.r@ujjivan.com;bharath.m@ujjivan.com;thiyagu.basavaraj@ujjivan.com;rajaguru.i@ujjivan.com;arasu.sokkalingam@ujjivan.com;</v>
      </c>
      <c r="J381" s="77" t="s">
        <v>2973</v>
      </c>
      <c r="K381" s="77" t="s">
        <v>2977</v>
      </c>
    </row>
    <row r="382" spans="1:11" x14ac:dyDescent="0.25">
      <c r="A382" s="146" t="s">
        <v>479</v>
      </c>
      <c r="B382" s="75" t="s">
        <v>3240</v>
      </c>
      <c r="C382" s="75" t="s">
        <v>2914</v>
      </c>
      <c r="D382" s="76" t="s">
        <v>554</v>
      </c>
      <c r="E382" s="77" t="s">
        <v>4370</v>
      </c>
      <c r="F382" s="77" t="s">
        <v>4524</v>
      </c>
      <c r="G382" s="77" t="s">
        <v>427</v>
      </c>
      <c r="H382" s="77" t="str">
        <f t="shared" si="5"/>
        <v>chandrashekar.k@ujjivan.com;manjunatha.r@ujjivan.com;nagaraju.g@ujjivan.com;ravichandra.mm@ujjivan.com;suresh.poojary@ujjivan.com;naveen.upadhye@ujjvan.com;</v>
      </c>
      <c r="J382" s="77" t="s">
        <v>2968</v>
      </c>
      <c r="K382" s="77" t="s">
        <v>2979</v>
      </c>
    </row>
    <row r="383" spans="1:11" x14ac:dyDescent="0.25">
      <c r="A383" s="146" t="s">
        <v>481</v>
      </c>
      <c r="B383" s="75" t="s">
        <v>3241</v>
      </c>
      <c r="C383" s="75" t="s">
        <v>3997</v>
      </c>
      <c r="D383" s="76" t="s">
        <v>4335</v>
      </c>
      <c r="E383" s="77" t="s">
        <v>4323</v>
      </c>
      <c r="F383" s="77" t="s">
        <v>473</v>
      </c>
      <c r="G383" s="77" t="s">
        <v>447</v>
      </c>
      <c r="H383" s="77" t="str">
        <f t="shared" si="5"/>
        <v>manjunatha.ca@ujjivan.com;measak.kirubhakaran@ujjivan.com;sudhakar.babu@ujjivan.com;thiyagu.basavaraj@ujjivan.com;rajaguru.i@ujjivan.com;muralidharan.n@ujjivan.com;</v>
      </c>
      <c r="J383" s="77" t="s">
        <v>2973</v>
      </c>
      <c r="K383" s="77" t="s">
        <v>2974</v>
      </c>
    </row>
    <row r="384" spans="1:11" x14ac:dyDescent="0.25">
      <c r="A384" s="146" t="s">
        <v>482</v>
      </c>
      <c r="B384" s="75" t="s">
        <v>483</v>
      </c>
      <c r="C384" s="75" t="s">
        <v>2882</v>
      </c>
      <c r="D384" s="76" t="s">
        <v>484</v>
      </c>
      <c r="E384" s="77" t="s">
        <v>4324</v>
      </c>
      <c r="F384" s="77" t="s">
        <v>4709</v>
      </c>
      <c r="G384" s="77" t="s">
        <v>466</v>
      </c>
      <c r="H384" s="77" t="str">
        <f t="shared" si="5"/>
        <v>vasanthkumar.e@ujjivan.com;shankar.hg@ujjivan.com;balakrishna.chottanahalli@ujjivan.com;srinivas.govinda@ujjivan.com;shrungeshwara.cn@ujjivan.com;yathisha.hb@ujjivan.com;</v>
      </c>
      <c r="J384" s="77" t="s">
        <v>2971</v>
      </c>
      <c r="K384" s="77" t="s">
        <v>2976</v>
      </c>
    </row>
    <row r="385" spans="1:11" x14ac:dyDescent="0.25">
      <c r="A385" s="146" t="s">
        <v>485</v>
      </c>
      <c r="B385" s="75" t="s">
        <v>3242</v>
      </c>
      <c r="C385" s="75" t="s">
        <v>3998</v>
      </c>
      <c r="D385" s="76" t="s">
        <v>4719</v>
      </c>
      <c r="E385" s="77" t="s">
        <v>4325</v>
      </c>
      <c r="F385" s="77" t="s">
        <v>2859</v>
      </c>
      <c r="G385" s="77" t="s">
        <v>405</v>
      </c>
      <c r="H385" s="77" t="str">
        <f t="shared" si="5"/>
        <v>raju.kr@ujjivan.com;ramajayam.b@ujjivan.com;vijaykumar.g@ujjivan.com;sachinkumar.kb@ujjivan.com;shekhar.poojary@ujjivan.com;kirankumar.ks@ujjivan.com;</v>
      </c>
      <c r="J385" s="77" t="s">
        <v>2962</v>
      </c>
      <c r="K385" s="77" t="s">
        <v>2963</v>
      </c>
    </row>
    <row r="386" spans="1:11" x14ac:dyDescent="0.25">
      <c r="A386" s="146" t="s">
        <v>486</v>
      </c>
      <c r="B386" s="75" t="s">
        <v>3243</v>
      </c>
      <c r="C386" s="75" t="s">
        <v>3999</v>
      </c>
      <c r="D386" s="76" t="s">
        <v>3599</v>
      </c>
      <c r="E386" s="77" t="s">
        <v>4434</v>
      </c>
      <c r="F386" s="77" t="s">
        <v>4707</v>
      </c>
      <c r="G386" s="77" t="s">
        <v>466</v>
      </c>
      <c r="H386" s="77" t="str">
        <f t="shared" si="5"/>
        <v>mallappa.balaraddi@ujjivan.com;prashant.hattiholi@ujjivan.com;basavaraj.yadoor@ujjivan.com;srinivas.govinda@ujjivan.com;shrungeshwara.cn@ujjivan.com;sureshkumar.komali@ujjivan.com;</v>
      </c>
      <c r="J386" s="77" t="s">
        <v>2971</v>
      </c>
      <c r="K386" s="77" t="s">
        <v>2972</v>
      </c>
    </row>
    <row r="387" spans="1:11" x14ac:dyDescent="0.25">
      <c r="A387" s="146" t="s">
        <v>488</v>
      </c>
      <c r="B387" s="75" t="s">
        <v>848</v>
      </c>
      <c r="C387" s="75" t="s">
        <v>2920</v>
      </c>
      <c r="D387" s="76" t="s">
        <v>3600</v>
      </c>
      <c r="E387" s="77" t="s">
        <v>4327</v>
      </c>
      <c r="F387" s="77" t="s">
        <v>4707</v>
      </c>
      <c r="G387" s="77" t="s">
        <v>466</v>
      </c>
      <c r="H387" s="77" t="str">
        <f t="shared" ref="H387:H450" si="6">CONCATENATE(D387,";",E387,";",F387,";",G387,";",J387,";",K387,";")</f>
        <v>shivanand.deshanur@ujjivan.com;ramesh.dasar@ujjivan.com;basavaraj.yadoor@ujjivan.com;srinivas.govinda@ujjivan.com;shrungeshwara.cn@ujjivan.com;sureshkumar.komali@ujjivan.com;</v>
      </c>
      <c r="J387" s="77" t="s">
        <v>2971</v>
      </c>
      <c r="K387" s="77" t="s">
        <v>2972</v>
      </c>
    </row>
    <row r="388" spans="1:11" x14ac:dyDescent="0.25">
      <c r="A388" s="146" t="s">
        <v>1584</v>
      </c>
      <c r="B388" s="75" t="s">
        <v>3537</v>
      </c>
      <c r="C388" s="75" t="s">
        <v>4000</v>
      </c>
      <c r="D388" s="76" t="s">
        <v>3754</v>
      </c>
      <c r="E388" s="77" t="s">
        <v>4720</v>
      </c>
      <c r="F388" s="77" t="s">
        <v>4523</v>
      </c>
      <c r="G388" s="77" t="s">
        <v>447</v>
      </c>
      <c r="H388" s="77" t="str">
        <f t="shared" si="6"/>
        <v>rajesh.s607@ujjivan.com;vedhanayagam.j@ujjivan.com;bharath.m@ujjivan.com;thiyagu.basavaraj@ujjivan.com;rajaguru.i@ujjivan.com;arasu.sokkalingam@ujjivan.com;</v>
      </c>
      <c r="J388" s="77" t="s">
        <v>2973</v>
      </c>
      <c r="K388" s="77" t="s">
        <v>2977</v>
      </c>
    </row>
    <row r="389" spans="1:11" x14ac:dyDescent="0.25">
      <c r="A389" s="146" t="s">
        <v>490</v>
      </c>
      <c r="B389" s="75" t="s">
        <v>851</v>
      </c>
      <c r="C389" s="75" t="s">
        <v>2884</v>
      </c>
      <c r="D389" s="76" t="s">
        <v>852</v>
      </c>
      <c r="E389" s="77" t="s">
        <v>4329</v>
      </c>
      <c r="F389" s="77" t="s">
        <v>4707</v>
      </c>
      <c r="G389" s="77" t="s">
        <v>466</v>
      </c>
      <c r="H389" s="77" t="str">
        <f t="shared" si="6"/>
        <v>govind.malagimani@ujjivan.com;sabanna.telasang@ujjivan.com;basavaraj.yadoor@ujjivan.com;srinivas.govinda@ujjivan.com;shekhar.poojary@ujjivan.com;basantakumar.pasupalak@ujjivan.com;</v>
      </c>
      <c r="J389" s="77" t="s">
        <v>2962</v>
      </c>
      <c r="K389" s="77" t="s">
        <v>2975</v>
      </c>
    </row>
    <row r="390" spans="1:11" x14ac:dyDescent="0.25">
      <c r="A390" s="146" t="s">
        <v>1592</v>
      </c>
      <c r="B390" s="75" t="s">
        <v>3538</v>
      </c>
      <c r="C390" s="75" t="s">
        <v>2936</v>
      </c>
      <c r="D390" s="76" t="s">
        <v>2699</v>
      </c>
      <c r="E390" s="77" t="s">
        <v>4330</v>
      </c>
      <c r="F390" s="77" t="s">
        <v>4523</v>
      </c>
      <c r="G390" s="77" t="s">
        <v>447</v>
      </c>
      <c r="H390" s="77" t="str">
        <f t="shared" si="6"/>
        <v>mubarak.sardhar@ujjivan.com;kumaresan.p@ujjivan.com;bharath.m@ujjivan.com;thiyagu.basavaraj@ujjivan.com;rajaguru.i@ujjivan.com;arasu.sokkalingam@ujjivan.com;</v>
      </c>
      <c r="J390" s="77" t="s">
        <v>2973</v>
      </c>
      <c r="K390" s="77" t="s">
        <v>2977</v>
      </c>
    </row>
    <row r="391" spans="1:11" x14ac:dyDescent="0.25">
      <c r="A391" s="146" t="s">
        <v>491</v>
      </c>
      <c r="B391" s="75" t="s">
        <v>3244</v>
      </c>
      <c r="C391" s="75" t="s">
        <v>4001</v>
      </c>
      <c r="D391" s="76" t="s">
        <v>4319</v>
      </c>
      <c r="E391" s="77" t="s">
        <v>4331</v>
      </c>
      <c r="F391" s="77" t="s">
        <v>4521</v>
      </c>
      <c r="G391" s="77" t="s">
        <v>405</v>
      </c>
      <c r="H391" s="77" t="str">
        <f t="shared" si="6"/>
        <v>gnanesh.chandrashekar@ujjivan.com;kamala.v@ujjivan.com;sandeep.jain@ujjivan.com;sachinkumar.kb@ujjivan.com;shekhar.poojary@ujjivan.com;vineethkumar.v@ujjivan.com;</v>
      </c>
      <c r="J391" s="77" t="s">
        <v>2962</v>
      </c>
      <c r="K391" s="77" t="s">
        <v>2964</v>
      </c>
    </row>
    <row r="392" spans="1:11" x14ac:dyDescent="0.25">
      <c r="A392" s="146" t="s">
        <v>492</v>
      </c>
      <c r="B392" s="75" t="s">
        <v>3245</v>
      </c>
      <c r="C392" s="75" t="s">
        <v>4002</v>
      </c>
      <c r="D392" s="76" t="s">
        <v>3602</v>
      </c>
      <c r="E392" s="77" t="s">
        <v>4435</v>
      </c>
      <c r="F392" s="77" t="s">
        <v>473</v>
      </c>
      <c r="G392" s="77" t="s">
        <v>447</v>
      </c>
      <c r="H392" s="77" t="str">
        <f t="shared" si="6"/>
        <v>prabakaran.mk@ujjivan.com;gomathi.thangaraj@ujjivan.com;sudhakar.babu@ujjivan.com;thiyagu.basavaraj@ujjivan.com;rajaguru.i@ujjivan.com;muralidharan.n@ujjivan.com;</v>
      </c>
      <c r="J392" s="77" t="s">
        <v>2973</v>
      </c>
      <c r="K392" s="71" t="s">
        <v>2974</v>
      </c>
    </row>
    <row r="393" spans="1:11" x14ac:dyDescent="0.25">
      <c r="A393" s="146" t="s">
        <v>494</v>
      </c>
      <c r="B393" s="75" t="s">
        <v>3246</v>
      </c>
      <c r="C393" s="75" t="s">
        <v>4003</v>
      </c>
      <c r="D393" s="76" t="s">
        <v>3603</v>
      </c>
      <c r="E393" s="77" t="s">
        <v>4333</v>
      </c>
      <c r="F393" s="77" t="s">
        <v>4523</v>
      </c>
      <c r="G393" s="77" t="s">
        <v>447</v>
      </c>
      <c r="H393" s="77" t="str">
        <f t="shared" si="6"/>
        <v>gokula.kannan@ujjivan.com;parvathraj.t@ujjivan.com;bharath.m@ujjivan.com;thiyagu.basavaraj@ujjivan.com;rajaguru.i@ujjivan.com;arasu.sokkalingam@ujjivan.com;</v>
      </c>
      <c r="J393" s="77" t="s">
        <v>2973</v>
      </c>
      <c r="K393" s="77" t="s">
        <v>2977</v>
      </c>
    </row>
    <row r="394" spans="1:11" x14ac:dyDescent="0.25">
      <c r="A394" s="146" t="s">
        <v>495</v>
      </c>
      <c r="B394" s="75" t="s">
        <v>3247</v>
      </c>
      <c r="C394" s="75" t="s">
        <v>2905</v>
      </c>
      <c r="D394" s="76" t="s">
        <v>2687</v>
      </c>
      <c r="E394" s="77" t="s">
        <v>4436</v>
      </c>
      <c r="F394" s="77" t="s">
        <v>2904</v>
      </c>
      <c r="G394" s="77" t="s">
        <v>497</v>
      </c>
      <c r="H394" s="77" t="str">
        <f t="shared" si="6"/>
        <v>nandhakumar.m@ujjivan.com;ramakrishnan.r@ujjivan.com;sivakumar.h@ujjivan.com;sridharan.manoharan@ujjivan.com;boopathy.p@ujjivan.com;anand.ravindran@ujjivan.com;</v>
      </c>
      <c r="J394" s="77" t="s">
        <v>2981</v>
      </c>
      <c r="K394" s="77" t="s">
        <v>2982</v>
      </c>
    </row>
    <row r="395" spans="1:11" x14ac:dyDescent="0.25">
      <c r="A395" s="146" t="s">
        <v>499</v>
      </c>
      <c r="B395" s="75" t="s">
        <v>3248</v>
      </c>
      <c r="C395" s="75" t="s">
        <v>4004</v>
      </c>
      <c r="D395" s="76" t="s">
        <v>3604</v>
      </c>
      <c r="E395" s="77" t="s">
        <v>4722</v>
      </c>
      <c r="F395" s="77" t="s">
        <v>473</v>
      </c>
      <c r="G395" s="77" t="s">
        <v>447</v>
      </c>
      <c r="H395" s="77" t="str">
        <f t="shared" si="6"/>
        <v>mahakrishnan.a@ujjivan.com;venkatachalam@ujjivan.com;sudhakar.babu@ujjivan.com;thiyagu.basavaraj@ujjivan.com;rajaguru.i@ujjivan.com;muralidharan.n@ujjivan.com;</v>
      </c>
      <c r="J395" s="77" t="s">
        <v>2973</v>
      </c>
      <c r="K395" s="77" t="s">
        <v>2974</v>
      </c>
    </row>
    <row r="396" spans="1:11" x14ac:dyDescent="0.25">
      <c r="A396" s="146" t="s">
        <v>500</v>
      </c>
      <c r="B396" s="75" t="s">
        <v>3249</v>
      </c>
      <c r="C396" s="75" t="s">
        <v>2887</v>
      </c>
      <c r="D396" s="76" t="s">
        <v>501</v>
      </c>
      <c r="E396" s="77" t="s">
        <v>4724</v>
      </c>
      <c r="F396" s="77" t="s">
        <v>4699</v>
      </c>
      <c r="G396" s="77" t="s">
        <v>427</v>
      </c>
      <c r="H396" s="77" t="str">
        <f t="shared" si="6"/>
        <v>hanumanthaiah.hanumaiah@ujjivan.com;palaksha.hb@ujjivan.com;narasimha.murthy@ujjivan.com;ravichandra.mm@ujjivan.com;suresh.poojary@ujjivan.com;harshith.hn@ujjivan.com;</v>
      </c>
      <c r="J396" s="77" t="s">
        <v>2968</v>
      </c>
      <c r="K396" s="77" t="s">
        <v>2969</v>
      </c>
    </row>
    <row r="397" spans="1:11" x14ac:dyDescent="0.25">
      <c r="A397" s="146" t="s">
        <v>502</v>
      </c>
      <c r="B397" s="75" t="s">
        <v>503</v>
      </c>
      <c r="C397" s="75" t="s">
        <v>2888</v>
      </c>
      <c r="D397" s="76" t="s">
        <v>504</v>
      </c>
      <c r="E397" s="77" t="s">
        <v>4337</v>
      </c>
      <c r="F397" s="77" t="s">
        <v>4707</v>
      </c>
      <c r="G397" s="77" t="s">
        <v>466</v>
      </c>
      <c r="H397" s="77" t="str">
        <f t="shared" si="6"/>
        <v>abdulrehaman.mulla@ujjivan.com;uday.morkar@ujjivan.com;basavaraj.yadoor@ujjivan.com;srinivas.govinda@ujjivan.com;shekhar.poojary@ujjivan.com;basantakumar.pasupalak@ujjivan.com;</v>
      </c>
      <c r="J397" s="77" t="s">
        <v>2962</v>
      </c>
      <c r="K397" s="77" t="s">
        <v>2975</v>
      </c>
    </row>
    <row r="398" spans="1:11" x14ac:dyDescent="0.25">
      <c r="A398" s="146" t="s">
        <v>505</v>
      </c>
      <c r="B398" s="75" t="s">
        <v>3250</v>
      </c>
      <c r="C398" s="75" t="s">
        <v>2889</v>
      </c>
      <c r="D398" s="76" t="s">
        <v>2890</v>
      </c>
      <c r="E398" s="77" t="s">
        <v>4437</v>
      </c>
      <c r="F398" s="77" t="s">
        <v>4523</v>
      </c>
      <c r="G398" s="77" t="s">
        <v>447</v>
      </c>
      <c r="H398" s="77" t="str">
        <f t="shared" si="6"/>
        <v>babu.vinayakumar@ujjivan.com;thirupathi.p@ujjivan.com;bharath.m@ujjivan.com;thiyagu.basavaraj@ujjivan.com;rajaguru.i@ujjivan.com;arasu.sokkalingam@ujjivan.com;</v>
      </c>
      <c r="J398" s="77" t="s">
        <v>2973</v>
      </c>
      <c r="K398" s="77" t="s">
        <v>2977</v>
      </c>
    </row>
    <row r="399" spans="1:11" x14ac:dyDescent="0.25">
      <c r="A399" s="146" t="s">
        <v>506</v>
      </c>
      <c r="B399" s="75" t="s">
        <v>3251</v>
      </c>
      <c r="C399" s="75" t="s">
        <v>4005</v>
      </c>
      <c r="D399" s="76" t="s">
        <v>3605</v>
      </c>
      <c r="E399" s="77" t="s">
        <v>4339</v>
      </c>
      <c r="F399" s="77" t="s">
        <v>473</v>
      </c>
      <c r="G399" s="77" t="s">
        <v>447</v>
      </c>
      <c r="H399" s="77" t="str">
        <f t="shared" si="6"/>
        <v>mohamed.thasthageer@ujjivan.com;krishnamurthy.chinnan@ujjivan.com;sudhakar.babu@ujjivan.com;thiyagu.basavaraj@ujjivan.com;rajaguru.i@ujjivan.com;muralidharan.n@ujjivan.com;</v>
      </c>
      <c r="J399" s="77" t="s">
        <v>2973</v>
      </c>
      <c r="K399" s="71" t="s">
        <v>2974</v>
      </c>
    </row>
    <row r="400" spans="1:11" x14ac:dyDescent="0.25">
      <c r="A400" s="146" t="s">
        <v>507</v>
      </c>
      <c r="B400" s="75" t="s">
        <v>3252</v>
      </c>
      <c r="C400" s="75" t="s">
        <v>4006</v>
      </c>
      <c r="D400" s="76" t="s">
        <v>3606</v>
      </c>
      <c r="E400" s="77" t="s">
        <v>4340</v>
      </c>
      <c r="F400" s="77" t="s">
        <v>473</v>
      </c>
      <c r="G400" s="77" t="s">
        <v>447</v>
      </c>
      <c r="H400" s="77" t="str">
        <f t="shared" si="6"/>
        <v>mohankumar.ramasamy@ujjivan.com;kalaigan.a@ujjivan.com;sudhakar.babu@ujjivan.com;thiyagu.basavaraj@ujjivan.com;rajaguru.i@ujjivan.com;muralidharan.n@ujjivan.com;</v>
      </c>
      <c r="J400" s="77" t="s">
        <v>2973</v>
      </c>
      <c r="K400" s="71" t="s">
        <v>2974</v>
      </c>
    </row>
    <row r="401" spans="1:11" x14ac:dyDescent="0.25">
      <c r="A401" s="146" t="s">
        <v>509</v>
      </c>
      <c r="B401" s="75" t="s">
        <v>3253</v>
      </c>
      <c r="C401" s="75" t="s">
        <v>4007</v>
      </c>
      <c r="D401" s="76" t="s">
        <v>3607</v>
      </c>
      <c r="E401" s="77" t="s">
        <v>4341</v>
      </c>
      <c r="F401" s="77" t="s">
        <v>473</v>
      </c>
      <c r="G401" s="77" t="s">
        <v>447</v>
      </c>
      <c r="H401" s="77" t="str">
        <f t="shared" si="6"/>
        <v>ramamoorthy.k@ujjivan.com;sathiskumar.r@ujjivan.com;sudhakar.babu@ujjivan.com;thiyagu.basavaraj@ujjivan.com;rajaguru.i@ujjivan.com;muralidharan.n@ujjivan.com;</v>
      </c>
      <c r="J401" s="77" t="s">
        <v>2973</v>
      </c>
      <c r="K401" s="71" t="s">
        <v>2974</v>
      </c>
    </row>
    <row r="402" spans="1:11" x14ac:dyDescent="0.25">
      <c r="A402" s="146" t="s">
        <v>510</v>
      </c>
      <c r="B402" s="75" t="s">
        <v>3254</v>
      </c>
      <c r="C402" s="75" t="s">
        <v>4008</v>
      </c>
      <c r="D402" s="76" t="s">
        <v>4726</v>
      </c>
      <c r="E402" s="77" t="s">
        <v>4727</v>
      </c>
      <c r="F402" s="77" t="s">
        <v>4525</v>
      </c>
      <c r="G402" s="77" t="s">
        <v>4555</v>
      </c>
      <c r="H402" s="77" t="str">
        <f t="shared" si="6"/>
        <v>Kathirvel.Sagadevan &lt;kathirvel.sagadevan@ujjivan.com&gt;;M Ravi Chandran &lt;ravi.chandran@ujjivan.com&gt;;balamurugan.raju@ujjivan.com;gowtham@ujjivan.com;rajaguru.i@ujjivan.com;muralidharan.n@ujjivan.com;</v>
      </c>
      <c r="J402" s="77" t="s">
        <v>2973</v>
      </c>
      <c r="K402" s="71" t="s">
        <v>2974</v>
      </c>
    </row>
    <row r="403" spans="1:11" x14ac:dyDescent="0.25">
      <c r="A403" s="146" t="s">
        <v>511</v>
      </c>
      <c r="B403" s="75" t="s">
        <v>3255</v>
      </c>
      <c r="C403" s="75" t="s">
        <v>2886</v>
      </c>
      <c r="D403" s="76" t="s">
        <v>496</v>
      </c>
      <c r="E403" s="77" t="s">
        <v>4343</v>
      </c>
      <c r="F403" s="77" t="s">
        <v>2904</v>
      </c>
      <c r="G403" s="77" t="s">
        <v>497</v>
      </c>
      <c r="H403" s="77" t="str">
        <f t="shared" si="6"/>
        <v>srinivasan.ponnuswamy@ujjivan.com;selva.ganapathi@ujjivan.com;sivakumar.h@ujjivan.com;sridharan.manoharan@ujjivan.com;boopathy.p@ujjivan.com;anand.ravindran@ujjivan.com;</v>
      </c>
      <c r="J403" s="77" t="s">
        <v>2981</v>
      </c>
      <c r="K403" s="77" t="s">
        <v>2982</v>
      </c>
    </row>
    <row r="404" spans="1:11" x14ac:dyDescent="0.25">
      <c r="A404" s="146" t="s">
        <v>512</v>
      </c>
      <c r="B404" s="75" t="s">
        <v>3256</v>
      </c>
      <c r="C404" s="75" t="s">
        <v>4009</v>
      </c>
      <c r="D404" s="76" t="s">
        <v>3609</v>
      </c>
      <c r="E404" s="77" t="s">
        <v>4728</v>
      </c>
      <c r="F404" s="77" t="s">
        <v>2904</v>
      </c>
      <c r="G404" s="77" t="s">
        <v>497</v>
      </c>
      <c r="H404" s="77" t="str">
        <f t="shared" si="6"/>
        <v>manikandan.n@ujjivan.com;thiyagu.rajendran@ujjivan.com;sivakumar.h@ujjivan.com;sridharan.manoharan@ujjivan.com;boopathy.p@ujjivan.com;anand.ravindran@ujjivan.com;</v>
      </c>
      <c r="J404" s="77" t="s">
        <v>2981</v>
      </c>
      <c r="K404" s="77" t="s">
        <v>2982</v>
      </c>
    </row>
    <row r="405" spans="1:11" x14ac:dyDescent="0.25">
      <c r="A405" s="146" t="s">
        <v>515</v>
      </c>
      <c r="B405" s="75" t="s">
        <v>3257</v>
      </c>
      <c r="C405" s="75" t="s">
        <v>4010</v>
      </c>
      <c r="D405" s="76" t="s">
        <v>4359</v>
      </c>
      <c r="E405" s="77" t="s">
        <v>4730</v>
      </c>
      <c r="F405" s="77" t="s">
        <v>2904</v>
      </c>
      <c r="G405" s="77" t="s">
        <v>497</v>
      </c>
      <c r="H405" s="77" t="str">
        <f t="shared" si="6"/>
        <v>kannan.b@ujjivan.com;prasanth.b@ujjivan.com;sivakumar.h@ujjivan.com;sridharan.manoharan@ujjivan.com;boopathy.p@ujjivan.com;vijaya.prakash@ujjivan.com;</v>
      </c>
      <c r="J405" s="77" t="s">
        <v>2981</v>
      </c>
      <c r="K405" s="77" t="s">
        <v>2983</v>
      </c>
    </row>
    <row r="406" spans="1:11" x14ac:dyDescent="0.25">
      <c r="A406" s="146" t="s">
        <v>516</v>
      </c>
      <c r="B406" s="75" t="s">
        <v>3258</v>
      </c>
      <c r="C406" s="75" t="s">
        <v>2885</v>
      </c>
      <c r="D406" s="76" t="s">
        <v>493</v>
      </c>
      <c r="E406" s="77" t="s">
        <v>4731</v>
      </c>
      <c r="F406" s="77" t="s">
        <v>4526</v>
      </c>
      <c r="G406" s="77" t="s">
        <v>4555</v>
      </c>
      <c r="H406" s="77" t="str">
        <f t="shared" si="6"/>
        <v>nagaraja.paneer@ujjivan.com;sethupandiaraj.m@ujjivan.com;packiaraj.k@ujjivan.com;gowtham@ujjivan.com;boopathy.p@ujjivan.com;anand.ravindran@ujjivan.com;</v>
      </c>
      <c r="J406" s="77" t="s">
        <v>2981</v>
      </c>
      <c r="K406" s="77" t="s">
        <v>2982</v>
      </c>
    </row>
    <row r="407" spans="1:11" x14ac:dyDescent="0.25">
      <c r="A407" s="146" t="s">
        <v>517</v>
      </c>
      <c r="B407" s="75" t="s">
        <v>3259</v>
      </c>
      <c r="C407" s="75" t="s">
        <v>4011</v>
      </c>
      <c r="D407" s="76" t="s">
        <v>3611</v>
      </c>
      <c r="E407" s="77" t="s">
        <v>4732</v>
      </c>
      <c r="F407" s="77" t="s">
        <v>4526</v>
      </c>
      <c r="G407" s="77" t="s">
        <v>4555</v>
      </c>
      <c r="H407" s="77" t="str">
        <f t="shared" si="6"/>
        <v>siva.karuppiah@ujjivan.com;navas.sha703@ujjivan.com;packiaraj.k@ujjivan.com;gowtham@ujjivan.com;boopathy.p@ujjivan.com;anand.ravindran@ujjivan.com;</v>
      </c>
      <c r="J407" s="77" t="s">
        <v>2981</v>
      </c>
      <c r="K407" s="77" t="s">
        <v>2982</v>
      </c>
    </row>
    <row r="408" spans="1:11" x14ac:dyDescent="0.25">
      <c r="A408" s="146" t="s">
        <v>519</v>
      </c>
      <c r="B408" s="75" t="s">
        <v>520</v>
      </c>
      <c r="C408" s="75" t="s">
        <v>2894</v>
      </c>
      <c r="D408" s="76" t="s">
        <v>3755</v>
      </c>
      <c r="E408" s="77" t="s">
        <v>4347</v>
      </c>
      <c r="F408" s="77" t="s">
        <v>4527</v>
      </c>
      <c r="G408" s="77" t="s">
        <v>4556</v>
      </c>
      <c r="H408" s="77" t="str">
        <f t="shared" si="6"/>
        <v>sijil.babu@ujjivan.com;jinesh.mohanan@ujjivan.com;mahesh.mohan@ujjivan.com;joshua.raja@ujjivan.com;boopathy.p@ujjivan.com;vijayakumar.kp@ujjivan.com;</v>
      </c>
      <c r="J408" s="77" t="s">
        <v>2981</v>
      </c>
      <c r="K408" s="77" t="s">
        <v>2984</v>
      </c>
    </row>
    <row r="409" spans="1:11" x14ac:dyDescent="0.25">
      <c r="A409" s="146" t="s">
        <v>523</v>
      </c>
      <c r="B409" s="75" t="s">
        <v>3260</v>
      </c>
      <c r="C409" s="75" t="s">
        <v>4012</v>
      </c>
      <c r="D409" s="76" t="s">
        <v>3612</v>
      </c>
      <c r="E409" s="77" t="s">
        <v>4733</v>
      </c>
      <c r="F409" s="77" t="s">
        <v>4527</v>
      </c>
      <c r="G409" s="77" t="s">
        <v>4556</v>
      </c>
      <c r="H409" s="77" t="str">
        <f t="shared" si="6"/>
        <v>sunil.cj@ujjivan.com;ANDRIOSAN.KF@UJJIVAN.COM;mahesh.mohan@ujjivan.com;joshua.raja@ujjivan.com;boopathy.p@ujjivan.com;vijayakumar.kp@ujjivan.com;</v>
      </c>
      <c r="J409" s="77" t="s">
        <v>2981</v>
      </c>
      <c r="K409" s="77" t="s">
        <v>2984</v>
      </c>
    </row>
    <row r="410" spans="1:11" x14ac:dyDescent="0.25">
      <c r="A410" s="146" t="s">
        <v>524</v>
      </c>
      <c r="B410" s="75" t="s">
        <v>3261</v>
      </c>
      <c r="C410" s="75" t="s">
        <v>2895</v>
      </c>
      <c r="D410" s="76" t="s">
        <v>4349</v>
      </c>
      <c r="E410" s="77" t="s">
        <v>4334</v>
      </c>
      <c r="F410" s="77" t="s">
        <v>4526</v>
      </c>
      <c r="G410" s="77" t="s">
        <v>4555</v>
      </c>
      <c r="H410" s="77" t="str">
        <f t="shared" si="6"/>
        <v>g.suresh@ujjivan.com;alagesan.marimuthu@ujjivan.com;packiaraj.k@ujjivan.com;gowtham@ujjivan.com;jothy.vasagam@ujjivan.com;balamurugan.subburaj@ujjivan.com;</v>
      </c>
      <c r="J410" s="77" t="s">
        <v>2985</v>
      </c>
      <c r="K410" s="77" t="s">
        <v>2986</v>
      </c>
    </row>
    <row r="411" spans="1:11" x14ac:dyDescent="0.25">
      <c r="A411" s="146" t="s">
        <v>525</v>
      </c>
      <c r="B411" s="75" t="s">
        <v>3262</v>
      </c>
      <c r="C411" s="75" t="s">
        <v>4013</v>
      </c>
      <c r="D411" s="76" t="s">
        <v>4734</v>
      </c>
      <c r="E411" s="77" t="s">
        <v>4735</v>
      </c>
      <c r="F411" s="77" t="s">
        <v>2902</v>
      </c>
      <c r="G411" s="77" t="s">
        <v>447</v>
      </c>
      <c r="H411" s="77" t="str">
        <f t="shared" si="6"/>
        <v>"Vadivelan N" &lt;vadivelan.n@Ujjivan.com&gt;;"Pandiyan C" &lt;pandiyan.c@ujjivan.com&gt;;alex.premkumar@ujjivan.com;thiyagu.basavaraj@ujjivan.com;umamaheswari.s@ujjivan.com;srinath.r@ujjivan.com;</v>
      </c>
      <c r="J411" s="77" t="s">
        <v>2965</v>
      </c>
      <c r="K411" s="77" t="s">
        <v>2987</v>
      </c>
    </row>
    <row r="412" spans="1:11" x14ac:dyDescent="0.25">
      <c r="A412" s="146" t="s">
        <v>1665</v>
      </c>
      <c r="B412" s="75" t="s">
        <v>513</v>
      </c>
      <c r="C412" s="75" t="s">
        <v>2892</v>
      </c>
      <c r="D412" s="76" t="s">
        <v>514</v>
      </c>
      <c r="E412" s="77" t="s">
        <v>4351</v>
      </c>
      <c r="F412" s="77" t="s">
        <v>2904</v>
      </c>
      <c r="G412" s="77" t="s">
        <v>497</v>
      </c>
      <c r="H412" s="77" t="str">
        <f t="shared" si="6"/>
        <v>ranjith.kumar@ujjivan.com;nantha.gopal@ujjivan.com;sivakumar.h@ujjivan.com;sridharan.manoharan@ujjivan.com;rajaguru.i@ujjivan.com;muralidharan.n@ujjivan.com;</v>
      </c>
      <c r="J412" s="77" t="s">
        <v>2973</v>
      </c>
      <c r="K412" s="71" t="s">
        <v>2974</v>
      </c>
    </row>
    <row r="413" spans="1:11" x14ac:dyDescent="0.25">
      <c r="A413" s="146" t="s">
        <v>526</v>
      </c>
      <c r="B413" s="75" t="s">
        <v>3263</v>
      </c>
      <c r="C413" s="75" t="s">
        <v>4014</v>
      </c>
      <c r="D413" s="76" t="s">
        <v>3614</v>
      </c>
      <c r="E413" s="77" t="s">
        <v>4739</v>
      </c>
      <c r="F413" s="77" t="s">
        <v>4526</v>
      </c>
      <c r="G413" s="77" t="s">
        <v>4555</v>
      </c>
      <c r="H413" s="77" t="str">
        <f t="shared" si="6"/>
        <v>mahesvaran.k@ujjivan.com;senthil.ramaraj@ujjivan.com;packiaraj.k@ujjivan.com;gowtham@ujjivan.com;jothy.vasagam@ujjivan.com;balamurugan.subburaj@ujjivan.com;</v>
      </c>
      <c r="J413" s="77" t="s">
        <v>2985</v>
      </c>
      <c r="K413" s="77" t="s">
        <v>2986</v>
      </c>
    </row>
    <row r="414" spans="1:11" x14ac:dyDescent="0.25">
      <c r="A414" s="146" t="s">
        <v>527</v>
      </c>
      <c r="B414" s="75" t="s">
        <v>543</v>
      </c>
      <c r="C414" s="75" t="s">
        <v>2897</v>
      </c>
      <c r="D414" s="76" t="s">
        <v>544</v>
      </c>
      <c r="E414" s="77" t="s">
        <v>4762</v>
      </c>
      <c r="F414" s="77" t="s">
        <v>4527</v>
      </c>
      <c r="G414" s="77"/>
      <c r="H414" s="77" t="str">
        <f t="shared" si="6"/>
        <v>jineesh.unnikrishnan@ujjivan.com;NA;mahesh.mohan@ujjivan.com;;boopathy.p@ujjivan.com;vijayakumar.kp@ujjivan.com;</v>
      </c>
      <c r="J414" s="77" t="s">
        <v>2981</v>
      </c>
      <c r="K414" s="77" t="s">
        <v>2984</v>
      </c>
    </row>
    <row r="415" spans="1:11" x14ac:dyDescent="0.25">
      <c r="A415" s="146" t="s">
        <v>528</v>
      </c>
      <c r="B415" s="75" t="s">
        <v>2898</v>
      </c>
      <c r="C415" s="75" t="s">
        <v>2899</v>
      </c>
      <c r="D415" s="76" t="s">
        <v>4741</v>
      </c>
      <c r="E415" s="77" t="s">
        <v>4353</v>
      </c>
      <c r="F415" s="77" t="s">
        <v>4528</v>
      </c>
      <c r="G415" s="77" t="s">
        <v>4556</v>
      </c>
      <c r="H415" s="77" t="str">
        <f t="shared" si="6"/>
        <v>prince.raje@ujjivan.com;anju.udayan@ujjivan.com;abhilash.thomas@ujjivan.com;joshua.raja@ujjivan.com;boopathy.p@ujjivan.com;0;</v>
      </c>
      <c r="J415" s="77" t="s">
        <v>2981</v>
      </c>
      <c r="K415" s="77">
        <v>0</v>
      </c>
    </row>
    <row r="416" spans="1:11" x14ac:dyDescent="0.25">
      <c r="A416" s="146" t="s">
        <v>853</v>
      </c>
      <c r="B416" s="75" t="s">
        <v>3032</v>
      </c>
      <c r="C416" s="75" t="s">
        <v>4015</v>
      </c>
      <c r="D416" s="76" t="s">
        <v>3615</v>
      </c>
      <c r="E416" s="77" t="s">
        <v>4354</v>
      </c>
      <c r="F416" s="77" t="s">
        <v>4528</v>
      </c>
      <c r="G416" s="77" t="s">
        <v>4556</v>
      </c>
      <c r="H416" s="77" t="str">
        <f t="shared" si="6"/>
        <v>sanesh.kt@ujjivan.com;sarath.chandran@ujjivan.com;abhilash.thomas@ujjivan.com;joshua.raja@ujjivan.com;boopathy.p@ujjivan.com;0;</v>
      </c>
      <c r="J416" s="77" t="s">
        <v>2981</v>
      </c>
      <c r="K416" s="77">
        <v>0</v>
      </c>
    </row>
    <row r="417" spans="1:11" x14ac:dyDescent="0.25">
      <c r="A417" s="146" t="s">
        <v>529</v>
      </c>
      <c r="B417" s="75" t="s">
        <v>3264</v>
      </c>
      <c r="C417" s="75" t="s">
        <v>2893</v>
      </c>
      <c r="D417" s="76" t="s">
        <v>4742</v>
      </c>
      <c r="E417" s="77" t="s">
        <v>4743</v>
      </c>
      <c r="F417" s="77" t="s">
        <v>4525</v>
      </c>
      <c r="G417" s="77" t="s">
        <v>4555</v>
      </c>
      <c r="H417" s="77" t="str">
        <f t="shared" si="6"/>
        <v>Rubickraja . V &lt;rubickraja.v@ujjivan.com&gt;;Easwaran Palanisamy &lt;easwaran.palanisamy@ujjivan.com&gt;;balamurugan.raju@ujjivan.com;gowtham@ujjivan.com;jothy.vasagam@ujjivan.com;balamurugan.subburaj@ujjivan.com;</v>
      </c>
      <c r="J417" s="77" t="s">
        <v>2985</v>
      </c>
      <c r="K417" s="77" t="s">
        <v>2986</v>
      </c>
    </row>
    <row r="418" spans="1:11" x14ac:dyDescent="0.25">
      <c r="A418" s="146" t="s">
        <v>530</v>
      </c>
      <c r="B418" s="75" t="s">
        <v>3265</v>
      </c>
      <c r="C418" s="75" t="s">
        <v>4016</v>
      </c>
      <c r="D418" s="76" t="s">
        <v>4744</v>
      </c>
      <c r="E418" s="77" t="s">
        <v>4745</v>
      </c>
      <c r="F418" s="77" t="s">
        <v>2902</v>
      </c>
      <c r="G418" s="77" t="s">
        <v>447</v>
      </c>
      <c r="H418" s="77" t="str">
        <f t="shared" si="6"/>
        <v>"Anwar" &lt;anwar@ujjivan.com&gt;;"Bastin Savariraj A" &lt;bastin.savariraj@ujjivan.com&gt;;alex.premkumar@ujjivan.com;thiyagu.basavaraj@ujjivan.com;umamaheswari.s@ujjivan.com;srinath.r@ujjivan.com;</v>
      </c>
      <c r="J418" s="77" t="s">
        <v>2965</v>
      </c>
      <c r="K418" s="77" t="s">
        <v>2987</v>
      </c>
    </row>
    <row r="419" spans="1:11" x14ac:dyDescent="0.25">
      <c r="A419" s="146" t="s">
        <v>532</v>
      </c>
      <c r="B419" s="75" t="s">
        <v>3266</v>
      </c>
      <c r="C419" s="75" t="s">
        <v>4017</v>
      </c>
      <c r="D419" s="76" t="s">
        <v>4748</v>
      </c>
      <c r="E419" s="77" t="s">
        <v>4749</v>
      </c>
      <c r="F419" s="77" t="s">
        <v>2902</v>
      </c>
      <c r="G419" s="77" t="s">
        <v>447</v>
      </c>
      <c r="H419" s="77" t="str">
        <f t="shared" si="6"/>
        <v>"S Ranjith Kumar" &lt;ranjithkumar.s@ujjivan.com&gt;;"A Thomas Jebaraj" &lt;thomas.jebaraj@ujjivan.com&gt;;alex.premkumar@ujjivan.com;thiyagu.basavaraj@ujjivan.com;jothy.vasagam@ujjivan.com;amudha.s@ujjivan.com;</v>
      </c>
      <c r="J419" s="77" t="s">
        <v>2985</v>
      </c>
      <c r="K419" s="77" t="s">
        <v>2988</v>
      </c>
    </row>
    <row r="420" spans="1:11" x14ac:dyDescent="0.25">
      <c r="A420" s="146" t="s">
        <v>533</v>
      </c>
      <c r="B420" s="75" t="s">
        <v>3267</v>
      </c>
      <c r="C420" s="75" t="s">
        <v>2901</v>
      </c>
      <c r="D420" s="76" t="s">
        <v>4752</v>
      </c>
      <c r="E420" s="77" t="s">
        <v>4753</v>
      </c>
      <c r="F420" s="77" t="s">
        <v>2902</v>
      </c>
      <c r="G420" s="77" t="s">
        <v>447</v>
      </c>
      <c r="H420" s="77" t="str">
        <f t="shared" si="6"/>
        <v>"Rajesh Irudaya Raj C" &lt;rajeshirudaya.raj@ujjivan.com&gt;;"Rajanandham.Chithamparam" &lt;rajanandham.chithamparam@ujjivan.com&gt;;alex.premkumar@ujjivan.com;thiyagu.basavaraj@ujjivan.com;umamaheswari.s@ujjivan.com;srinath.r@ujjivan.com;</v>
      </c>
      <c r="J420" s="77" t="s">
        <v>2965</v>
      </c>
      <c r="K420" s="77" t="s">
        <v>2987</v>
      </c>
    </row>
    <row r="421" spans="1:11" x14ac:dyDescent="0.25">
      <c r="A421" s="146" t="s">
        <v>534</v>
      </c>
      <c r="B421" s="75" t="s">
        <v>3268</v>
      </c>
      <c r="C421" s="75" t="s">
        <v>2903</v>
      </c>
      <c r="D421" s="76" t="s">
        <v>3619</v>
      </c>
      <c r="E421" s="77" t="s">
        <v>4359</v>
      </c>
      <c r="F421" s="77" t="s">
        <v>2904</v>
      </c>
      <c r="G421" s="77" t="s">
        <v>497</v>
      </c>
      <c r="H421" s="77" t="str">
        <f t="shared" si="6"/>
        <v>beersulthan.h@ujjivan.com;kannan.b@ujjivan.com;sivakumar.h@ujjivan.com;sridharan.manoharan@ujjivan.com;boopathy.p@ujjivan.com;vijaya.prakash@ujjivan.com;</v>
      </c>
      <c r="J421" s="77" t="s">
        <v>2981</v>
      </c>
      <c r="K421" s="77" t="s">
        <v>2983</v>
      </c>
    </row>
    <row r="422" spans="1:11" x14ac:dyDescent="0.25">
      <c r="A422" s="146" t="s">
        <v>854</v>
      </c>
      <c r="B422" s="75" t="s">
        <v>3269</v>
      </c>
      <c r="C422" s="75" t="s">
        <v>4018</v>
      </c>
      <c r="D422" s="76" t="s">
        <v>3618</v>
      </c>
      <c r="E422" s="77" t="s">
        <v>4443</v>
      </c>
      <c r="F422" s="77" t="s">
        <v>2904</v>
      </c>
      <c r="G422" s="77" t="s">
        <v>497</v>
      </c>
      <c r="H422" s="77" t="str">
        <f t="shared" si="6"/>
        <v>sijomon.tm@ujjivan.com;azhagesan.k@ujjivan.com;sivakumar.h@ujjivan.com;sridharan.manoharan@ujjivan.com;boopathy.p@ujjivan.com;vijaya.prakash@ujjivan.com;</v>
      </c>
      <c r="J422" s="77" t="s">
        <v>2981</v>
      </c>
      <c r="K422" s="77" t="s">
        <v>2983</v>
      </c>
    </row>
    <row r="423" spans="1:11" x14ac:dyDescent="0.25">
      <c r="A423" s="146" t="s">
        <v>536</v>
      </c>
      <c r="B423" s="75" t="s">
        <v>3270</v>
      </c>
      <c r="C423" s="75" t="s">
        <v>4019</v>
      </c>
      <c r="D423" s="76" t="s">
        <v>535</v>
      </c>
      <c r="E423" s="77" t="s">
        <v>4361</v>
      </c>
      <c r="F423" s="77" t="s">
        <v>2904</v>
      </c>
      <c r="G423" s="77" t="s">
        <v>497</v>
      </c>
      <c r="H423" s="77" t="str">
        <f t="shared" si="6"/>
        <v>vino.jesaiah@ujjivan.com;paramasivam.halan@ujjivan.com;sivakumar.h@ujjivan.com;sridharan.manoharan@ujjivan.com;boopathy.p@ujjivan.com;vijaya.prakash@ujjivan.com;</v>
      </c>
      <c r="J423" s="77" t="s">
        <v>2981</v>
      </c>
      <c r="K423" s="77" t="s">
        <v>2983</v>
      </c>
    </row>
    <row r="424" spans="1:11" x14ac:dyDescent="0.25">
      <c r="A424" s="146" t="s">
        <v>537</v>
      </c>
      <c r="B424" s="75" t="s">
        <v>3271</v>
      </c>
      <c r="C424" s="75" t="s">
        <v>4020</v>
      </c>
      <c r="D424" s="76" t="s">
        <v>568</v>
      </c>
      <c r="E424" s="77" t="s">
        <v>4756</v>
      </c>
      <c r="F424" s="77" t="s">
        <v>4528</v>
      </c>
      <c r="G424" s="77" t="s">
        <v>4556</v>
      </c>
      <c r="H424" s="77" t="str">
        <f t="shared" si="6"/>
        <v>praveen.sasidharan@ujjivan.com;arya.prasad@ujjivan.com;abhilash.thomas@ujjivan.com;joshua.raja@ujjivan.com;boopathy.p@ujjivan.com;0;</v>
      </c>
      <c r="J424" s="77" t="s">
        <v>2981</v>
      </c>
      <c r="K424" s="77">
        <v>0</v>
      </c>
    </row>
    <row r="425" spans="1:11" x14ac:dyDescent="0.25">
      <c r="A425" s="146" t="s">
        <v>1698</v>
      </c>
      <c r="B425" s="75" t="s">
        <v>3539</v>
      </c>
      <c r="C425" s="75" t="s">
        <v>2900</v>
      </c>
      <c r="D425" s="76" t="s">
        <v>4757</v>
      </c>
      <c r="E425" s="77" t="s">
        <v>4363</v>
      </c>
      <c r="F425" s="77" t="s">
        <v>4527</v>
      </c>
      <c r="G425" s="77" t="s">
        <v>4556</v>
      </c>
      <c r="H425" s="77" t="str">
        <f t="shared" si="6"/>
        <v>manav.n@ujjivan.com;sreejith.p@ujjivan.com;mahesh.mohan@ujjivan.com;joshua.raja@ujjivan.com;boopathy.p@ujjivan.com;vijayakumar.kp@ujjivan.com;</v>
      </c>
      <c r="J425" s="77" t="s">
        <v>2981</v>
      </c>
      <c r="K425" s="77" t="s">
        <v>2984</v>
      </c>
    </row>
    <row r="426" spans="1:11" x14ac:dyDescent="0.25">
      <c r="A426" s="146" t="s">
        <v>538</v>
      </c>
      <c r="B426" s="75" t="s">
        <v>2906</v>
      </c>
      <c r="C426" s="75" t="s">
        <v>2907</v>
      </c>
      <c r="D426" s="76" t="s">
        <v>2908</v>
      </c>
      <c r="E426" s="77" t="s">
        <v>4758</v>
      </c>
      <c r="F426" s="77" t="s">
        <v>4526</v>
      </c>
      <c r="G426" s="77"/>
      <c r="H426" s="77" t="str">
        <f t="shared" si="6"/>
        <v>nagasankar.narayanan@ujjivan.com;ranjith.selvaraj@ujjivan.com;packiaraj.k@ujjivan.com;;boopathy.p@ujjivan.com;anand.ravindran@ujjivan.com;</v>
      </c>
      <c r="J426" s="77" t="s">
        <v>2981</v>
      </c>
      <c r="K426" s="77" t="s">
        <v>2982</v>
      </c>
    </row>
    <row r="427" spans="1:11" x14ac:dyDescent="0.25">
      <c r="A427" s="146" t="s">
        <v>539</v>
      </c>
      <c r="B427" s="75" t="s">
        <v>540</v>
      </c>
      <c r="C427" s="75" t="s">
        <v>2909</v>
      </c>
      <c r="D427" s="76" t="s">
        <v>541</v>
      </c>
      <c r="E427" s="77"/>
      <c r="F427" s="77" t="s">
        <v>4707</v>
      </c>
      <c r="G427" s="77"/>
      <c r="H427" s="77" t="str">
        <f t="shared" si="6"/>
        <v>rupesh.mokatkar@ujjivan.com;;basavaraj.yadoor@ujjivan.com;;shekhar.poojary@ujjivan.com;basantakumar.pasupalak@ujjivan.com;</v>
      </c>
      <c r="J427" s="77" t="s">
        <v>2962</v>
      </c>
      <c r="K427" s="77" t="s">
        <v>2975</v>
      </c>
    </row>
    <row r="428" spans="1:11" x14ac:dyDescent="0.25">
      <c r="A428" s="146" t="s">
        <v>542</v>
      </c>
      <c r="B428" s="75" t="s">
        <v>567</v>
      </c>
      <c r="C428" s="75" t="s">
        <v>2919</v>
      </c>
      <c r="D428" s="76" t="s">
        <v>3620</v>
      </c>
      <c r="E428" s="77" t="s">
        <v>4759</v>
      </c>
      <c r="F428" s="77" t="s">
        <v>4527</v>
      </c>
      <c r="G428" s="77"/>
      <c r="H428" s="77" t="str">
        <f t="shared" si="6"/>
        <v>nivedh.e@ujjivan.com;dayana.jose@ujjivan.com;mahesh.mohan@ujjivan.com;;boopathy.p@ujjivan.com;vijayakumar.kp@ujjivan.com;</v>
      </c>
      <c r="J428" s="77" t="s">
        <v>2981</v>
      </c>
      <c r="K428" s="77" t="s">
        <v>2984</v>
      </c>
    </row>
    <row r="429" spans="1:11" x14ac:dyDescent="0.25">
      <c r="A429" s="146" t="s">
        <v>855</v>
      </c>
      <c r="B429" s="75" t="s">
        <v>3272</v>
      </c>
      <c r="C429" s="75" t="s">
        <v>2910</v>
      </c>
      <c r="D429" s="76" t="s">
        <v>2911</v>
      </c>
      <c r="E429" s="77" t="s">
        <v>4760</v>
      </c>
      <c r="F429" s="77" t="s">
        <v>4528</v>
      </c>
      <c r="G429" s="77" t="s">
        <v>4556</v>
      </c>
      <c r="H429" s="77" t="str">
        <f t="shared" si="6"/>
        <v>saiju.sadasivan@ujjivan.com;sumisha.s@ujjivan.com;abhilash.thomas@ujjivan.com;joshua.raja@ujjivan.com;boopathy.p@ujjivan.com;0;</v>
      </c>
      <c r="J429" s="77" t="s">
        <v>2981</v>
      </c>
      <c r="K429" s="77">
        <v>0</v>
      </c>
    </row>
    <row r="430" spans="1:11" x14ac:dyDescent="0.25">
      <c r="A430" s="146" t="s">
        <v>545</v>
      </c>
      <c r="B430" s="75" t="s">
        <v>3273</v>
      </c>
      <c r="C430" s="75" t="s">
        <v>4021</v>
      </c>
      <c r="D430" s="76" t="s">
        <v>4761</v>
      </c>
      <c r="E430" s="77" t="s">
        <v>4762</v>
      </c>
      <c r="F430" s="77" t="s">
        <v>4527</v>
      </c>
      <c r="G430" s="77"/>
      <c r="H430" s="77" t="str">
        <f t="shared" si="6"/>
        <v>sanil.r@ujjivan.com;NA;mahesh.mohan@ujjivan.com;;boopathy.p@ujjivan.com;vijayakumar.kp@ujjivan.com;</v>
      </c>
      <c r="J430" s="77" t="s">
        <v>2981</v>
      </c>
      <c r="K430" s="77" t="s">
        <v>2984</v>
      </c>
    </row>
    <row r="431" spans="1:11" x14ac:dyDescent="0.25">
      <c r="A431" s="146" t="s">
        <v>546</v>
      </c>
      <c r="B431" s="75" t="s">
        <v>3274</v>
      </c>
      <c r="C431" s="75" t="s">
        <v>4022</v>
      </c>
      <c r="D431" s="76" t="s">
        <v>3622</v>
      </c>
      <c r="E431" s="77" t="s">
        <v>4366</v>
      </c>
      <c r="F431" s="77" t="s">
        <v>4522</v>
      </c>
      <c r="G431" s="77" t="s">
        <v>427</v>
      </c>
      <c r="H431" s="77" t="str">
        <f t="shared" si="6"/>
        <v>geeta.anil@ujjivan.com;ravichandra.hk@ujjivan.com;murali.mohan@ujjivan.com;ravichandra.mm@ujjivan.com;suresh.poojary@ujjivan.com;harshith.hn@ujjivan.com;</v>
      </c>
      <c r="J431" s="77" t="s">
        <v>2968</v>
      </c>
      <c r="K431" s="77" t="s">
        <v>2969</v>
      </c>
    </row>
    <row r="432" spans="1:11" x14ac:dyDescent="0.25">
      <c r="A432" s="146" t="s">
        <v>549</v>
      </c>
      <c r="B432" s="75" t="s">
        <v>547</v>
      </c>
      <c r="C432" s="75" t="s">
        <v>2912</v>
      </c>
      <c r="D432" s="76" t="s">
        <v>548</v>
      </c>
      <c r="E432" s="77" t="s">
        <v>4764</v>
      </c>
      <c r="F432" s="77" t="s">
        <v>4524</v>
      </c>
      <c r="G432" s="77" t="s">
        <v>427</v>
      </c>
      <c r="H432" s="77" t="str">
        <f t="shared" si="6"/>
        <v>chaluvaraju.bv@ujjivan.com;manju.prasad@ujjivan.com;nagaraju.g@ujjivan.com;ravichandra.mm@ujjivan.com;suresh.poojary@ujjivan.com;padmaprabha.gm@ujjivan.com;</v>
      </c>
      <c r="J432" s="77" t="s">
        <v>2968</v>
      </c>
      <c r="K432" s="77" t="s">
        <v>2978</v>
      </c>
    </row>
    <row r="433" spans="1:11" x14ac:dyDescent="0.25">
      <c r="A433" s="146" t="s">
        <v>550</v>
      </c>
      <c r="B433" s="75" t="s">
        <v>3275</v>
      </c>
      <c r="C433" s="75" t="s">
        <v>4023</v>
      </c>
      <c r="D433" s="76" t="s">
        <v>4766</v>
      </c>
      <c r="E433" s="77" t="s">
        <v>4767</v>
      </c>
      <c r="F433" s="77" t="s">
        <v>4525</v>
      </c>
      <c r="G433" s="77" t="s">
        <v>4555</v>
      </c>
      <c r="H433" s="77" t="str">
        <f t="shared" si="6"/>
        <v>E Kosumani &lt;kosumani.e@ujjivan.com&gt;;Daniel.Raj &lt;daniel.raj@ujjivan.com&gt;;balamurugan.raju@ujjivan.com;gowtham@ujjivan.com;jothy.vasagam@ujjivan.com;amudha.s@ujjivan.com;</v>
      </c>
      <c r="J433" s="77" t="s">
        <v>2985</v>
      </c>
      <c r="K433" s="77" t="s">
        <v>2988</v>
      </c>
    </row>
    <row r="434" spans="1:11" x14ac:dyDescent="0.25">
      <c r="A434" s="146" t="s">
        <v>551</v>
      </c>
      <c r="B434" s="75" t="s">
        <v>3276</v>
      </c>
      <c r="C434" s="75" t="s">
        <v>2913</v>
      </c>
      <c r="D434" s="76" t="s">
        <v>4769</v>
      </c>
      <c r="E434" s="77" t="s">
        <v>4770</v>
      </c>
      <c r="F434" s="77" t="s">
        <v>4525</v>
      </c>
      <c r="G434" s="77" t="s">
        <v>4555</v>
      </c>
      <c r="H434" s="77" t="str">
        <f t="shared" si="6"/>
        <v>Karthik C &lt;karthik.chandrasekaran@ujjivan.com&gt;;Karunakarn R &lt;karunakarn.saradha@ujjivan.com&gt;;balamurugan.raju@ujjivan.com;gowtham@ujjivan.com;jothy.vasagam@ujjivan.com;amudha.s@ujjivan.com;</v>
      </c>
      <c r="J434" s="77" t="s">
        <v>2985</v>
      </c>
      <c r="K434" s="77" t="s">
        <v>2988</v>
      </c>
    </row>
    <row r="435" spans="1:11" x14ac:dyDescent="0.25">
      <c r="A435" s="146" t="s">
        <v>553</v>
      </c>
      <c r="B435" s="75" t="s">
        <v>3277</v>
      </c>
      <c r="C435" s="75" t="s">
        <v>2881</v>
      </c>
      <c r="D435" s="76" t="s">
        <v>480</v>
      </c>
      <c r="E435" s="77" t="s">
        <v>4445</v>
      </c>
      <c r="F435" s="77" t="s">
        <v>4524</v>
      </c>
      <c r="G435" s="77" t="s">
        <v>427</v>
      </c>
      <c r="H435" s="77" t="str">
        <f t="shared" si="6"/>
        <v>puttaswamy.ranganaika@ujjivan.com;prasanna.r@ujjivan.com;nagaraju.g@ujjivan.com;ravichandra.mm@ujjivan.com;suresh.poojary@ujjivan.com;naveen.upadhye@ujjvan.com;</v>
      </c>
      <c r="J435" s="77" t="s">
        <v>2968</v>
      </c>
      <c r="K435" s="77" t="s">
        <v>2979</v>
      </c>
    </row>
    <row r="436" spans="1:11" x14ac:dyDescent="0.25">
      <c r="A436" s="146" t="s">
        <v>555</v>
      </c>
      <c r="B436" s="75" t="s">
        <v>3278</v>
      </c>
      <c r="C436" s="75" t="s">
        <v>2915</v>
      </c>
      <c r="D436" s="76" t="s">
        <v>573</v>
      </c>
      <c r="E436" s="77" t="s">
        <v>4772</v>
      </c>
      <c r="F436" s="77" t="s">
        <v>4524</v>
      </c>
      <c r="G436" s="77" t="s">
        <v>427</v>
      </c>
      <c r="H436" s="77" t="str">
        <f t="shared" si="6"/>
        <v>shantharaju.g@Ujjivan.com;anilkumar.gowda@ujjivan.com;nagaraju.g@ujjivan.com;ravichandra.mm@ujjivan.com;suresh.poojary@ujjivan.com;padmaprabha.gm@ujjivan.com;</v>
      </c>
      <c r="J436" s="77" t="s">
        <v>2968</v>
      </c>
      <c r="K436" s="77" t="s">
        <v>2978</v>
      </c>
    </row>
    <row r="437" spans="1:11" x14ac:dyDescent="0.25">
      <c r="A437" s="146" t="s">
        <v>557</v>
      </c>
      <c r="B437" s="75" t="s">
        <v>3279</v>
      </c>
      <c r="C437" s="75" t="s">
        <v>2891</v>
      </c>
      <c r="D437" s="76" t="s">
        <v>4773</v>
      </c>
      <c r="E437" s="77" t="s">
        <v>4774</v>
      </c>
      <c r="F437" s="77" t="s">
        <v>4525</v>
      </c>
      <c r="G437" s="77" t="s">
        <v>4555</v>
      </c>
      <c r="H437" s="77" t="str">
        <f t="shared" si="6"/>
        <v>Xavier . I &lt;xavier.i@ujjivan.com&gt;;Manikandan T &lt;manikandan.t@ujjivan.com&gt;;balamurugan.raju@ujjivan.com;gowtham@ujjivan.com;jothy.vasagam@ujjivan.com;amudha.s@ujjivan.com;</v>
      </c>
      <c r="J437" s="77" t="s">
        <v>2985</v>
      </c>
      <c r="K437" s="77" t="s">
        <v>2988</v>
      </c>
    </row>
    <row r="438" spans="1:11" x14ac:dyDescent="0.25">
      <c r="A438" s="146" t="s">
        <v>558</v>
      </c>
      <c r="B438" s="75" t="s">
        <v>559</v>
      </c>
      <c r="C438" s="75" t="s">
        <v>2916</v>
      </c>
      <c r="D438" s="76" t="s">
        <v>560</v>
      </c>
      <c r="E438" s="77" t="s">
        <v>4372</v>
      </c>
      <c r="F438" s="77" t="s">
        <v>4524</v>
      </c>
      <c r="G438" s="77" t="s">
        <v>427</v>
      </c>
      <c r="H438" s="77" t="str">
        <f t="shared" si="6"/>
        <v>puttaiah.hd@ujjivan.com;pradeep.iggalore@ujjivan.com;nagaraju.g@ujjivan.com;ravichandra.mm@ujjivan.com;suresh.poojary@ujjivan.com;padmaprabha.gm@ujjivan.com;</v>
      </c>
      <c r="J438" s="77" t="s">
        <v>2968</v>
      </c>
      <c r="K438" s="77" t="s">
        <v>2978</v>
      </c>
    </row>
    <row r="439" spans="1:11" x14ac:dyDescent="0.25">
      <c r="A439" s="146" t="s">
        <v>561</v>
      </c>
      <c r="B439" s="75" t="s">
        <v>3280</v>
      </c>
      <c r="C439" s="75" t="s">
        <v>2917</v>
      </c>
      <c r="D439" s="76" t="s">
        <v>562</v>
      </c>
      <c r="E439" s="77" t="s">
        <v>4292</v>
      </c>
      <c r="F439" s="77" t="s">
        <v>414</v>
      </c>
      <c r="G439" s="77" t="s">
        <v>405</v>
      </c>
      <c r="H439" s="77" t="str">
        <f t="shared" si="6"/>
        <v>theertha.kumar@ujjivan.com;muniraja.muniyappa@ujjivan.com;pratap.reddy@ujjivan.com;sachinkumar.kb@ujjivan.com;shekhar.poojary@ujjivan.com;kirankumar.ks@ujjivan.com;</v>
      </c>
      <c r="J439" s="77" t="s">
        <v>2962</v>
      </c>
      <c r="K439" s="77" t="s">
        <v>2963</v>
      </c>
    </row>
    <row r="440" spans="1:11" x14ac:dyDescent="0.25">
      <c r="A440" s="146" t="s">
        <v>563</v>
      </c>
      <c r="B440" s="75" t="s">
        <v>3281</v>
      </c>
      <c r="C440" s="75" t="s">
        <v>4024</v>
      </c>
      <c r="D440" s="76" t="s">
        <v>4775</v>
      </c>
      <c r="E440" s="77" t="s">
        <v>4776</v>
      </c>
      <c r="F440" s="77" t="s">
        <v>4525</v>
      </c>
      <c r="G440" s="77" t="s">
        <v>4555</v>
      </c>
      <c r="H440" s="77" t="str">
        <f t="shared" si="6"/>
        <v>Vijila P &lt;vijila.p@ujjivan.com&gt;;Saravanan G &lt;saravanan.g@ujjivan.com&gt;;balamurugan.raju@ujjivan.com;gowtham@ujjivan.com;jothy.vasagam@ujjivan.com;amudha.s@ujjivan.com;</v>
      </c>
      <c r="J440" s="77" t="s">
        <v>2985</v>
      </c>
      <c r="K440" s="77" t="s">
        <v>2988</v>
      </c>
    </row>
    <row r="441" spans="1:11" x14ac:dyDescent="0.25">
      <c r="A441" s="146" t="s">
        <v>564</v>
      </c>
      <c r="B441" s="75" t="s">
        <v>3282</v>
      </c>
      <c r="C441" s="75" t="s">
        <v>2918</v>
      </c>
      <c r="D441" s="76" t="s">
        <v>4778</v>
      </c>
      <c r="E441" s="77" t="s">
        <v>4374</v>
      </c>
      <c r="F441" s="77" t="s">
        <v>2859</v>
      </c>
      <c r="G441" s="77" t="s">
        <v>405</v>
      </c>
      <c r="H441" s="77" t="str">
        <f t="shared" si="6"/>
        <v>darshan.r@ujjivan.com;nagasimha@ujjivan.com;vijaykumar.g@ujjivan.com;sachinkumar.kb@ujjivan.com;umamaheswari.s@ujjivan.com;ashwin.prakash@ujjivan.com;</v>
      </c>
      <c r="J441" s="77" t="s">
        <v>2965</v>
      </c>
      <c r="K441" s="77" t="s">
        <v>2967</v>
      </c>
    </row>
    <row r="442" spans="1:11" x14ac:dyDescent="0.25">
      <c r="A442" s="146" t="s">
        <v>566</v>
      </c>
      <c r="B442" s="75" t="s">
        <v>3283</v>
      </c>
      <c r="C442" s="75" t="s">
        <v>4025</v>
      </c>
      <c r="D442" s="76" t="s">
        <v>3625</v>
      </c>
      <c r="E442" s="77" t="s">
        <v>4779</v>
      </c>
      <c r="F442" s="77" t="s">
        <v>4528</v>
      </c>
      <c r="G442" s="77" t="s">
        <v>4556</v>
      </c>
      <c r="H442" s="77" t="str">
        <f t="shared" si="6"/>
        <v>rajesh.r@ujjivan.com;syam.prasad@ujjivan.com;abhilash.thomas@ujjivan.com;joshua.raja@ujjivan.com;boopathy.p@ujjivan.com;0;</v>
      </c>
      <c r="J442" s="77" t="s">
        <v>2981</v>
      </c>
      <c r="K442" s="77">
        <v>0</v>
      </c>
    </row>
    <row r="443" spans="1:11" x14ac:dyDescent="0.25">
      <c r="A443" s="146" t="s">
        <v>569</v>
      </c>
      <c r="B443" s="75" t="s">
        <v>3284</v>
      </c>
      <c r="C443" s="75" t="s">
        <v>4026</v>
      </c>
      <c r="D443" s="76" t="s">
        <v>3207</v>
      </c>
      <c r="E443" s="77" t="s">
        <v>4304</v>
      </c>
      <c r="F443" s="77" t="s">
        <v>4707</v>
      </c>
      <c r="G443" s="77" t="s">
        <v>466</v>
      </c>
      <c r="H443" s="77" t="str">
        <f t="shared" si="6"/>
        <v>nagesh.ganapati@ujjivan.com;dasar.yr@ujjivan.com;basavaraj.yadoor@ujjivan.com;srinivas.govinda@ujjivan.com;shekhar.poojary@ujjivan.com;basantakumar.pasupalak@ujjivan.com;</v>
      </c>
      <c r="J443" s="77" t="s">
        <v>2962</v>
      </c>
      <c r="K443" s="77" t="s">
        <v>2975</v>
      </c>
    </row>
    <row r="444" spans="1:11" x14ac:dyDescent="0.25">
      <c r="A444" s="146" t="s">
        <v>570</v>
      </c>
      <c r="B444" s="75" t="s">
        <v>3285</v>
      </c>
      <c r="C444" s="75" t="s">
        <v>4027</v>
      </c>
      <c r="D444" s="76" t="s">
        <v>4780</v>
      </c>
      <c r="E444" s="77" t="s">
        <v>4781</v>
      </c>
      <c r="F444" s="77" t="s">
        <v>2902</v>
      </c>
      <c r="G444" s="77" t="s">
        <v>447</v>
      </c>
      <c r="H444" s="77" t="str">
        <f t="shared" si="6"/>
        <v>"Ramakrishnan S" &lt;rama.krishnan@ujjivan.com&gt;;"Harikumar.." &lt;harikumar@ujjivan.com&gt;;alex.premkumar@ujjivan.com;thiyagu.basavaraj@ujjivan.com;jothy.vasagam@ujjivan.com;amudha.s@ujjivan.com;</v>
      </c>
      <c r="J444" s="77" t="s">
        <v>2985</v>
      </c>
      <c r="K444" s="77" t="s">
        <v>2988</v>
      </c>
    </row>
    <row r="445" spans="1:11" x14ac:dyDescent="0.25">
      <c r="A445" s="146" t="s">
        <v>571</v>
      </c>
      <c r="B445" s="75" t="s">
        <v>3286</v>
      </c>
      <c r="C445" s="75" t="s">
        <v>2921</v>
      </c>
      <c r="D445" s="76" t="s">
        <v>4783</v>
      </c>
      <c r="E445" s="77" t="s">
        <v>4784</v>
      </c>
      <c r="F445" s="77" t="s">
        <v>4525</v>
      </c>
      <c r="G445" s="77" t="s">
        <v>4555</v>
      </c>
      <c r="H445" s="77" t="str">
        <f t="shared" si="6"/>
        <v>stalin.r &lt;stalin.r@ujjivan.com&gt;;Indhrakumar T &lt;indhrakumar.t@ujjivan.com&gt;;balamurugan.raju@ujjivan.com;gowtham@ujjivan.com;jothy.vasagam@ujjivan.com;amudha.s@ujjivan.com;</v>
      </c>
      <c r="J445" s="77" t="s">
        <v>2985</v>
      </c>
      <c r="K445" s="77" t="s">
        <v>2988</v>
      </c>
    </row>
    <row r="446" spans="1:11" x14ac:dyDescent="0.25">
      <c r="A446" s="146" t="s">
        <v>572</v>
      </c>
      <c r="B446" s="75" t="s">
        <v>3287</v>
      </c>
      <c r="C446" s="75" t="s">
        <v>2922</v>
      </c>
      <c r="D446" s="76" t="s">
        <v>556</v>
      </c>
      <c r="E446" s="77" t="s">
        <v>4448</v>
      </c>
      <c r="F446" s="77" t="s">
        <v>4524</v>
      </c>
      <c r="G446" s="77" t="s">
        <v>427</v>
      </c>
      <c r="H446" s="77" t="str">
        <f t="shared" si="6"/>
        <v>ravi.alavasalli@ujjivan.com;sathisha.m@ujjivan.com;nagaraju.g@ujjivan.com;ravichandra.mm@ujjivan.com;suresh.poojary@ujjivan.com;padmaprabha.gm@ujjivan.com;</v>
      </c>
      <c r="J446" s="77" t="s">
        <v>2968</v>
      </c>
      <c r="K446" s="77" t="s">
        <v>2978</v>
      </c>
    </row>
    <row r="447" spans="1:11" x14ac:dyDescent="0.25">
      <c r="A447" s="146" t="s">
        <v>574</v>
      </c>
      <c r="B447" s="75" t="s">
        <v>3288</v>
      </c>
      <c r="C447" s="75" t="s">
        <v>2923</v>
      </c>
      <c r="D447" s="76" t="s">
        <v>4786</v>
      </c>
      <c r="E447" s="77" t="s">
        <v>4787</v>
      </c>
      <c r="F447" s="77" t="s">
        <v>4528</v>
      </c>
      <c r="G447" s="77" t="s">
        <v>4556</v>
      </c>
      <c r="H447" s="77" t="str">
        <f t="shared" si="6"/>
        <v>srejith.nair@ujjivan.com;adarsh.ullas@ujjivan.com;abhilash.thomas@ujjivan.com;joshua.raja@ujjivan.com;boopathy.p@ujjivan.com;0;</v>
      </c>
      <c r="J447" s="77" t="s">
        <v>2981</v>
      </c>
      <c r="K447" s="77">
        <v>0</v>
      </c>
    </row>
    <row r="448" spans="1:11" x14ac:dyDescent="0.25">
      <c r="A448" s="146" t="s">
        <v>576</v>
      </c>
      <c r="B448" s="75" t="s">
        <v>3289</v>
      </c>
      <c r="C448" s="75" t="s">
        <v>2924</v>
      </c>
      <c r="D448" s="76" t="s">
        <v>4788</v>
      </c>
      <c r="E448" s="77" t="s">
        <v>4789</v>
      </c>
      <c r="F448" s="77" t="s">
        <v>4525</v>
      </c>
      <c r="G448" s="77" t="s">
        <v>4555</v>
      </c>
      <c r="H448" s="77" t="str">
        <f t="shared" si="6"/>
        <v>Bhakiyaraj .�K &lt;bhakiyaraj.k@ujjivan.com&gt;;Neppoliyan S &lt;neppoliyan.s@ujjivan.com&gt;;balamurugan.raju@ujjivan.com;gowtham@ujjivan.com;jothy.vasagam@ujjivan.com;amudha.s@ujjivan.com;</v>
      </c>
      <c r="J448" s="77" t="s">
        <v>2985</v>
      </c>
      <c r="K448" s="77" t="s">
        <v>2988</v>
      </c>
    </row>
    <row r="449" spans="1:11" x14ac:dyDescent="0.25">
      <c r="A449" s="146" t="s">
        <v>578</v>
      </c>
      <c r="B449" s="75" t="s">
        <v>2925</v>
      </c>
      <c r="C449" s="75" t="s">
        <v>2926</v>
      </c>
      <c r="D449" s="76" t="s">
        <v>2927</v>
      </c>
      <c r="E449" s="77" t="s">
        <v>4381</v>
      </c>
      <c r="F449" s="77" t="s">
        <v>4522</v>
      </c>
      <c r="G449" s="77" t="s">
        <v>427</v>
      </c>
      <c r="H449" s="77" t="str">
        <f t="shared" si="6"/>
        <v>mallesha.hn@ujjivan.com;Mahesh.nanjappa@ujjivan.com;murali.mohan@ujjivan.com;ravichandra.mm@ujjivan.com;suresh.poojary@ujjivan.com;naveen.upadhye@ujjvan.com;</v>
      </c>
      <c r="J449" s="77" t="s">
        <v>2968</v>
      </c>
      <c r="K449" s="77" t="s">
        <v>2979</v>
      </c>
    </row>
    <row r="450" spans="1:11" x14ac:dyDescent="0.25">
      <c r="A450" s="146" t="s">
        <v>579</v>
      </c>
      <c r="B450" s="75" t="s">
        <v>861</v>
      </c>
      <c r="C450" s="75" t="s">
        <v>2935</v>
      </c>
      <c r="D450" s="76" t="s">
        <v>862</v>
      </c>
      <c r="E450" s="77" t="s">
        <v>4450</v>
      </c>
      <c r="F450" s="77" t="s">
        <v>4522</v>
      </c>
      <c r="G450" s="77" t="s">
        <v>427</v>
      </c>
      <c r="H450" s="77" t="str">
        <f t="shared" si="6"/>
        <v>yogananda.jayaram@ujjivan.com;mahesha.n@ujjivan.com;murali.mohan@ujjivan.com;ravichandra.mm@ujjivan.com;suresh.poojary@ujjivan.com;naveen.upadhye@ujjvan.com;</v>
      </c>
      <c r="J450" s="77" t="s">
        <v>2968</v>
      </c>
      <c r="K450" s="77" t="s">
        <v>2979</v>
      </c>
    </row>
    <row r="451" spans="1:11" x14ac:dyDescent="0.25">
      <c r="A451" s="146" t="s">
        <v>580</v>
      </c>
      <c r="B451" s="75" t="s">
        <v>586</v>
      </c>
      <c r="C451" s="75" t="s">
        <v>2928</v>
      </c>
      <c r="D451" s="76" t="s">
        <v>4791</v>
      </c>
      <c r="E451" s="77" t="s">
        <v>4382</v>
      </c>
      <c r="F451" s="77" t="s">
        <v>489</v>
      </c>
      <c r="G451" s="77" t="s">
        <v>4555</v>
      </c>
      <c r="H451" s="77" t="str">
        <f t="shared" ref="H451:H514" si="7">CONCATENATE(D451,";",E451,";",F451,";",G451,";",J451,";",K451,";")</f>
        <v>dhanapal.t@ujjivan.com;selvakumar.m@ujjivan.com;john.wesley@ujjivan.com;gowtham@ujjivan.com;jothy.vasagam@ujjivan.com;p.rajasekar@ujjivan.com;</v>
      </c>
      <c r="J451" s="77" t="s">
        <v>2985</v>
      </c>
      <c r="K451" s="77" t="s">
        <v>2989</v>
      </c>
    </row>
    <row r="452" spans="1:11" x14ac:dyDescent="0.25">
      <c r="A452" s="146" t="s">
        <v>581</v>
      </c>
      <c r="B452" s="75" t="s">
        <v>3290</v>
      </c>
      <c r="C452" s="75" t="s">
        <v>4028</v>
      </c>
      <c r="D452" s="76" t="s">
        <v>3627</v>
      </c>
      <c r="E452" s="77" t="s">
        <v>4922</v>
      </c>
      <c r="F452" s="77" t="s">
        <v>4522</v>
      </c>
      <c r="G452" s="77" t="s">
        <v>427</v>
      </c>
      <c r="H452" s="77" t="str">
        <f t="shared" si="7"/>
        <v>rajesh.chaluvaiah@ujjivan.com;manikanta.gowda@ujjivan.com;murali.mohan@ujjivan.com;ravichandra.mm@ujjivan.com;suresh.poojary@ujjivan.com;harshith.hn@ujjivan.com;</v>
      </c>
      <c r="J452" s="77" t="s">
        <v>2968</v>
      </c>
      <c r="K452" s="77" t="s">
        <v>2969</v>
      </c>
    </row>
    <row r="453" spans="1:11" x14ac:dyDescent="0.25">
      <c r="A453" s="146" t="s">
        <v>584</v>
      </c>
      <c r="B453" s="75" t="s">
        <v>3291</v>
      </c>
      <c r="C453" s="75" t="s">
        <v>4029</v>
      </c>
      <c r="D453" s="76" t="s">
        <v>3596</v>
      </c>
      <c r="E453" s="77" t="s">
        <v>4338</v>
      </c>
      <c r="F453" s="77" t="s">
        <v>4523</v>
      </c>
      <c r="G453" s="77" t="s">
        <v>447</v>
      </c>
      <c r="H453" s="77" t="str">
        <f t="shared" si="7"/>
        <v>emmanuel.gnanaseelan@ujjivan.com;vijai.subramani@ujjivan.com;bharath.m@ujjivan.com;thiyagu.basavaraj@ujjivan.com;umamaheswari.s@ujjivan.com;srinath.r@ujjivan.com;</v>
      </c>
      <c r="J453" s="77" t="s">
        <v>2965</v>
      </c>
      <c r="K453" s="77" t="s">
        <v>2987</v>
      </c>
    </row>
    <row r="454" spans="1:11" x14ac:dyDescent="0.25">
      <c r="A454" s="146" t="s">
        <v>585</v>
      </c>
      <c r="B454" s="75" t="s">
        <v>3292</v>
      </c>
      <c r="C454" s="75" t="s">
        <v>4030</v>
      </c>
      <c r="D454" s="76" t="s">
        <v>4385</v>
      </c>
      <c r="E454" s="77" t="s">
        <v>4793</v>
      </c>
      <c r="F454" s="77" t="s">
        <v>489</v>
      </c>
      <c r="G454" s="77" t="s">
        <v>4555</v>
      </c>
      <c r="H454" s="77" t="str">
        <f t="shared" si="7"/>
        <v>guruvaraj.sogusa@ujjivan.com;marimuthuraja.r@ujjivan.com;john.wesley@ujjivan.com;gowtham@ujjivan.com;jothy.vasagam@ujjivan.com;p.rajasekar@ujjivan.com;</v>
      </c>
      <c r="J454" s="77" t="s">
        <v>2985</v>
      </c>
      <c r="K454" s="77" t="s">
        <v>2989</v>
      </c>
    </row>
    <row r="455" spans="1:11" x14ac:dyDescent="0.25">
      <c r="A455" s="146" t="s">
        <v>588</v>
      </c>
      <c r="B455" s="75" t="s">
        <v>3293</v>
      </c>
      <c r="C455" s="75" t="s">
        <v>4031</v>
      </c>
      <c r="D455" s="76" t="s">
        <v>4387</v>
      </c>
      <c r="E455" s="77" t="s">
        <v>4794</v>
      </c>
      <c r="F455" s="77" t="s">
        <v>489</v>
      </c>
      <c r="G455" s="77"/>
      <c r="H455" s="77" t="str">
        <f t="shared" si="7"/>
        <v>kalidass.b@ujjivan.com;avudaiselvan.k@ujjivan.com;john.wesley@ujjivan.com;;jothy.vasagam@ujjivan.com;p.rajasekar@ujjivan.com;</v>
      </c>
      <c r="J455" s="77" t="s">
        <v>2985</v>
      </c>
      <c r="K455" s="77" t="s">
        <v>2989</v>
      </c>
    </row>
    <row r="456" spans="1:11" x14ac:dyDescent="0.25">
      <c r="A456" s="146" t="s">
        <v>591</v>
      </c>
      <c r="B456" s="75" t="s">
        <v>2931</v>
      </c>
      <c r="C456" s="75" t="s">
        <v>2932</v>
      </c>
      <c r="D456" s="76" t="s">
        <v>1441</v>
      </c>
      <c r="E456" s="77" t="s">
        <v>4795</v>
      </c>
      <c r="F456" s="77" t="s">
        <v>473</v>
      </c>
      <c r="G456" s="77" t="s">
        <v>447</v>
      </c>
      <c r="H456" s="77" t="str">
        <f t="shared" si="7"/>
        <v>syed.mushtak@ujjivan.com;loganathan.selvaraj@ujjivan.com;sudhakar.babu@ujjivan.com;thiyagu.basavaraj@ujjivan.com;rajaguru.i@ujjivan.com;muralidharan.n@ujjivan.com;</v>
      </c>
      <c r="J456" s="77" t="s">
        <v>2973</v>
      </c>
      <c r="K456" s="77" t="s">
        <v>2974</v>
      </c>
    </row>
    <row r="457" spans="1:11" x14ac:dyDescent="0.25">
      <c r="A457" s="146" t="s">
        <v>592</v>
      </c>
      <c r="B457" s="75" t="s">
        <v>3294</v>
      </c>
      <c r="C457" s="75" t="s">
        <v>4032</v>
      </c>
      <c r="D457" s="76" t="s">
        <v>3631</v>
      </c>
      <c r="E457" s="77" t="s">
        <v>4388</v>
      </c>
      <c r="F457" s="77" t="s">
        <v>4521</v>
      </c>
      <c r="G457" s="77" t="s">
        <v>405</v>
      </c>
      <c r="H457" s="77" t="str">
        <f t="shared" si="7"/>
        <v>ashokkumar.janardhana@ujjivan.com;venkatesh.dm@ujjivan.com;sandeep.jain@ujjivan.com;sachinkumar.kb@ujjivan.com;shekhar.poojary@ujjivan.com;vineethkumar.v@ujjivan.com;</v>
      </c>
      <c r="J457" s="77" t="s">
        <v>2962</v>
      </c>
      <c r="K457" s="77" t="s">
        <v>2964</v>
      </c>
    </row>
    <row r="458" spans="1:11" x14ac:dyDescent="0.25">
      <c r="A458" s="146" t="s">
        <v>593</v>
      </c>
      <c r="B458" s="75" t="s">
        <v>3295</v>
      </c>
      <c r="C458" s="75" t="s">
        <v>4033</v>
      </c>
      <c r="D458" s="76" t="s">
        <v>4352</v>
      </c>
      <c r="E458" s="77" t="s">
        <v>4797</v>
      </c>
      <c r="F458" s="77" t="s">
        <v>489</v>
      </c>
      <c r="G458" s="77" t="s">
        <v>4555</v>
      </c>
      <c r="H458" s="77" t="str">
        <f t="shared" si="7"/>
        <v>varatha.rajan@ujjivan.com;sakthisivam.r@ujjivan.com;john.wesley@ujjivan.com;gowtham@ujjivan.com;jothy.vasagam@ujjivan.com;p.rajasekar@ujjivan.com;</v>
      </c>
      <c r="J458" s="77" t="s">
        <v>2985</v>
      </c>
      <c r="K458" s="77" t="s">
        <v>2989</v>
      </c>
    </row>
    <row r="459" spans="1:11" x14ac:dyDescent="0.25">
      <c r="A459" s="146" t="s">
        <v>594</v>
      </c>
      <c r="B459" s="75" t="s">
        <v>3296</v>
      </c>
      <c r="C459" s="75" t="s">
        <v>4034</v>
      </c>
      <c r="D459" s="76" t="s">
        <v>3633</v>
      </c>
      <c r="E459" s="77" t="s">
        <v>4390</v>
      </c>
      <c r="F459" s="77" t="s">
        <v>4526</v>
      </c>
      <c r="G459" s="77" t="s">
        <v>4555</v>
      </c>
      <c r="H459" s="77" t="str">
        <f t="shared" si="7"/>
        <v>p.sivaprakash@ujjivan.com;krishna.kumar@ujjivan.com;packiaraj.k@ujjivan.com;gowtham@ujjivan.com;jothy.vasagam@ujjivan.com;balamurugan.subburaj@ujjivan.com;</v>
      </c>
      <c r="J459" s="77" t="s">
        <v>2985</v>
      </c>
      <c r="K459" s="77" t="s">
        <v>2986</v>
      </c>
    </row>
    <row r="460" spans="1:11" x14ac:dyDescent="0.25">
      <c r="A460" s="146" t="s">
        <v>595</v>
      </c>
      <c r="B460" s="75" t="s">
        <v>3297</v>
      </c>
      <c r="C460" s="75" t="s">
        <v>4035</v>
      </c>
      <c r="D460" s="76" t="s">
        <v>3634</v>
      </c>
      <c r="E460" s="77" t="s">
        <v>4391</v>
      </c>
      <c r="F460" s="77" t="s">
        <v>489</v>
      </c>
      <c r="G460" s="77" t="s">
        <v>4555</v>
      </c>
      <c r="H460" s="77" t="str">
        <f t="shared" si="7"/>
        <v>chithiraikkani.i@ujjivan.com;ramar@ujjivan.com;john.wesley@ujjivan.com;gowtham@ujjivan.com;jothy.vasagam@ujjivan.com;p.rajasekar@ujjivan.com;</v>
      </c>
      <c r="J460" s="77" t="s">
        <v>2985</v>
      </c>
      <c r="K460" s="77" t="s">
        <v>2989</v>
      </c>
    </row>
    <row r="461" spans="1:11" x14ac:dyDescent="0.25">
      <c r="A461" s="146" t="s">
        <v>597</v>
      </c>
      <c r="B461" s="75" t="s">
        <v>589</v>
      </c>
      <c r="C461" s="75" t="s">
        <v>2930</v>
      </c>
      <c r="D461" s="76" t="s">
        <v>590</v>
      </c>
      <c r="E461" s="77" t="s">
        <v>4392</v>
      </c>
      <c r="F461" s="77" t="s">
        <v>489</v>
      </c>
      <c r="G461" s="77" t="s">
        <v>4555</v>
      </c>
      <c r="H461" s="77" t="str">
        <f t="shared" si="7"/>
        <v>palani.kumar@ujjivan.com;ganeshkumar.k@ujjivan.com;john.wesley@ujjivan.com;gowtham@ujjivan.com;jothy.vasagam@ujjivan.com;p.rajasekar@ujjivan.com;</v>
      </c>
      <c r="J461" s="77" t="s">
        <v>2985</v>
      </c>
      <c r="K461" s="77" t="s">
        <v>2989</v>
      </c>
    </row>
    <row r="462" spans="1:11" x14ac:dyDescent="0.25">
      <c r="A462" s="146" t="s">
        <v>598</v>
      </c>
      <c r="B462" s="75"/>
      <c r="C462" s="75"/>
      <c r="D462" s="76"/>
      <c r="E462" s="77"/>
      <c r="F462" s="77"/>
      <c r="G462" s="77"/>
      <c r="H462" s="77" t="str">
        <f t="shared" si="7"/>
        <v>;;;;jothy.vasagam@ujjivan.com;balamurugan.subburaj@ujjivan.com;</v>
      </c>
      <c r="J462" s="77" t="s">
        <v>2985</v>
      </c>
      <c r="K462" s="77" t="s">
        <v>2986</v>
      </c>
    </row>
    <row r="463" spans="1:11" x14ac:dyDescent="0.25">
      <c r="A463" s="146" t="s">
        <v>857</v>
      </c>
      <c r="B463" s="75" t="s">
        <v>3298</v>
      </c>
      <c r="C463" s="75" t="s">
        <v>4036</v>
      </c>
      <c r="D463" s="76" t="s">
        <v>3635</v>
      </c>
      <c r="E463" s="77" t="s">
        <v>4393</v>
      </c>
      <c r="F463" s="77" t="s">
        <v>489</v>
      </c>
      <c r="G463" s="77" t="s">
        <v>4555</v>
      </c>
      <c r="H463" s="77" t="str">
        <f t="shared" si="7"/>
        <v>gladson.vethachalam@ujjivan.com;marimuthu.v@ujjivan.com;john.wesley@ujjivan.com;gowtham@ujjivan.com;jothy.vasagam@ujjivan.com;p.rajasekar@ujjivan.com;</v>
      </c>
      <c r="J463" s="77" t="s">
        <v>2985</v>
      </c>
      <c r="K463" s="77" t="s">
        <v>2989</v>
      </c>
    </row>
    <row r="464" spans="1:11" x14ac:dyDescent="0.25">
      <c r="A464" s="146" t="s">
        <v>858</v>
      </c>
      <c r="B464" s="75" t="s">
        <v>3299</v>
      </c>
      <c r="C464" s="75" t="s">
        <v>2934</v>
      </c>
      <c r="D464" s="76" t="s">
        <v>859</v>
      </c>
      <c r="E464" s="77"/>
      <c r="F464" s="77" t="s">
        <v>489</v>
      </c>
      <c r="G464" s="77" t="s">
        <v>4555</v>
      </c>
      <c r="H464" s="77" t="str">
        <f t="shared" si="7"/>
        <v>raja.kumar@ujjivan.com;;john.wesley@ujjivan.com;gowtham@ujjivan.com;jothy.vasagam@ujjivan.com;p.rajasekar@ujjivan.com;</v>
      </c>
      <c r="J464" s="77" t="s">
        <v>2985</v>
      </c>
      <c r="K464" s="77" t="s">
        <v>2989</v>
      </c>
    </row>
    <row r="465" spans="1:11" x14ac:dyDescent="0.25">
      <c r="A465" s="146" t="s">
        <v>860</v>
      </c>
      <c r="B465" s="75" t="s">
        <v>582</v>
      </c>
      <c r="C465" s="75" t="s">
        <v>2929</v>
      </c>
      <c r="D465" s="76" t="s">
        <v>583</v>
      </c>
      <c r="E465" s="77" t="s">
        <v>4798</v>
      </c>
      <c r="F465" s="77" t="s">
        <v>4522</v>
      </c>
      <c r="G465" s="77" t="s">
        <v>427</v>
      </c>
      <c r="H465" s="77" t="str">
        <f t="shared" si="7"/>
        <v>raghunandan.hs@ujjivan.com;srikanth.siddaraju@ujjivan.com;murali.mohan@ujjivan.com;ravichandra.mm@ujjivan.com;suresh.poojary@ujjivan.com;harshith.hn@ujjivan.com;</v>
      </c>
      <c r="J465" s="77" t="s">
        <v>2968</v>
      </c>
      <c r="K465" s="77" t="s">
        <v>2969</v>
      </c>
    </row>
    <row r="466" spans="1:11" x14ac:dyDescent="0.25">
      <c r="A466" s="146" t="s">
        <v>863</v>
      </c>
      <c r="B466" s="75" t="s">
        <v>3300</v>
      </c>
      <c r="C466" s="75" t="s">
        <v>2933</v>
      </c>
      <c r="D466" s="76" t="s">
        <v>3632</v>
      </c>
      <c r="E466" s="77" t="s">
        <v>4396</v>
      </c>
      <c r="F466" s="77" t="s">
        <v>4526</v>
      </c>
      <c r="G466" s="77" t="s">
        <v>4555</v>
      </c>
      <c r="H466" s="77" t="str">
        <f t="shared" si="7"/>
        <v>s.achuthaneyan@ujjivan.com;karthik.kathir@ujjivan.com;packiaraj.k@ujjivan.com;gowtham@ujjivan.com;jothy.vasagam@ujjivan.com;balamurugan.subburaj@ujjivan.com;</v>
      </c>
      <c r="J466" s="77" t="s">
        <v>2985</v>
      </c>
      <c r="K466" s="77" t="s">
        <v>2986</v>
      </c>
    </row>
    <row r="467" spans="1:11" x14ac:dyDescent="0.25">
      <c r="A467" s="146" t="s">
        <v>1782</v>
      </c>
      <c r="B467" s="75" t="s">
        <v>3540</v>
      </c>
      <c r="C467" s="75" t="s">
        <v>4037</v>
      </c>
      <c r="D467" s="76" t="s">
        <v>4799</v>
      </c>
      <c r="E467" s="77" t="s">
        <v>4397</v>
      </c>
      <c r="F467" s="77" t="s">
        <v>4523</v>
      </c>
      <c r="G467" s="77" t="s">
        <v>4555</v>
      </c>
      <c r="H467" s="77" t="str">
        <f t="shared" si="7"/>
        <v>suresh.m@ujjivan.com;maadhu.abimannan@ujjivan.com;bharath.m@ujjivan.com;gowtham@ujjivan.com;umamaheswari.s@ujjivan.com;srinath.r@ujjivan.com;</v>
      </c>
      <c r="J467" s="77" t="s">
        <v>2965</v>
      </c>
      <c r="K467" s="77" t="s">
        <v>2987</v>
      </c>
    </row>
    <row r="468" spans="1:11" x14ac:dyDescent="0.25">
      <c r="A468" s="146" t="s">
        <v>1785</v>
      </c>
      <c r="B468" s="75" t="s">
        <v>3541</v>
      </c>
      <c r="C468" s="75" t="s">
        <v>4038</v>
      </c>
      <c r="D468" s="76" t="s">
        <v>3757</v>
      </c>
      <c r="E468" s="77" t="s">
        <v>4800</v>
      </c>
      <c r="F468" s="77" t="s">
        <v>2904</v>
      </c>
      <c r="G468" s="77"/>
      <c r="H468" s="77" t="str">
        <f t="shared" si="7"/>
        <v>soundhararajan.d@ujjivan.com;nandha.r@ujjivan.com;sivakumar.h@ujjivan.com;;boopathy.p@ujjivan.com;vijaya.prakash@ujjivan.com;</v>
      </c>
      <c r="J468" s="77" t="s">
        <v>2981</v>
      </c>
      <c r="K468" s="77" t="s">
        <v>2983</v>
      </c>
    </row>
    <row r="469" spans="1:11" x14ac:dyDescent="0.25">
      <c r="A469" s="146" t="s">
        <v>1788</v>
      </c>
      <c r="B469" s="75" t="s">
        <v>3542</v>
      </c>
      <c r="C469" s="75" t="s">
        <v>4039</v>
      </c>
      <c r="D469" s="76"/>
      <c r="E469" s="77" t="s">
        <v>4801</v>
      </c>
      <c r="F469" s="77" t="s">
        <v>4523</v>
      </c>
      <c r="G469" s="77" t="s">
        <v>447</v>
      </c>
      <c r="H469" s="77" t="str">
        <f t="shared" si="7"/>
        <v>;j.dinesh@ujjivan.com;bharath.m@ujjivan.com;thiyagu.basavaraj@ujjivan.com;umamaheswari.s@ujjivan.com;srinath.r@ujjivan.com;</v>
      </c>
      <c r="J469" s="77" t="s">
        <v>2965</v>
      </c>
      <c r="K469" s="77" t="s">
        <v>2987</v>
      </c>
    </row>
    <row r="470" spans="1:11" x14ac:dyDescent="0.25">
      <c r="A470" s="146" t="s">
        <v>2686</v>
      </c>
      <c r="B470" s="75"/>
      <c r="C470" s="75"/>
      <c r="D470" s="76"/>
      <c r="E470" s="77"/>
      <c r="F470" s="77"/>
      <c r="G470" s="77"/>
      <c r="H470" s="77"/>
      <c r="J470" s="77" t="s">
        <v>2968</v>
      </c>
      <c r="K470" s="77" t="s">
        <v>2979</v>
      </c>
    </row>
    <row r="471" spans="1:11" x14ac:dyDescent="0.25">
      <c r="A471" s="183" t="s">
        <v>2080</v>
      </c>
      <c r="B471" s="75"/>
      <c r="C471" s="75"/>
      <c r="D471" s="76" t="s">
        <v>2855</v>
      </c>
      <c r="E471" s="77" t="s">
        <v>4283</v>
      </c>
      <c r="F471" s="77" t="s">
        <v>4415</v>
      </c>
      <c r="H471" s="77" t="str">
        <f t="shared" si="7"/>
        <v>banta.singh@ujjivan.com;fatehsingh.yogi@ujjivan.com;rajesh.kr@ujjivan.com;;;;</v>
      </c>
      <c r="J471" s="77"/>
      <c r="K471" s="77"/>
    </row>
    <row r="472" spans="1:11" x14ac:dyDescent="0.25">
      <c r="B472" s="75"/>
      <c r="C472" s="75"/>
      <c r="D472" s="76"/>
      <c r="E472" s="77"/>
      <c r="F472" s="77"/>
      <c r="H472" s="77" t="str">
        <f t="shared" si="7"/>
        <v>;;;;;;</v>
      </c>
      <c r="J472" s="77"/>
      <c r="K472" s="77"/>
    </row>
    <row r="473" spans="1:11" x14ac:dyDescent="0.25">
      <c r="A473" s="184">
        <v>3546</v>
      </c>
      <c r="B473" s="75"/>
      <c r="C473" s="75"/>
      <c r="D473" s="76"/>
      <c r="E473" s="77"/>
      <c r="F473" s="77"/>
      <c r="H473" s="77" t="str">
        <f t="shared" si="7"/>
        <v>;;;;;;</v>
      </c>
      <c r="J473" s="77"/>
      <c r="K473" s="77"/>
    </row>
    <row r="474" spans="1:11" x14ac:dyDescent="0.25">
      <c r="A474" s="184">
        <v>3372</v>
      </c>
      <c r="B474" s="75"/>
      <c r="C474" s="75"/>
      <c r="D474" s="76"/>
      <c r="E474" s="77"/>
      <c r="F474" s="77"/>
      <c r="H474" s="77" t="str">
        <f t="shared" si="7"/>
        <v>;;;;;;</v>
      </c>
      <c r="J474" s="77"/>
      <c r="K474" s="77"/>
    </row>
    <row r="475" spans="1:11" x14ac:dyDescent="0.25">
      <c r="B475" s="75"/>
      <c r="C475" s="75"/>
      <c r="D475" s="76"/>
      <c r="E475" s="77"/>
      <c r="F475" s="77"/>
      <c r="H475" s="77" t="str">
        <f t="shared" si="7"/>
        <v>;;;;;;</v>
      </c>
    </row>
    <row r="476" spans="1:11" x14ac:dyDescent="0.25">
      <c r="A476" s="182">
        <v>1666</v>
      </c>
      <c r="B476" s="75"/>
      <c r="C476" s="75"/>
      <c r="D476" s="76"/>
      <c r="E476" s="77"/>
      <c r="F476" s="77"/>
      <c r="H476" s="77" t="str">
        <f t="shared" si="7"/>
        <v>;;;;;;</v>
      </c>
    </row>
    <row r="477" spans="1:11" x14ac:dyDescent="0.25">
      <c r="A477" s="182">
        <v>1667</v>
      </c>
      <c r="B477" s="75"/>
      <c r="C477" s="75"/>
      <c r="D477" s="76"/>
      <c r="E477" s="77"/>
      <c r="F477" s="77"/>
      <c r="H477" s="77" t="str">
        <f t="shared" si="7"/>
        <v>;;;;;;</v>
      </c>
    </row>
    <row r="478" spans="1:11" x14ac:dyDescent="0.25">
      <c r="A478" s="182">
        <v>1668</v>
      </c>
      <c r="B478" s="75"/>
      <c r="C478" s="75"/>
      <c r="D478" s="76"/>
      <c r="E478" s="77"/>
      <c r="F478" s="77"/>
      <c r="H478" s="77" t="str">
        <f t="shared" si="7"/>
        <v>;;;;;;</v>
      </c>
    </row>
    <row r="479" spans="1:11" x14ac:dyDescent="0.25">
      <c r="A479" s="182">
        <v>1669</v>
      </c>
      <c r="B479" s="75"/>
      <c r="C479" s="75"/>
      <c r="D479" s="76"/>
      <c r="E479" s="77"/>
      <c r="F479" s="77"/>
      <c r="H479" s="77" t="str">
        <f t="shared" si="7"/>
        <v>;;;;;;</v>
      </c>
    </row>
    <row r="480" spans="1:11" x14ac:dyDescent="0.25">
      <c r="A480" s="182">
        <v>1670</v>
      </c>
      <c r="B480" s="75"/>
      <c r="C480" s="75"/>
      <c r="D480" s="76"/>
      <c r="E480" s="77"/>
      <c r="F480" s="77"/>
      <c r="H480" s="77" t="str">
        <f t="shared" si="7"/>
        <v>;;;;;;</v>
      </c>
    </row>
    <row r="481" spans="1:8" x14ac:dyDescent="0.25">
      <c r="A481" s="182">
        <v>1671</v>
      </c>
      <c r="B481" s="75"/>
      <c r="C481" s="75"/>
      <c r="D481" s="76"/>
      <c r="E481" s="77"/>
      <c r="F481" s="77"/>
      <c r="H481" s="77" t="str">
        <f t="shared" si="7"/>
        <v>;;;;;;</v>
      </c>
    </row>
    <row r="482" spans="1:8" x14ac:dyDescent="0.25">
      <c r="A482" s="182">
        <v>1672</v>
      </c>
      <c r="B482" s="75"/>
      <c r="C482" s="75"/>
      <c r="D482" s="76"/>
      <c r="E482" s="77"/>
      <c r="F482" s="77"/>
      <c r="H482" s="77" t="str">
        <f t="shared" si="7"/>
        <v>;;;;;;</v>
      </c>
    </row>
    <row r="483" spans="1:8" x14ac:dyDescent="0.25">
      <c r="A483" s="182">
        <v>1673</v>
      </c>
      <c r="B483" s="75"/>
      <c r="C483" s="75"/>
      <c r="D483" s="76"/>
      <c r="E483" s="77"/>
      <c r="F483" s="77"/>
      <c r="H483" s="77" t="str">
        <f t="shared" si="7"/>
        <v>;;;;;;</v>
      </c>
    </row>
    <row r="484" spans="1:8" x14ac:dyDescent="0.25">
      <c r="A484" s="182">
        <v>1675</v>
      </c>
      <c r="B484" s="75"/>
      <c r="C484" s="75"/>
      <c r="D484" s="76"/>
      <c r="E484" s="77"/>
      <c r="F484" s="77"/>
      <c r="H484" s="77" t="str">
        <f t="shared" si="7"/>
        <v>;;;;;;</v>
      </c>
    </row>
    <row r="485" spans="1:8" x14ac:dyDescent="0.25">
      <c r="A485" s="182">
        <v>1676</v>
      </c>
      <c r="B485" s="75"/>
      <c r="C485" s="75"/>
      <c r="D485" s="76"/>
      <c r="E485" s="77"/>
      <c r="F485" s="77"/>
      <c r="H485" s="77" t="str">
        <f t="shared" si="7"/>
        <v>;;;;;;</v>
      </c>
    </row>
    <row r="486" spans="1:8" x14ac:dyDescent="0.25">
      <c r="A486" s="182">
        <v>1677</v>
      </c>
      <c r="B486" s="75"/>
      <c r="C486" s="75"/>
      <c r="D486" s="76"/>
      <c r="E486" s="77"/>
      <c r="F486" s="77"/>
      <c r="H486" s="77" t="str">
        <f t="shared" si="7"/>
        <v>;;;;;;</v>
      </c>
    </row>
    <row r="487" spans="1:8" x14ac:dyDescent="0.25">
      <c r="A487" s="182">
        <v>1678</v>
      </c>
      <c r="B487" s="75"/>
      <c r="C487" s="75"/>
      <c r="D487" s="76"/>
      <c r="E487" s="77"/>
      <c r="F487" s="77"/>
      <c r="H487" s="77" t="str">
        <f t="shared" si="7"/>
        <v>;;;;;;</v>
      </c>
    </row>
    <row r="488" spans="1:8" x14ac:dyDescent="0.25">
      <c r="A488" s="182">
        <v>1679</v>
      </c>
      <c r="B488" s="75"/>
      <c r="C488" s="75"/>
      <c r="D488" s="76"/>
      <c r="E488" s="77"/>
      <c r="F488" s="77"/>
      <c r="H488" s="77" t="str">
        <f t="shared" si="7"/>
        <v>;;;;;;</v>
      </c>
    </row>
    <row r="489" spans="1:8" x14ac:dyDescent="0.25">
      <c r="A489" s="182">
        <v>1680</v>
      </c>
      <c r="B489" s="75"/>
      <c r="C489" s="75"/>
      <c r="D489" s="76"/>
      <c r="E489" s="77"/>
      <c r="F489" s="77"/>
      <c r="H489" s="77" t="str">
        <f t="shared" si="7"/>
        <v>;;;;;;</v>
      </c>
    </row>
    <row r="490" spans="1:8" x14ac:dyDescent="0.25">
      <c r="A490" s="182">
        <v>1682</v>
      </c>
      <c r="B490" s="75"/>
      <c r="C490" s="75"/>
      <c r="D490" s="76"/>
      <c r="E490" s="77"/>
      <c r="F490" s="77"/>
      <c r="H490" s="77" t="str">
        <f t="shared" si="7"/>
        <v>;;;;;;</v>
      </c>
    </row>
    <row r="491" spans="1:8" x14ac:dyDescent="0.25">
      <c r="A491" s="182">
        <v>1683</v>
      </c>
      <c r="B491" s="75"/>
      <c r="C491" s="75"/>
      <c r="D491" s="76"/>
      <c r="E491" s="77"/>
      <c r="F491" s="77"/>
      <c r="H491" s="77" t="str">
        <f t="shared" si="7"/>
        <v>;;;;;;</v>
      </c>
    </row>
    <row r="492" spans="1:8" x14ac:dyDescent="0.25">
      <c r="A492" s="182">
        <v>1684</v>
      </c>
      <c r="B492" s="75"/>
      <c r="C492" s="75"/>
      <c r="D492" s="76"/>
      <c r="E492" s="77"/>
      <c r="F492" s="77"/>
      <c r="H492" s="77" t="str">
        <f t="shared" si="7"/>
        <v>;;;;;;</v>
      </c>
    </row>
    <row r="493" spans="1:8" x14ac:dyDescent="0.25">
      <c r="A493" s="182">
        <v>1685</v>
      </c>
      <c r="B493" s="75"/>
      <c r="C493" s="75"/>
      <c r="D493" s="76"/>
      <c r="E493" s="77"/>
      <c r="F493" s="77"/>
      <c r="H493" s="77" t="str">
        <f t="shared" si="7"/>
        <v>;;;;;;</v>
      </c>
    </row>
    <row r="494" spans="1:8" x14ac:dyDescent="0.25">
      <c r="A494" s="182">
        <v>1686</v>
      </c>
      <c r="B494" s="75"/>
      <c r="C494" s="75"/>
      <c r="D494" s="76"/>
      <c r="E494" s="77"/>
      <c r="F494" s="77"/>
      <c r="H494" s="77" t="str">
        <f t="shared" si="7"/>
        <v>;;;;;;</v>
      </c>
    </row>
    <row r="495" spans="1:8" x14ac:dyDescent="0.25">
      <c r="A495" s="182">
        <v>1687</v>
      </c>
      <c r="B495" s="75"/>
      <c r="C495" s="75"/>
      <c r="D495" s="76"/>
      <c r="E495" s="77"/>
      <c r="F495" s="77"/>
      <c r="H495" s="77" t="str">
        <f t="shared" si="7"/>
        <v>;;;;;;</v>
      </c>
    </row>
    <row r="496" spans="1:8" x14ac:dyDescent="0.25">
      <c r="A496" s="182">
        <v>1688</v>
      </c>
      <c r="B496" s="75"/>
      <c r="C496" s="75"/>
      <c r="D496" s="76"/>
      <c r="E496" s="77"/>
      <c r="F496" s="77"/>
      <c r="H496" s="77" t="str">
        <f t="shared" si="7"/>
        <v>;;;;;;</v>
      </c>
    </row>
    <row r="497" spans="1:8" x14ac:dyDescent="0.25">
      <c r="A497" s="182">
        <v>1689</v>
      </c>
      <c r="B497" s="75"/>
      <c r="C497" s="75"/>
      <c r="D497" s="76"/>
      <c r="E497" s="77"/>
      <c r="F497" s="77"/>
      <c r="H497" s="77" t="str">
        <f t="shared" si="7"/>
        <v>;;;;;;</v>
      </c>
    </row>
    <row r="498" spans="1:8" x14ac:dyDescent="0.25">
      <c r="A498" s="182">
        <v>1690</v>
      </c>
      <c r="B498" s="75"/>
      <c r="C498" s="75"/>
      <c r="D498" s="76"/>
      <c r="E498" s="77"/>
      <c r="F498" s="77"/>
      <c r="H498" s="77" t="str">
        <f t="shared" si="7"/>
        <v>;;;;;;</v>
      </c>
    </row>
    <row r="499" spans="1:8" x14ac:dyDescent="0.25">
      <c r="A499" s="182">
        <v>1691</v>
      </c>
      <c r="B499" s="75"/>
      <c r="C499" s="75"/>
      <c r="D499" s="76"/>
      <c r="E499" s="77"/>
      <c r="F499" s="77"/>
      <c r="H499" s="77" t="str">
        <f t="shared" si="7"/>
        <v>;;;;;;</v>
      </c>
    </row>
    <row r="500" spans="1:8" x14ac:dyDescent="0.25">
      <c r="A500" s="182">
        <v>1692</v>
      </c>
      <c r="B500" s="75"/>
      <c r="C500" s="75"/>
      <c r="D500" s="76"/>
      <c r="E500" s="77"/>
      <c r="F500" s="77"/>
      <c r="H500" s="77" t="str">
        <f t="shared" si="7"/>
        <v>;;;;;;</v>
      </c>
    </row>
    <row r="501" spans="1:8" x14ac:dyDescent="0.25">
      <c r="A501" s="182">
        <v>1693</v>
      </c>
      <c r="B501" s="75"/>
      <c r="C501" s="75"/>
      <c r="D501" s="76"/>
      <c r="E501" s="77"/>
      <c r="F501" s="77"/>
      <c r="H501" s="77" t="str">
        <f t="shared" si="7"/>
        <v>;;;;;;</v>
      </c>
    </row>
    <row r="502" spans="1:8" x14ac:dyDescent="0.25">
      <c r="A502" s="182">
        <v>1694</v>
      </c>
      <c r="B502" s="75"/>
      <c r="C502" s="75"/>
      <c r="D502" s="76"/>
      <c r="E502" s="77"/>
      <c r="F502" s="77"/>
      <c r="H502" s="77" t="str">
        <f t="shared" si="7"/>
        <v>;;;;;;</v>
      </c>
    </row>
    <row r="503" spans="1:8" x14ac:dyDescent="0.25">
      <c r="A503" s="182">
        <v>1695</v>
      </c>
      <c r="B503" s="75"/>
      <c r="C503" s="75"/>
      <c r="D503" s="76"/>
      <c r="E503" s="77"/>
      <c r="F503" s="77"/>
      <c r="H503" s="77" t="str">
        <f t="shared" si="7"/>
        <v>;;;;;;</v>
      </c>
    </row>
    <row r="504" spans="1:8" x14ac:dyDescent="0.25">
      <c r="A504" s="182">
        <v>1697</v>
      </c>
      <c r="B504" s="75"/>
      <c r="C504" s="75"/>
      <c r="D504" s="76"/>
      <c r="E504" s="77"/>
      <c r="F504" s="77"/>
      <c r="H504" s="77" t="str">
        <f t="shared" si="7"/>
        <v>;;;;;;</v>
      </c>
    </row>
    <row r="505" spans="1:8" x14ac:dyDescent="0.25">
      <c r="A505" s="182">
        <v>2207</v>
      </c>
      <c r="B505" s="75"/>
      <c r="C505" s="75"/>
      <c r="D505" s="76"/>
      <c r="E505" s="77"/>
      <c r="F505" s="77"/>
      <c r="H505" s="77" t="str">
        <f t="shared" si="7"/>
        <v>;;;;;;</v>
      </c>
    </row>
    <row r="506" spans="1:8" x14ac:dyDescent="0.25">
      <c r="A506" s="182">
        <v>2211</v>
      </c>
      <c r="B506" s="75"/>
      <c r="C506" s="75"/>
      <c r="D506" s="76"/>
      <c r="E506" s="77"/>
      <c r="F506" s="77"/>
      <c r="H506" s="77" t="str">
        <f t="shared" si="7"/>
        <v>;;;;;;</v>
      </c>
    </row>
    <row r="507" spans="1:8" x14ac:dyDescent="0.25">
      <c r="A507" s="182">
        <v>2255</v>
      </c>
      <c r="B507" s="75"/>
      <c r="C507" s="75"/>
      <c r="D507" s="76"/>
      <c r="E507" s="77"/>
      <c r="F507" s="77"/>
      <c r="H507" s="77" t="str">
        <f t="shared" si="7"/>
        <v>;;;;;;</v>
      </c>
    </row>
    <row r="508" spans="1:8" x14ac:dyDescent="0.25">
      <c r="A508" s="182">
        <v>2332</v>
      </c>
      <c r="B508" s="75"/>
      <c r="C508" s="75"/>
      <c r="D508" s="76"/>
      <c r="E508" s="77"/>
      <c r="F508" s="77"/>
      <c r="H508" s="77" t="str">
        <f t="shared" si="7"/>
        <v>;;;;;;</v>
      </c>
    </row>
    <row r="509" spans="1:8" x14ac:dyDescent="0.25">
      <c r="A509" s="182">
        <v>2345</v>
      </c>
      <c r="B509" s="75"/>
      <c r="C509" s="75"/>
      <c r="D509" s="76"/>
      <c r="E509" s="77"/>
      <c r="F509" s="77"/>
      <c r="H509" s="77" t="str">
        <f t="shared" si="7"/>
        <v>;;;;;;</v>
      </c>
    </row>
    <row r="510" spans="1:8" x14ac:dyDescent="0.25">
      <c r="A510" s="182">
        <v>2346</v>
      </c>
      <c r="B510" s="75"/>
      <c r="C510" s="75"/>
      <c r="D510" s="76"/>
      <c r="E510" s="77"/>
      <c r="F510" s="77"/>
      <c r="H510" s="77" t="str">
        <f t="shared" si="7"/>
        <v>;;;;;;</v>
      </c>
    </row>
    <row r="511" spans="1:8" x14ac:dyDescent="0.25">
      <c r="A511" s="182">
        <v>2348</v>
      </c>
      <c r="B511" s="75"/>
      <c r="C511" s="75"/>
      <c r="D511" s="76"/>
      <c r="E511" s="77"/>
      <c r="F511" s="77"/>
      <c r="H511" s="77" t="str">
        <f t="shared" si="7"/>
        <v>;;;;;;</v>
      </c>
    </row>
    <row r="512" spans="1:8" x14ac:dyDescent="0.25">
      <c r="A512" s="182">
        <v>2349</v>
      </c>
      <c r="B512" s="75"/>
      <c r="C512" s="75"/>
      <c r="D512" s="76"/>
      <c r="E512" s="77"/>
      <c r="F512" s="77"/>
      <c r="H512" s="77" t="str">
        <f t="shared" si="7"/>
        <v>;;;;;;</v>
      </c>
    </row>
    <row r="513" spans="1:8" x14ac:dyDescent="0.25">
      <c r="A513" s="182">
        <v>2350</v>
      </c>
      <c r="B513" s="75"/>
      <c r="C513" s="75"/>
      <c r="D513" s="76"/>
      <c r="E513" s="77"/>
      <c r="F513" s="77"/>
      <c r="H513" s="77" t="str">
        <f t="shared" si="7"/>
        <v>;;;;;;</v>
      </c>
    </row>
    <row r="514" spans="1:8" x14ac:dyDescent="0.25">
      <c r="A514" s="182">
        <v>2351</v>
      </c>
      <c r="B514" s="75"/>
      <c r="C514" s="75"/>
      <c r="D514" s="76"/>
      <c r="E514" s="77"/>
      <c r="F514" s="77"/>
      <c r="H514" s="77" t="str">
        <f t="shared" si="7"/>
        <v>;;;;;;</v>
      </c>
    </row>
    <row r="515" spans="1:8" x14ac:dyDescent="0.25">
      <c r="A515" s="182">
        <v>2352</v>
      </c>
      <c r="B515" s="75"/>
      <c r="C515" s="75"/>
      <c r="D515" s="76"/>
      <c r="E515" s="77"/>
      <c r="F515" s="77"/>
      <c r="H515" s="77" t="str">
        <f t="shared" ref="H515:H571" si="8">CONCATENATE(D515,";",E515,";",F515,";",G515,";",J515,";",K515,";")</f>
        <v>;;;;;;</v>
      </c>
    </row>
    <row r="516" spans="1:8" x14ac:dyDescent="0.25">
      <c r="A516" s="182">
        <v>2353</v>
      </c>
      <c r="B516" s="75"/>
      <c r="C516" s="75"/>
      <c r="D516" s="76"/>
      <c r="E516" s="77"/>
      <c r="F516" s="77"/>
      <c r="H516" s="77" t="str">
        <f t="shared" si="8"/>
        <v>;;;;;;</v>
      </c>
    </row>
    <row r="517" spans="1:8" x14ac:dyDescent="0.25">
      <c r="A517" s="182">
        <v>2354</v>
      </c>
      <c r="B517" s="75"/>
      <c r="C517" s="75"/>
      <c r="D517" s="76"/>
      <c r="E517" s="77"/>
      <c r="F517" s="77"/>
      <c r="H517" s="77" t="str">
        <f t="shared" si="8"/>
        <v>;;;;;;</v>
      </c>
    </row>
    <row r="518" spans="1:8" x14ac:dyDescent="0.25">
      <c r="A518" s="182">
        <v>2355</v>
      </c>
      <c r="B518" s="75"/>
      <c r="C518" s="75"/>
      <c r="D518" s="76"/>
      <c r="E518" s="77"/>
      <c r="F518" s="77"/>
      <c r="H518" s="77" t="str">
        <f t="shared" si="8"/>
        <v>;;;;;;</v>
      </c>
    </row>
    <row r="519" spans="1:8" x14ac:dyDescent="0.25">
      <c r="A519" s="182">
        <v>2356</v>
      </c>
      <c r="B519" s="75"/>
      <c r="C519" s="75"/>
      <c r="D519" s="76"/>
      <c r="E519" s="77"/>
      <c r="F519" s="77"/>
      <c r="H519" s="77" t="str">
        <f t="shared" si="8"/>
        <v>;;;;;;</v>
      </c>
    </row>
    <row r="520" spans="1:8" x14ac:dyDescent="0.25">
      <c r="A520" s="182">
        <v>3344</v>
      </c>
      <c r="B520" s="75"/>
      <c r="C520" s="75"/>
      <c r="D520" s="76"/>
      <c r="E520" s="77"/>
      <c r="F520" s="77"/>
      <c r="H520" s="77" t="str">
        <f t="shared" si="8"/>
        <v>;;;;;;</v>
      </c>
    </row>
    <row r="521" spans="1:8" x14ac:dyDescent="0.25">
      <c r="A521" s="182">
        <v>3572</v>
      </c>
      <c r="B521" s="75"/>
      <c r="C521" s="75"/>
      <c r="D521" s="76"/>
      <c r="E521" s="77"/>
      <c r="F521" s="77"/>
      <c r="H521" s="77" t="str">
        <f t="shared" si="8"/>
        <v>;;;;;;</v>
      </c>
    </row>
    <row r="522" spans="1:8" x14ac:dyDescent="0.25">
      <c r="A522" s="182">
        <v>3573</v>
      </c>
      <c r="B522" s="75"/>
      <c r="C522" s="75"/>
      <c r="D522" s="76"/>
      <c r="E522" s="77"/>
      <c r="F522" s="77"/>
      <c r="H522" s="77" t="str">
        <f t="shared" si="8"/>
        <v>;;;;;;</v>
      </c>
    </row>
    <row r="523" spans="1:8" x14ac:dyDescent="0.25">
      <c r="A523" s="182">
        <v>3574</v>
      </c>
      <c r="B523" s="75"/>
      <c r="C523" s="75"/>
      <c r="D523" s="76"/>
      <c r="E523" s="77"/>
      <c r="F523" s="77"/>
      <c r="H523" s="77" t="str">
        <f t="shared" si="8"/>
        <v>;;;;;;</v>
      </c>
    </row>
    <row r="524" spans="1:8" x14ac:dyDescent="0.25">
      <c r="A524" s="182">
        <v>3575</v>
      </c>
      <c r="B524" s="75"/>
      <c r="C524" s="75"/>
      <c r="D524" s="76"/>
      <c r="E524" s="77"/>
      <c r="F524" s="77"/>
      <c r="H524" s="77" t="str">
        <f t="shared" si="8"/>
        <v>;;;;;;</v>
      </c>
    </row>
    <row r="525" spans="1:8" x14ac:dyDescent="0.25">
      <c r="A525" s="182">
        <v>3576</v>
      </c>
      <c r="B525" s="75"/>
      <c r="C525" s="75"/>
      <c r="D525" s="76"/>
      <c r="E525" s="77"/>
      <c r="F525" s="77"/>
      <c r="H525" s="77" t="str">
        <f t="shared" si="8"/>
        <v>;;;;;;</v>
      </c>
    </row>
    <row r="526" spans="1:8" x14ac:dyDescent="0.25">
      <c r="A526" s="182">
        <v>3577</v>
      </c>
      <c r="B526" s="75"/>
      <c r="C526" s="75"/>
      <c r="D526" s="76"/>
      <c r="E526" s="77"/>
      <c r="F526" s="77"/>
      <c r="H526" s="77" t="str">
        <f t="shared" si="8"/>
        <v>;;;;;;</v>
      </c>
    </row>
    <row r="527" spans="1:8" x14ac:dyDescent="0.25">
      <c r="A527" s="182">
        <v>3578</v>
      </c>
      <c r="B527" s="75"/>
      <c r="C527" s="75"/>
      <c r="D527" s="76"/>
      <c r="E527" s="77"/>
      <c r="F527" s="77"/>
      <c r="H527" s="77" t="str">
        <f t="shared" si="8"/>
        <v>;;;;;;</v>
      </c>
    </row>
    <row r="528" spans="1:8" x14ac:dyDescent="0.25">
      <c r="A528" s="182">
        <v>3579</v>
      </c>
      <c r="B528" s="75"/>
      <c r="C528" s="75"/>
      <c r="D528" s="76"/>
      <c r="E528" s="77"/>
      <c r="F528" s="77"/>
      <c r="H528" s="77" t="str">
        <f t="shared" si="8"/>
        <v>;;;;;;</v>
      </c>
    </row>
    <row r="529" spans="1:8" x14ac:dyDescent="0.25">
      <c r="A529" s="182">
        <v>3580</v>
      </c>
      <c r="B529" s="75"/>
      <c r="C529" s="75"/>
      <c r="D529" s="76"/>
      <c r="E529" s="77"/>
      <c r="F529" s="77"/>
      <c r="H529" s="77" t="str">
        <f t="shared" si="8"/>
        <v>;;;;;;</v>
      </c>
    </row>
    <row r="530" spans="1:8" x14ac:dyDescent="0.25">
      <c r="A530" s="182">
        <v>3581</v>
      </c>
      <c r="B530" s="75"/>
      <c r="C530" s="75"/>
      <c r="D530" s="76"/>
      <c r="E530" s="77"/>
      <c r="F530" s="77"/>
      <c r="H530" s="77" t="str">
        <f t="shared" si="8"/>
        <v>;;;;;;</v>
      </c>
    </row>
    <row r="531" spans="1:8" x14ac:dyDescent="0.25">
      <c r="A531" s="182">
        <v>3582</v>
      </c>
      <c r="B531" s="75"/>
      <c r="C531" s="75"/>
      <c r="D531" s="76"/>
      <c r="E531" s="77"/>
      <c r="F531" s="77"/>
      <c r="H531" s="77" t="str">
        <f t="shared" si="8"/>
        <v>;;;;;;</v>
      </c>
    </row>
    <row r="532" spans="1:8" x14ac:dyDescent="0.25">
      <c r="A532" s="182">
        <v>3583</v>
      </c>
      <c r="B532" s="75"/>
      <c r="C532" s="75"/>
      <c r="D532" s="76"/>
      <c r="E532" s="77"/>
      <c r="F532" s="77"/>
      <c r="H532" s="77" t="str">
        <f t="shared" si="8"/>
        <v>;;;;;;</v>
      </c>
    </row>
    <row r="533" spans="1:8" x14ac:dyDescent="0.25">
      <c r="A533" s="182">
        <v>3584</v>
      </c>
      <c r="B533" s="75"/>
      <c r="C533" s="75"/>
      <c r="D533" s="76"/>
      <c r="E533" s="77"/>
      <c r="F533" s="77"/>
      <c r="H533" s="77" t="str">
        <f t="shared" si="8"/>
        <v>;;;;;;</v>
      </c>
    </row>
    <row r="534" spans="1:8" x14ac:dyDescent="0.25">
      <c r="A534" s="182">
        <v>3585</v>
      </c>
      <c r="B534" s="75"/>
      <c r="C534" s="75"/>
      <c r="D534" s="76"/>
      <c r="E534" s="77"/>
      <c r="F534" s="77"/>
      <c r="H534" s="77" t="str">
        <f t="shared" si="8"/>
        <v>;;;;;;</v>
      </c>
    </row>
    <row r="535" spans="1:8" x14ac:dyDescent="0.25">
      <c r="A535" s="182">
        <v>3586</v>
      </c>
      <c r="B535" s="75"/>
      <c r="C535" s="75"/>
      <c r="D535" s="76"/>
      <c r="E535" s="77"/>
      <c r="F535" s="77"/>
      <c r="H535" s="77" t="str">
        <f t="shared" si="8"/>
        <v>;;;;;;</v>
      </c>
    </row>
    <row r="536" spans="1:8" x14ac:dyDescent="0.25">
      <c r="A536" s="182">
        <v>3588</v>
      </c>
      <c r="B536" s="75"/>
      <c r="C536" s="75"/>
      <c r="D536" s="76"/>
      <c r="E536" s="77"/>
      <c r="F536" s="77"/>
      <c r="H536" s="77" t="str">
        <f t="shared" si="8"/>
        <v>;;;;;;</v>
      </c>
    </row>
    <row r="537" spans="1:8" x14ac:dyDescent="0.25">
      <c r="A537" s="182">
        <v>3596</v>
      </c>
      <c r="B537" s="75"/>
      <c r="C537" s="75"/>
      <c r="D537" s="76"/>
      <c r="E537" s="77"/>
      <c r="F537" s="77"/>
      <c r="H537" s="77" t="str">
        <f t="shared" si="8"/>
        <v>;;;;;;</v>
      </c>
    </row>
    <row r="538" spans="1:8" x14ac:dyDescent="0.25">
      <c r="A538" s="182">
        <v>3597</v>
      </c>
      <c r="B538" s="75"/>
      <c r="C538" s="75"/>
      <c r="D538" s="76"/>
      <c r="E538" s="77"/>
      <c r="F538" s="77"/>
      <c r="H538" s="77" t="str">
        <f t="shared" si="8"/>
        <v>;;;;;;</v>
      </c>
    </row>
    <row r="539" spans="1:8" x14ac:dyDescent="0.25">
      <c r="A539" s="182">
        <v>3598</v>
      </c>
      <c r="B539" s="75"/>
      <c r="C539" s="75"/>
      <c r="D539" s="76"/>
      <c r="E539" s="77"/>
      <c r="F539" s="77"/>
      <c r="H539" s="77" t="str">
        <f t="shared" si="8"/>
        <v>;;;;;;</v>
      </c>
    </row>
    <row r="540" spans="1:8" x14ac:dyDescent="0.25">
      <c r="A540" s="182">
        <v>3599</v>
      </c>
      <c r="B540" s="75"/>
      <c r="C540" s="75"/>
      <c r="D540" s="76"/>
      <c r="E540" s="77"/>
      <c r="F540" s="77"/>
      <c r="H540" s="77" t="str">
        <f t="shared" si="8"/>
        <v>;;;;;;</v>
      </c>
    </row>
    <row r="541" spans="1:8" x14ac:dyDescent="0.25">
      <c r="A541" s="182">
        <v>3600</v>
      </c>
      <c r="B541" s="75"/>
      <c r="C541" s="75"/>
      <c r="D541" s="76"/>
      <c r="E541" s="77"/>
      <c r="F541" s="77"/>
      <c r="H541" s="77" t="str">
        <f t="shared" si="8"/>
        <v>;;;;;;</v>
      </c>
    </row>
    <row r="542" spans="1:8" x14ac:dyDescent="0.25">
      <c r="A542" s="182">
        <v>3601</v>
      </c>
      <c r="B542" s="75"/>
      <c r="C542" s="75"/>
      <c r="D542" s="76"/>
      <c r="E542" s="77"/>
      <c r="F542" s="77"/>
      <c r="H542" s="77" t="str">
        <f t="shared" si="8"/>
        <v>;;;;;;</v>
      </c>
    </row>
    <row r="543" spans="1:8" x14ac:dyDescent="0.25">
      <c r="A543" s="182">
        <v>3602</v>
      </c>
      <c r="B543" s="75"/>
      <c r="C543" s="75"/>
      <c r="D543" s="76"/>
      <c r="E543" s="77"/>
      <c r="F543" s="77"/>
      <c r="H543" s="77" t="str">
        <f t="shared" si="8"/>
        <v>;;;;;;</v>
      </c>
    </row>
    <row r="544" spans="1:8" x14ac:dyDescent="0.25">
      <c r="A544" s="182">
        <v>3603</v>
      </c>
      <c r="B544" s="75"/>
      <c r="C544" s="75"/>
      <c r="D544" s="76"/>
      <c r="E544" s="77"/>
      <c r="F544" s="77"/>
      <c r="H544" s="77" t="str">
        <f t="shared" si="8"/>
        <v>;;;;;;</v>
      </c>
    </row>
    <row r="545" spans="1:8" x14ac:dyDescent="0.25">
      <c r="A545" s="182">
        <v>3604</v>
      </c>
      <c r="B545" s="75"/>
      <c r="C545" s="75"/>
      <c r="D545" s="76"/>
      <c r="E545" s="77"/>
      <c r="F545" s="77"/>
      <c r="H545" s="77" t="str">
        <f t="shared" si="8"/>
        <v>;;;;;;</v>
      </c>
    </row>
    <row r="546" spans="1:8" x14ac:dyDescent="0.25">
      <c r="A546" s="182">
        <v>3605</v>
      </c>
      <c r="B546" s="75"/>
      <c r="C546" s="75"/>
      <c r="D546" s="76"/>
      <c r="E546" s="77"/>
      <c r="F546" s="77"/>
      <c r="H546" s="77" t="str">
        <f t="shared" si="8"/>
        <v>;;;;;;</v>
      </c>
    </row>
    <row r="547" spans="1:8" x14ac:dyDescent="0.25">
      <c r="A547" s="182">
        <v>3606</v>
      </c>
      <c r="B547" s="75"/>
      <c r="C547" s="75"/>
      <c r="D547" s="76"/>
      <c r="E547" s="77"/>
      <c r="F547" s="77"/>
      <c r="H547" s="77" t="str">
        <f t="shared" si="8"/>
        <v>;;;;;;</v>
      </c>
    </row>
    <row r="548" spans="1:8" x14ac:dyDescent="0.25">
      <c r="A548" s="182">
        <v>3608</v>
      </c>
      <c r="B548" s="75"/>
      <c r="C548" s="75"/>
      <c r="D548" s="76"/>
      <c r="E548" s="77"/>
      <c r="F548" s="77"/>
      <c r="H548" s="77" t="str">
        <f t="shared" si="8"/>
        <v>;;;;;;</v>
      </c>
    </row>
    <row r="549" spans="1:8" x14ac:dyDescent="0.25">
      <c r="A549" s="182">
        <v>3609</v>
      </c>
      <c r="B549" s="75"/>
      <c r="C549" s="75"/>
      <c r="D549" s="76"/>
      <c r="E549" s="77"/>
      <c r="F549" s="77"/>
      <c r="H549" s="77" t="str">
        <f t="shared" si="8"/>
        <v>;;;;;;</v>
      </c>
    </row>
    <row r="550" spans="1:8" x14ac:dyDescent="0.25">
      <c r="A550" s="182">
        <v>3610</v>
      </c>
      <c r="B550" s="75"/>
      <c r="C550" s="75"/>
      <c r="D550" s="76"/>
      <c r="E550" s="77"/>
      <c r="F550" s="77"/>
      <c r="H550" s="77" t="str">
        <f t="shared" si="8"/>
        <v>;;;;;;</v>
      </c>
    </row>
    <row r="551" spans="1:8" x14ac:dyDescent="0.25">
      <c r="A551" s="182">
        <v>3611</v>
      </c>
      <c r="B551" s="75"/>
      <c r="C551" s="75"/>
      <c r="D551" s="76"/>
      <c r="E551" s="77"/>
      <c r="F551" s="77"/>
      <c r="H551" s="77" t="str">
        <f t="shared" si="8"/>
        <v>;;;;;;</v>
      </c>
    </row>
    <row r="552" spans="1:8" x14ac:dyDescent="0.25">
      <c r="A552" s="182">
        <v>3613</v>
      </c>
      <c r="B552" s="75"/>
      <c r="C552" s="75"/>
      <c r="D552" s="76"/>
      <c r="E552" s="77"/>
      <c r="F552" s="77"/>
      <c r="H552" s="77" t="str">
        <f t="shared" si="8"/>
        <v>;;;;;;</v>
      </c>
    </row>
    <row r="553" spans="1:8" x14ac:dyDescent="0.25">
      <c r="A553" s="182">
        <v>3614</v>
      </c>
      <c r="B553" s="75"/>
      <c r="C553" s="75"/>
      <c r="D553" s="76"/>
      <c r="E553" s="77"/>
      <c r="F553" s="77"/>
      <c r="H553" s="77" t="str">
        <f t="shared" si="8"/>
        <v>;;;;;;</v>
      </c>
    </row>
    <row r="554" spans="1:8" x14ac:dyDescent="0.25">
      <c r="A554" s="182">
        <v>3615</v>
      </c>
      <c r="B554" s="75"/>
      <c r="C554" s="75"/>
      <c r="D554" s="76"/>
      <c r="E554" s="77"/>
      <c r="F554" s="77"/>
      <c r="H554" s="77" t="str">
        <f t="shared" si="8"/>
        <v>;;;;;;</v>
      </c>
    </row>
    <row r="555" spans="1:8" x14ac:dyDescent="0.25">
      <c r="A555" s="182">
        <v>4401</v>
      </c>
      <c r="B555" s="75"/>
      <c r="C555" s="75"/>
      <c r="D555" s="76"/>
      <c r="E555" s="77"/>
      <c r="F555" s="77"/>
      <c r="H555" s="77" t="str">
        <f t="shared" si="8"/>
        <v>;;;;;;</v>
      </c>
    </row>
    <row r="556" spans="1:8" x14ac:dyDescent="0.25">
      <c r="A556" s="182">
        <v>4419</v>
      </c>
      <c r="B556" s="75"/>
      <c r="C556" s="75"/>
      <c r="D556" s="76"/>
      <c r="E556" s="77"/>
      <c r="F556" s="77"/>
      <c r="H556" s="77" t="str">
        <f t="shared" si="8"/>
        <v>;;;;;;</v>
      </c>
    </row>
    <row r="557" spans="1:8" x14ac:dyDescent="0.25">
      <c r="A557" s="182">
        <v>4430</v>
      </c>
      <c r="B557" s="75"/>
      <c r="C557" s="75"/>
      <c r="D557" s="76"/>
      <c r="E557" s="77"/>
      <c r="F557" s="77"/>
      <c r="H557" s="77" t="str">
        <f t="shared" si="8"/>
        <v>;;;;;;</v>
      </c>
    </row>
    <row r="558" spans="1:8" x14ac:dyDescent="0.25">
      <c r="A558" s="182">
        <v>4431</v>
      </c>
      <c r="B558" s="75"/>
      <c r="C558" s="75"/>
      <c r="D558" s="76"/>
      <c r="E558" s="77"/>
      <c r="F558" s="77"/>
      <c r="H558" s="77" t="str">
        <f t="shared" si="8"/>
        <v>;;;;;;</v>
      </c>
    </row>
    <row r="559" spans="1:8" x14ac:dyDescent="0.25">
      <c r="A559" s="182">
        <v>4438</v>
      </c>
      <c r="B559" s="75"/>
      <c r="C559" s="75"/>
      <c r="D559" s="76"/>
      <c r="E559" s="77"/>
      <c r="F559" s="77"/>
      <c r="H559" s="77" t="str">
        <f t="shared" si="8"/>
        <v>;;;;;;</v>
      </c>
    </row>
    <row r="560" spans="1:8" x14ac:dyDescent="0.25">
      <c r="A560" s="182">
        <v>4465</v>
      </c>
      <c r="B560" s="75"/>
      <c r="C560" s="75"/>
      <c r="D560" s="76"/>
      <c r="E560" s="77"/>
      <c r="F560" s="77"/>
      <c r="H560" s="77" t="str">
        <f t="shared" si="8"/>
        <v>;;;;;;</v>
      </c>
    </row>
    <row r="561" spans="1:8" x14ac:dyDescent="0.25">
      <c r="A561" s="182">
        <v>4500</v>
      </c>
      <c r="B561" s="75"/>
      <c r="C561" s="75"/>
      <c r="D561" s="76"/>
      <c r="E561" s="77"/>
      <c r="F561" s="77"/>
      <c r="H561" s="77" t="str">
        <f t="shared" si="8"/>
        <v>;;;;;;</v>
      </c>
    </row>
    <row r="562" spans="1:8" x14ac:dyDescent="0.25">
      <c r="A562" s="182">
        <v>4501</v>
      </c>
      <c r="B562" s="75"/>
      <c r="C562" s="75"/>
      <c r="D562" s="76"/>
      <c r="E562" s="77"/>
      <c r="F562" s="77"/>
      <c r="H562" s="77" t="str">
        <f t="shared" si="8"/>
        <v>;;;;;;</v>
      </c>
    </row>
    <row r="563" spans="1:8" x14ac:dyDescent="0.25">
      <c r="A563" s="182">
        <v>4502</v>
      </c>
      <c r="B563" s="75"/>
      <c r="C563" s="75"/>
      <c r="D563" s="76"/>
      <c r="E563" s="77"/>
      <c r="F563" s="77"/>
      <c r="H563" s="77" t="str">
        <f t="shared" si="8"/>
        <v>;;;;;;</v>
      </c>
    </row>
    <row r="564" spans="1:8" x14ac:dyDescent="0.25">
      <c r="A564" s="182">
        <v>4503</v>
      </c>
      <c r="B564" s="75"/>
      <c r="C564" s="75"/>
      <c r="D564" s="76"/>
      <c r="E564" s="77"/>
      <c r="F564" s="77"/>
      <c r="H564" s="77" t="str">
        <f t="shared" si="8"/>
        <v>;;;;;;</v>
      </c>
    </row>
    <row r="565" spans="1:8" x14ac:dyDescent="0.25">
      <c r="A565" s="182">
        <v>4504</v>
      </c>
      <c r="B565" s="75"/>
      <c r="C565" s="75"/>
      <c r="D565" s="76"/>
      <c r="E565" s="77"/>
      <c r="F565" s="77"/>
      <c r="H565" s="77" t="str">
        <f t="shared" si="8"/>
        <v>;;;;;;</v>
      </c>
    </row>
    <row r="566" spans="1:8" x14ac:dyDescent="0.25">
      <c r="A566" s="182">
        <v>4506</v>
      </c>
      <c r="B566" s="75"/>
      <c r="C566" s="75"/>
      <c r="D566" s="76"/>
      <c r="E566" s="77"/>
      <c r="F566" s="77"/>
      <c r="H566" s="77" t="str">
        <f t="shared" si="8"/>
        <v>;;;;;;</v>
      </c>
    </row>
    <row r="567" spans="1:8" x14ac:dyDescent="0.25">
      <c r="A567" s="182">
        <v>4507</v>
      </c>
      <c r="B567" s="75"/>
      <c r="C567" s="75"/>
      <c r="D567" s="76"/>
      <c r="E567" s="77"/>
      <c r="F567" s="77"/>
      <c r="H567" s="77" t="str">
        <f t="shared" si="8"/>
        <v>;;;;;;</v>
      </c>
    </row>
    <row r="568" spans="1:8" x14ac:dyDescent="0.25">
      <c r="A568" s="182">
        <v>4508</v>
      </c>
      <c r="B568" s="75"/>
      <c r="C568" s="75"/>
      <c r="D568" s="76"/>
      <c r="E568" s="77"/>
      <c r="F568" s="77"/>
      <c r="H568" s="77" t="str">
        <f t="shared" si="8"/>
        <v>;;;;;;</v>
      </c>
    </row>
    <row r="569" spans="1:8" x14ac:dyDescent="0.25">
      <c r="A569" s="182">
        <v>4509</v>
      </c>
      <c r="B569" s="75"/>
      <c r="C569" s="75"/>
      <c r="D569" s="76"/>
      <c r="E569" s="77"/>
      <c r="F569" s="77"/>
      <c r="H569" s="77" t="str">
        <f t="shared" si="8"/>
        <v>;;;;;;</v>
      </c>
    </row>
    <row r="570" spans="1:8" x14ac:dyDescent="0.25">
      <c r="A570" s="182">
        <v>4510</v>
      </c>
      <c r="B570" s="75"/>
      <c r="C570" s="75"/>
      <c r="D570" s="76"/>
      <c r="E570" s="77"/>
      <c r="F570" s="77"/>
      <c r="H570" s="77" t="str">
        <f t="shared" si="8"/>
        <v>;;;;;;</v>
      </c>
    </row>
    <row r="571" spans="1:8" x14ac:dyDescent="0.25">
      <c r="A571" s="182">
        <v>4511</v>
      </c>
      <c r="B571" s="75"/>
      <c r="C571" s="75"/>
      <c r="D571" s="76"/>
      <c r="E571" s="77"/>
      <c r="F571" s="77"/>
      <c r="H571" s="77" t="str">
        <f t="shared" si="8"/>
        <v>;;;;;;</v>
      </c>
    </row>
  </sheetData>
  <hyperlinks>
    <hyperlink ref="G232" display=" pankajkumar.porwal@ujjivan.com" xr:uid="{00000000-0004-0000-0600-000000000000}"/>
    <hyperlink ref="G239" display=" pankajkumar.porwal@ujjivan.com" xr:uid="{00000000-0004-0000-0600-000001000000}"/>
    <hyperlink ref="G243" display=" pankajkumar.porwal@ujjivan.com" xr:uid="{00000000-0004-0000-0600-000002000000}"/>
    <hyperlink ref="G303" display=" pankajkumar.porwal@ujjivan.com" xr:uid="{00000000-0004-0000-0600-000003000000}"/>
    <hyperlink ref="G309" display=" pankajkumar.porwal@ujjivan.com" xr:uid="{00000000-0004-0000-0600-000004000000}"/>
    <hyperlink ref="K392" display="muralidharan.n@ujjivan.com" xr:uid="{00000000-0004-0000-0600-000005000000}"/>
    <hyperlink ref="K399" display="muralidharan.n@ujjivan.com" xr:uid="{00000000-0004-0000-0600-000006000000}"/>
    <hyperlink ref="K400" display="muralidharan.n@ujjivan.com" xr:uid="{00000000-0004-0000-0600-000007000000}"/>
    <hyperlink ref="K401" display="muralidharan.n@ujjivan.com" xr:uid="{00000000-0004-0000-0600-000008000000}"/>
    <hyperlink ref="K402" display="muralidharan.n@ujjivan.com" xr:uid="{00000000-0004-0000-0600-000009000000}"/>
    <hyperlink ref="K412" display="muralidharan.n@ujjivan.com" xr:uid="{00000000-0004-0000-0600-00000A000000}"/>
    <hyperlink ref="K361" display="arasu.sokkalingam@ujjivan.com" xr:uid="{00000000-0004-0000-0600-00000B000000}"/>
    <hyperlink ref="K364" display="arasu.sokkalingam@ujjivan.com" xr:uid="{00000000-0004-0000-0600-00000C000000}"/>
    <hyperlink ref="G132" display="varun.yadav@ujjivan.com" xr:uid="{00000000-0004-0000-0600-00000D000000}"/>
    <hyperlink ref="G175" display="swapnil.shinkar@ujjivan.com" xr:uid="{00000000-0004-0000-0600-00000E000000}"/>
    <hyperlink ref="J175" display="west-karad-branch@ujjivan.com;ccr-karad@ujjivan.com;amar.babar@ujjivan.com;ajay.patil@ujjivan.com;dnyaneshwar.kulkarni@ujjivan.com;tushar.upase@ujjivan.com;ramesh.chavan@ujjivan.com;hemant.awade@ujjivan.com;rushiraj.hinukale@ujjivan.com;vikram.jadhav@ujji" xr:uid="{00000000-0004-0000-0600-00000F000000}"/>
    <hyperlink ref="G262" display="rahul.sukhija@ujjivan.com" xr:uid="{00000000-0004-0000-0600-000010000000}"/>
    <hyperlink ref="G271" display="rahul.sukhija@ujjivan.com" xr:uid="{00000000-0004-0000-0600-000011000000}"/>
    <hyperlink ref="G272" display="rahul.sukhija@ujjivan.com" xr:uid="{00000000-0004-0000-0600-000012000000}"/>
    <hyperlink ref="G273" display="rahul.sukhija@ujjivan.com" xr:uid="{00000000-0004-0000-0600-000013000000}"/>
    <hyperlink ref="G307" display="rahul.sukhija@ujjivan.com" xr:uid="{00000000-0004-0000-0600-000014000000}"/>
    <hyperlink ref="G322" display="rahul.sukhija@ujjivan.com" xr:uid="{00000000-0004-0000-0600-000015000000}"/>
    <hyperlink ref="G330" display="rahul.sukhija@ujjivan.com" xr:uid="{00000000-0004-0000-0600-000016000000}"/>
    <hyperlink ref="G331" display="rahul.sukhija@ujjivan.com" xr:uid="{00000000-0004-0000-0600-000017000000}"/>
    <hyperlink ref="G274" display="rahul.sukhija@ujjivan.com" xr:uid="{00000000-0004-0000-0600-000018000000}"/>
    <hyperlink ref="G279" display="rahul.sukhija@ujjivan.com" xr:uid="{00000000-0004-0000-0600-000019000000}"/>
    <hyperlink ref="G282" display="rahul.sukhija@ujjivan.com" xr:uid="{00000000-0004-0000-0600-00001A000000}"/>
    <hyperlink ref="G284" display="rahul.sukhija@ujjivan.com" xr:uid="{00000000-0004-0000-0600-00001B000000}"/>
    <hyperlink ref="G305" display="rahul.sukhija@ujjivan.com" xr:uid="{00000000-0004-0000-0600-00001C000000}"/>
    <hyperlink ref="G306" display="rahul.sukhija@ujjivan.com" xr:uid="{00000000-0004-0000-0600-00001D000000}"/>
    <hyperlink ref="G332" display="rahul.sukhija@ujjivan.com" xr:uid="{00000000-0004-0000-0600-00001E000000}"/>
    <hyperlink ref="G335" display="rahul.sukhija@ujjivan.com" xr:uid="{00000000-0004-0000-0600-00001F000000}"/>
    <hyperlink ref="G255" display="rahul.sukhija@ujjivan.com" xr:uid="{00000000-0004-0000-0600-000020000000}"/>
    <hyperlink ref="G263" display="rahul.sukhija@ujjivan.com" xr:uid="{00000000-0004-0000-0600-000021000000}"/>
    <hyperlink ref="G265" display="rahul.sukhija@ujjivan.com" xr:uid="{00000000-0004-0000-0600-000022000000}"/>
    <hyperlink ref="G266" display="rahul.sukhija@ujjivan.com" xr:uid="{00000000-0004-0000-0600-000023000000}"/>
    <hyperlink ref="G298" display="rahul.sukhija@ujjivan.com" xr:uid="{00000000-0004-0000-0600-000024000000}"/>
    <hyperlink ref="G333" display="rahul.sukhija@ujjivan.com" xr:uid="{00000000-0004-0000-0600-000025000000}"/>
    <hyperlink ref="G238" display="rohit.parashar@ujjivan.com" xr:uid="{00000000-0004-0000-0600-000026000000}"/>
    <hyperlink ref="J136" display="west-punewest-branch@ujjivan.com;ccr.punewest@ujjivan.com;parshuram.kamble@ujjivan.com;prasad.bhavsar@ujjivan.com;mangesh.waikar@ujjivan.com;prasad.chavan@ujjivan.com;hemant.awade@ujjivan.com;rahul.devne@ujjivan.com;ravi.arkal@ujjivan.com;tushar.upase@ujj" xr:uid="{00000000-0004-0000-0600-000027000000}"/>
    <hyperlink ref="J131" display="west-swargate-branch@ujjivan.com;ccr-swargate@ujjivan.com;dinesh.fulambarkar@ujjivan.com;atul.mule@ujjivan.com;tushar.upase@ujjivan.com;ramesh.kamble@ujjivan.com;hemant.awade@ujjivan.com;santosh.khaire@ujjivan.com;sudhakar.ighare@ujjivan.com;abhijeet.bhad" xr:uid="{00000000-0004-0000-0600-000028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W132"/>
  <sheetViews>
    <sheetView workbookViewId="0">
      <selection activeCell="C20" sqref="C20"/>
    </sheetView>
  </sheetViews>
  <sheetFormatPr defaultRowHeight="15" x14ac:dyDescent="0.25"/>
  <cols>
    <col min="1" max="1" width="6.28515625" style="73" bestFit="1" customWidth="1"/>
    <col min="2" max="2" width="29.85546875" style="68" bestFit="1" customWidth="1"/>
    <col min="3" max="3" width="35.85546875" style="68" bestFit="1" customWidth="1"/>
    <col min="4" max="5" width="9.140625" style="68"/>
    <col min="6" max="6" width="38.85546875" style="68" customWidth="1"/>
    <col min="7" max="7" width="31.85546875" style="68" customWidth="1"/>
    <col min="8" max="11" width="9.140625" style="68"/>
    <col min="12" max="12" width="9.140625" style="73"/>
    <col min="13" max="13" width="37.28515625" style="68" bestFit="1" customWidth="1"/>
    <col min="14" max="14" width="26.140625" style="68" bestFit="1" customWidth="1"/>
    <col min="15" max="16384" width="9.140625" style="68"/>
  </cols>
  <sheetData>
    <row r="1" spans="1:23" ht="26.25" thickBot="1" x14ac:dyDescent="0.3">
      <c r="A1" s="92" t="s">
        <v>2960</v>
      </c>
      <c r="B1" s="90" t="s">
        <v>2961</v>
      </c>
      <c r="C1" s="90" t="s">
        <v>2961</v>
      </c>
      <c r="E1" s="116" t="s">
        <v>2705</v>
      </c>
      <c r="L1" s="100" t="s">
        <v>2960</v>
      </c>
      <c r="M1" s="96" t="s">
        <v>2992</v>
      </c>
      <c r="N1" s="97" t="s">
        <v>2993</v>
      </c>
      <c r="U1" s="112" t="s">
        <v>3058</v>
      </c>
      <c r="V1" s="105" t="s">
        <v>3059</v>
      </c>
      <c r="W1" s="105" t="s">
        <v>3060</v>
      </c>
    </row>
    <row r="2" spans="1:23" ht="15.75" thickBot="1" x14ac:dyDescent="0.3">
      <c r="A2" s="93" t="s">
        <v>404</v>
      </c>
      <c r="B2" s="91" t="s">
        <v>2962</v>
      </c>
      <c r="C2" s="91" t="s">
        <v>2963</v>
      </c>
      <c r="E2" s="117">
        <v>2255</v>
      </c>
      <c r="F2" s="68" t="s">
        <v>918</v>
      </c>
      <c r="G2" s="118" t="s">
        <v>905</v>
      </c>
      <c r="L2" s="94" t="s">
        <v>778</v>
      </c>
      <c r="M2" s="98" t="s">
        <v>2994</v>
      </c>
      <c r="N2" s="99" t="s">
        <v>2995</v>
      </c>
      <c r="Q2" s="104" t="s">
        <v>781</v>
      </c>
      <c r="R2" s="103" t="s">
        <v>3041</v>
      </c>
      <c r="U2" s="113" t="s">
        <v>2418</v>
      </c>
      <c r="V2" s="106" t="s">
        <v>2417</v>
      </c>
      <c r="W2" s="107" t="s">
        <v>3061</v>
      </c>
    </row>
    <row r="3" spans="1:23" ht="15.75" thickBot="1" x14ac:dyDescent="0.3">
      <c r="A3" s="93" t="s">
        <v>408</v>
      </c>
      <c r="B3" s="91" t="s">
        <v>2962</v>
      </c>
      <c r="C3" s="91" t="s">
        <v>2964</v>
      </c>
      <c r="E3" s="117">
        <v>2265</v>
      </c>
      <c r="F3" s="68" t="s">
        <v>918</v>
      </c>
      <c r="G3" s="118" t="s">
        <v>905</v>
      </c>
      <c r="L3" s="94" t="s">
        <v>780</v>
      </c>
      <c r="M3" s="98" t="s">
        <v>2994</v>
      </c>
      <c r="N3" s="99" t="s">
        <v>2995</v>
      </c>
      <c r="Q3" s="104" t="s">
        <v>2436</v>
      </c>
      <c r="R3" s="103" t="s">
        <v>3042</v>
      </c>
      <c r="U3" s="113" t="s">
        <v>770</v>
      </c>
      <c r="V3" s="106" t="s">
        <v>3062</v>
      </c>
      <c r="W3" s="103" t="s">
        <v>3063</v>
      </c>
    </row>
    <row r="4" spans="1:23" ht="15.75" thickBot="1" x14ac:dyDescent="0.3">
      <c r="A4" s="93" t="s">
        <v>410</v>
      </c>
      <c r="B4" s="91" t="s">
        <v>2965</v>
      </c>
      <c r="C4" s="91" t="s">
        <v>2966</v>
      </c>
      <c r="E4" s="117">
        <v>2266</v>
      </c>
      <c r="F4" s="68" t="s">
        <v>918</v>
      </c>
      <c r="G4" s="118" t="s">
        <v>905</v>
      </c>
      <c r="L4" s="94" t="s">
        <v>793</v>
      </c>
      <c r="M4" s="98" t="s">
        <v>2994</v>
      </c>
      <c r="N4" s="99" t="s">
        <v>2995</v>
      </c>
      <c r="Q4" s="104" t="s">
        <v>784</v>
      </c>
      <c r="R4" s="103" t="s">
        <v>3043</v>
      </c>
      <c r="U4" s="113" t="s">
        <v>772</v>
      </c>
      <c r="V4" s="106" t="s">
        <v>3064</v>
      </c>
      <c r="W4" s="103" t="s">
        <v>3065</v>
      </c>
    </row>
    <row r="5" spans="1:23" ht="15.75" thickBot="1" x14ac:dyDescent="0.3">
      <c r="A5" s="93" t="s">
        <v>412</v>
      </c>
      <c r="B5" s="91" t="s">
        <v>2965</v>
      </c>
      <c r="C5" s="91" t="s">
        <v>2966</v>
      </c>
      <c r="E5" s="117">
        <v>2267</v>
      </c>
      <c r="F5" s="68" t="s">
        <v>918</v>
      </c>
      <c r="G5" s="118" t="s">
        <v>905</v>
      </c>
      <c r="L5" s="94" t="s">
        <v>794</v>
      </c>
      <c r="M5" s="98" t="s">
        <v>2994</v>
      </c>
      <c r="N5" s="99" t="s">
        <v>2995</v>
      </c>
      <c r="Q5" s="104" t="s">
        <v>2441</v>
      </c>
      <c r="R5" s="103" t="s">
        <v>3044</v>
      </c>
      <c r="U5" s="113" t="s">
        <v>2425</v>
      </c>
      <c r="V5" s="106" t="s">
        <v>3066</v>
      </c>
      <c r="W5" s="103" t="s">
        <v>3067</v>
      </c>
    </row>
    <row r="6" spans="1:23" ht="15.75" thickBot="1" x14ac:dyDescent="0.3">
      <c r="A6" s="93" t="s">
        <v>415</v>
      </c>
      <c r="B6" s="91" t="s">
        <v>2962</v>
      </c>
      <c r="C6" s="91" t="s">
        <v>2963</v>
      </c>
      <c r="E6" s="117">
        <v>2304</v>
      </c>
      <c r="F6" s="68" t="s">
        <v>918</v>
      </c>
      <c r="G6" s="118" t="s">
        <v>905</v>
      </c>
      <c r="L6" s="94" t="s">
        <v>815</v>
      </c>
      <c r="M6" s="98" t="s">
        <v>2996</v>
      </c>
      <c r="N6" s="99" t="s">
        <v>2997</v>
      </c>
      <c r="Q6" s="104" t="s">
        <v>787</v>
      </c>
      <c r="R6" s="103" t="s">
        <v>3045</v>
      </c>
      <c r="U6" s="113" t="s">
        <v>774</v>
      </c>
      <c r="V6" s="106" t="s">
        <v>3068</v>
      </c>
      <c r="W6" s="107" t="s">
        <v>3069</v>
      </c>
    </row>
    <row r="7" spans="1:23" ht="15.75" thickBot="1" x14ac:dyDescent="0.3">
      <c r="A7" s="93" t="s">
        <v>417</v>
      </c>
      <c r="B7" s="91" t="s">
        <v>2965</v>
      </c>
      <c r="C7" s="91" t="s">
        <v>2967</v>
      </c>
      <c r="E7" s="117">
        <v>2320</v>
      </c>
      <c r="F7" s="68" t="s">
        <v>918</v>
      </c>
      <c r="G7" s="118" t="s">
        <v>905</v>
      </c>
      <c r="L7" s="94" t="s">
        <v>816</v>
      </c>
      <c r="M7" s="98" t="s">
        <v>2996</v>
      </c>
      <c r="N7" s="99" t="s">
        <v>2997</v>
      </c>
      <c r="Q7" s="104" t="s">
        <v>790</v>
      </c>
      <c r="R7" s="103" t="s">
        <v>3046</v>
      </c>
      <c r="U7" s="113" t="s">
        <v>775</v>
      </c>
      <c r="V7" s="106" t="s">
        <v>3070</v>
      </c>
      <c r="W7" s="103" t="s">
        <v>3071</v>
      </c>
    </row>
    <row r="8" spans="1:23" ht="15.75" thickBot="1" x14ac:dyDescent="0.3">
      <c r="A8" s="93" t="s">
        <v>419</v>
      </c>
      <c r="B8" s="91" t="s">
        <v>2965</v>
      </c>
      <c r="C8" s="91" t="s">
        <v>2966</v>
      </c>
      <c r="E8" s="117">
        <v>2329</v>
      </c>
      <c r="F8" s="68" t="s">
        <v>918</v>
      </c>
      <c r="G8" s="118" t="s">
        <v>905</v>
      </c>
      <c r="L8" s="94" t="s">
        <v>2544</v>
      </c>
      <c r="M8" s="98" t="s">
        <v>2996</v>
      </c>
      <c r="N8" s="99" t="s">
        <v>2997</v>
      </c>
      <c r="Q8" s="104" t="s">
        <v>791</v>
      </c>
      <c r="R8" s="103" t="s">
        <v>3047</v>
      </c>
      <c r="U8" s="113" t="s">
        <v>778</v>
      </c>
      <c r="V8" s="106" t="s">
        <v>3072</v>
      </c>
      <c r="W8" s="103" t="s">
        <v>3073</v>
      </c>
    </row>
    <row r="9" spans="1:23" ht="15.75" thickBot="1" x14ac:dyDescent="0.3">
      <c r="A9" s="93" t="s">
        <v>421</v>
      </c>
      <c r="B9" s="91" t="s">
        <v>2962</v>
      </c>
      <c r="C9" s="91" t="s">
        <v>2963</v>
      </c>
      <c r="E9" s="117">
        <v>2330</v>
      </c>
      <c r="F9" s="68" t="s">
        <v>918</v>
      </c>
      <c r="G9" s="118" t="s">
        <v>905</v>
      </c>
      <c r="L9" s="94" t="s">
        <v>822</v>
      </c>
      <c r="M9" s="98" t="s">
        <v>2996</v>
      </c>
      <c r="N9" s="99" t="s">
        <v>2997</v>
      </c>
      <c r="Q9" s="104" t="s">
        <v>2460</v>
      </c>
      <c r="R9" s="103" t="s">
        <v>3048</v>
      </c>
      <c r="U9" s="113" t="s">
        <v>780</v>
      </c>
      <c r="V9" s="106" t="s">
        <v>3074</v>
      </c>
      <c r="W9" s="103" t="s">
        <v>3075</v>
      </c>
    </row>
    <row r="10" spans="1:23" ht="15.75" thickBot="1" x14ac:dyDescent="0.3">
      <c r="A10" s="93" t="s">
        <v>422</v>
      </c>
      <c r="B10" s="91" t="s">
        <v>2962</v>
      </c>
      <c r="C10" s="91" t="s">
        <v>2963</v>
      </c>
      <c r="E10" s="117">
        <v>2275</v>
      </c>
      <c r="F10" s="118" t="s">
        <v>907</v>
      </c>
      <c r="G10" s="118" t="s">
        <v>905</v>
      </c>
      <c r="L10" s="94" t="s">
        <v>834</v>
      </c>
      <c r="M10" s="98" t="s">
        <v>2996</v>
      </c>
      <c r="N10" s="99" t="s">
        <v>2997</v>
      </c>
      <c r="Q10" s="104" t="s">
        <v>796</v>
      </c>
      <c r="R10" s="103" t="s">
        <v>3049</v>
      </c>
      <c r="U10" s="113" t="s">
        <v>781</v>
      </c>
      <c r="V10" s="106" t="s">
        <v>3076</v>
      </c>
      <c r="W10" s="103" t="s">
        <v>3041</v>
      </c>
    </row>
    <row r="11" spans="1:23" ht="15.75" thickBot="1" x14ac:dyDescent="0.3">
      <c r="A11" s="93" t="s">
        <v>423</v>
      </c>
      <c r="B11" s="91" t="s">
        <v>2965</v>
      </c>
      <c r="C11" s="91" t="s">
        <v>2966</v>
      </c>
      <c r="E11" s="117">
        <v>2276</v>
      </c>
      <c r="F11" s="118" t="s">
        <v>907</v>
      </c>
      <c r="G11" s="118" t="s">
        <v>905</v>
      </c>
      <c r="L11" s="94" t="s">
        <v>841</v>
      </c>
      <c r="M11" s="98" t="s">
        <v>2994</v>
      </c>
      <c r="N11" s="99" t="s">
        <v>2995</v>
      </c>
      <c r="Q11" s="104" t="s">
        <v>803</v>
      </c>
      <c r="R11" s="103" t="s">
        <v>3050</v>
      </c>
      <c r="U11" s="114" t="s">
        <v>2436</v>
      </c>
      <c r="V11" s="106" t="s">
        <v>3077</v>
      </c>
      <c r="W11" s="108" t="s">
        <v>3078</v>
      </c>
    </row>
    <row r="12" spans="1:23" ht="15.75" thickBot="1" x14ac:dyDescent="0.3">
      <c r="A12" s="93" t="s">
        <v>424</v>
      </c>
      <c r="B12" s="91" t="s">
        <v>2962</v>
      </c>
      <c r="C12" s="91" t="s">
        <v>2963</v>
      </c>
      <c r="E12" s="117">
        <v>2279</v>
      </c>
      <c r="F12" s="118" t="s">
        <v>907</v>
      </c>
      <c r="G12" s="118" t="s">
        <v>905</v>
      </c>
      <c r="L12" s="94" t="s">
        <v>2418</v>
      </c>
      <c r="M12" s="98" t="s">
        <v>2998</v>
      </c>
      <c r="N12" s="99" t="s">
        <v>2995</v>
      </c>
      <c r="Q12" s="104" t="s">
        <v>2488</v>
      </c>
      <c r="R12" s="103" t="s">
        <v>3051</v>
      </c>
      <c r="U12" s="113" t="s">
        <v>784</v>
      </c>
      <c r="V12" s="106" t="s">
        <v>3079</v>
      </c>
      <c r="W12" s="103" t="s">
        <v>3043</v>
      </c>
    </row>
    <row r="13" spans="1:23" ht="15.75" thickBot="1" x14ac:dyDescent="0.3">
      <c r="A13" s="93" t="s">
        <v>425</v>
      </c>
      <c r="B13" s="91" t="s">
        <v>2968</v>
      </c>
      <c r="C13" s="91" t="s">
        <v>2969</v>
      </c>
      <c r="E13" s="117">
        <v>2281</v>
      </c>
      <c r="F13" s="118" t="s">
        <v>907</v>
      </c>
      <c r="G13" s="118" t="s">
        <v>905</v>
      </c>
      <c r="L13" s="94" t="s">
        <v>773</v>
      </c>
      <c r="M13" s="98" t="s">
        <v>2998</v>
      </c>
      <c r="N13" s="99" t="s">
        <v>2995</v>
      </c>
      <c r="Q13" s="104" t="s">
        <v>804</v>
      </c>
      <c r="R13" s="103" t="s">
        <v>3052</v>
      </c>
      <c r="U13" s="113" t="s">
        <v>2441</v>
      </c>
      <c r="V13" s="106" t="s">
        <v>3080</v>
      </c>
      <c r="W13" s="108" t="s">
        <v>3081</v>
      </c>
    </row>
    <row r="14" spans="1:23" ht="15.75" thickBot="1" x14ac:dyDescent="0.3">
      <c r="A14" s="93" t="s">
        <v>428</v>
      </c>
      <c r="B14" s="91" t="s">
        <v>2962</v>
      </c>
      <c r="C14" s="91" t="s">
        <v>2964</v>
      </c>
      <c r="E14" s="117">
        <v>2302</v>
      </c>
      <c r="F14" s="118" t="s">
        <v>907</v>
      </c>
      <c r="G14" s="118" t="s">
        <v>905</v>
      </c>
      <c r="L14" s="94" t="s">
        <v>2425</v>
      </c>
      <c r="M14" s="98" t="s">
        <v>2998</v>
      </c>
      <c r="N14" s="99" t="s">
        <v>2995</v>
      </c>
      <c r="Q14" s="104" t="s">
        <v>807</v>
      </c>
      <c r="R14" s="103" t="s">
        <v>3053</v>
      </c>
      <c r="U14" s="113" t="s">
        <v>785</v>
      </c>
      <c r="V14" s="106" t="s">
        <v>3082</v>
      </c>
      <c r="W14" s="103" t="s">
        <v>3083</v>
      </c>
    </row>
    <row r="15" spans="1:23" ht="15.75" thickBot="1" x14ac:dyDescent="0.3">
      <c r="A15" s="94" t="s">
        <v>430</v>
      </c>
      <c r="B15" s="91" t="s">
        <v>2965</v>
      </c>
      <c r="C15" s="91" t="s">
        <v>2967</v>
      </c>
      <c r="E15" s="117">
        <v>2303</v>
      </c>
      <c r="F15" s="118" t="s">
        <v>907</v>
      </c>
      <c r="G15" s="118" t="s">
        <v>905</v>
      </c>
      <c r="L15" s="94" t="s">
        <v>774</v>
      </c>
      <c r="M15" s="98" t="s">
        <v>2998</v>
      </c>
      <c r="N15" s="99" t="s">
        <v>2995</v>
      </c>
      <c r="Q15" s="104" t="s">
        <v>818</v>
      </c>
      <c r="R15" s="103" t="s">
        <v>3054</v>
      </c>
      <c r="U15" s="113" t="s">
        <v>787</v>
      </c>
      <c r="V15" s="106" t="s">
        <v>3084</v>
      </c>
      <c r="W15" s="108" t="s">
        <v>3085</v>
      </c>
    </row>
    <row r="16" spans="1:23" ht="15.75" thickBot="1" x14ac:dyDescent="0.3">
      <c r="A16" s="93" t="s">
        <v>433</v>
      </c>
      <c r="B16" s="91" t="s">
        <v>2968</v>
      </c>
      <c r="C16" s="91" t="s">
        <v>2969</v>
      </c>
      <c r="E16" s="117">
        <v>2331</v>
      </c>
      <c r="F16" s="118" t="s">
        <v>907</v>
      </c>
      <c r="G16" s="118" t="s">
        <v>905</v>
      </c>
      <c r="L16" s="94" t="s">
        <v>787</v>
      </c>
      <c r="M16" s="98" t="s">
        <v>2999</v>
      </c>
      <c r="N16" s="99" t="s">
        <v>3000</v>
      </c>
      <c r="Q16" s="104" t="s">
        <v>823</v>
      </c>
      <c r="R16" s="103" t="s">
        <v>3055</v>
      </c>
      <c r="U16" s="113" t="s">
        <v>790</v>
      </c>
      <c r="V16" s="106" t="s">
        <v>3086</v>
      </c>
      <c r="W16" s="103" t="s">
        <v>3046</v>
      </c>
    </row>
    <row r="17" spans="1:23" ht="15.75" thickBot="1" x14ac:dyDescent="0.3">
      <c r="A17" s="93" t="s">
        <v>435</v>
      </c>
      <c r="B17" s="91" t="s">
        <v>2962</v>
      </c>
      <c r="C17" s="91" t="s">
        <v>2964</v>
      </c>
      <c r="E17" s="117">
        <v>2268</v>
      </c>
      <c r="F17" s="118" t="s">
        <v>907</v>
      </c>
      <c r="G17" s="118" t="s">
        <v>905</v>
      </c>
      <c r="L17" s="94" t="s">
        <v>790</v>
      </c>
      <c r="M17" s="98" t="s">
        <v>2999</v>
      </c>
      <c r="N17" s="99" t="s">
        <v>3000</v>
      </c>
      <c r="U17" s="113" t="s">
        <v>791</v>
      </c>
      <c r="V17" s="106" t="s">
        <v>3087</v>
      </c>
      <c r="W17" s="108" t="s">
        <v>3088</v>
      </c>
    </row>
    <row r="18" spans="1:23" ht="15.75" thickBot="1" x14ac:dyDescent="0.3">
      <c r="A18" s="93" t="s">
        <v>436</v>
      </c>
      <c r="B18" s="91" t="s">
        <v>2965</v>
      </c>
      <c r="C18" s="91" t="s">
        <v>2970</v>
      </c>
      <c r="E18" s="117">
        <v>2334</v>
      </c>
      <c r="F18" s="118" t="s">
        <v>907</v>
      </c>
      <c r="G18" s="118" t="s">
        <v>905</v>
      </c>
      <c r="L18" s="94" t="s">
        <v>791</v>
      </c>
      <c r="M18" s="98" t="s">
        <v>2999</v>
      </c>
      <c r="N18" s="99" t="s">
        <v>3000</v>
      </c>
      <c r="U18" s="113" t="s">
        <v>2460</v>
      </c>
      <c r="V18" s="106" t="s">
        <v>3089</v>
      </c>
      <c r="W18" s="103" t="s">
        <v>3048</v>
      </c>
    </row>
    <row r="19" spans="1:23" ht="15.75" thickBot="1" x14ac:dyDescent="0.3">
      <c r="A19" s="93" t="s">
        <v>439</v>
      </c>
      <c r="B19" s="91" t="s">
        <v>2968</v>
      </c>
      <c r="C19" s="91" t="s">
        <v>2969</v>
      </c>
      <c r="E19" s="117">
        <v>2243</v>
      </c>
      <c r="F19" s="118" t="s">
        <v>2805</v>
      </c>
      <c r="G19" s="118" t="s">
        <v>905</v>
      </c>
      <c r="L19" s="94" t="s">
        <v>818</v>
      </c>
      <c r="M19" s="98" t="s">
        <v>2999</v>
      </c>
      <c r="N19" s="99" t="s">
        <v>3000</v>
      </c>
      <c r="U19" s="113" t="s">
        <v>793</v>
      </c>
      <c r="V19" s="106" t="s">
        <v>3090</v>
      </c>
      <c r="W19" s="107" t="s">
        <v>3091</v>
      </c>
    </row>
    <row r="20" spans="1:23" ht="15.75" thickBot="1" x14ac:dyDescent="0.3">
      <c r="A20" s="93" t="s">
        <v>440</v>
      </c>
      <c r="B20" s="91" t="s">
        <v>2965</v>
      </c>
      <c r="C20" s="91" t="s">
        <v>2970</v>
      </c>
      <c r="E20" s="117">
        <v>2258</v>
      </c>
      <c r="F20" s="118" t="s">
        <v>2805</v>
      </c>
      <c r="G20" s="118" t="s">
        <v>905</v>
      </c>
      <c r="L20" s="94" t="s">
        <v>770</v>
      </c>
      <c r="M20" s="98" t="s">
        <v>3001</v>
      </c>
      <c r="N20" s="99" t="s">
        <v>2995</v>
      </c>
      <c r="U20" s="113" t="s">
        <v>794</v>
      </c>
      <c r="V20" s="106" t="s">
        <v>3092</v>
      </c>
      <c r="W20" s="103" t="s">
        <v>3093</v>
      </c>
    </row>
    <row r="21" spans="1:23" ht="15.75" thickBot="1" x14ac:dyDescent="0.3">
      <c r="A21" s="93" t="s">
        <v>441</v>
      </c>
      <c r="B21" s="91" t="s">
        <v>2965</v>
      </c>
      <c r="C21" s="91" t="s">
        <v>2967</v>
      </c>
      <c r="E21" s="117">
        <v>2259</v>
      </c>
      <c r="F21" s="118" t="s">
        <v>2805</v>
      </c>
      <c r="G21" s="118" t="s">
        <v>905</v>
      </c>
      <c r="L21" s="94" t="s">
        <v>772</v>
      </c>
      <c r="M21" s="98" t="s">
        <v>3001</v>
      </c>
      <c r="N21" s="99" t="s">
        <v>2995</v>
      </c>
      <c r="U21" s="113" t="s">
        <v>796</v>
      </c>
      <c r="V21" s="106" t="s">
        <v>3094</v>
      </c>
      <c r="W21" s="103" t="s">
        <v>3095</v>
      </c>
    </row>
    <row r="22" spans="1:23" ht="15.75" thickBot="1" x14ac:dyDescent="0.3">
      <c r="A22" s="93" t="s">
        <v>442</v>
      </c>
      <c r="B22" s="91" t="s">
        <v>2971</v>
      </c>
      <c r="C22" s="91" t="s">
        <v>2972</v>
      </c>
      <c r="E22" s="117">
        <v>2295</v>
      </c>
      <c r="F22" s="118" t="s">
        <v>2805</v>
      </c>
      <c r="G22" s="118" t="s">
        <v>905</v>
      </c>
      <c r="L22" s="94" t="s">
        <v>775</v>
      </c>
      <c r="M22" s="98" t="s">
        <v>3001</v>
      </c>
      <c r="N22" s="99" t="s">
        <v>2995</v>
      </c>
      <c r="U22" s="113" t="s">
        <v>797</v>
      </c>
      <c r="V22" s="106" t="s">
        <v>3096</v>
      </c>
      <c r="W22" s="103" t="s">
        <v>3097</v>
      </c>
    </row>
    <row r="23" spans="1:23" ht="15.75" thickBot="1" x14ac:dyDescent="0.3">
      <c r="A23" s="93" t="s">
        <v>444</v>
      </c>
      <c r="B23" s="91" t="s">
        <v>2973</v>
      </c>
      <c r="C23" s="91" t="s">
        <v>2974</v>
      </c>
      <c r="E23" s="117">
        <v>2332</v>
      </c>
      <c r="F23" s="118" t="s">
        <v>2805</v>
      </c>
      <c r="G23" s="118" t="s">
        <v>905</v>
      </c>
      <c r="L23" s="94" t="s">
        <v>781</v>
      </c>
      <c r="M23" s="98"/>
      <c r="N23" s="99" t="s">
        <v>3000</v>
      </c>
      <c r="U23" s="113" t="s">
        <v>800</v>
      </c>
      <c r="V23" s="106" t="s">
        <v>3098</v>
      </c>
      <c r="W23" s="103" t="s">
        <v>3099</v>
      </c>
    </row>
    <row r="24" spans="1:23" ht="15.75" thickBot="1" x14ac:dyDescent="0.3">
      <c r="A24" s="93" t="s">
        <v>1494</v>
      </c>
      <c r="B24" s="91" t="s">
        <v>2971</v>
      </c>
      <c r="C24" s="91" t="s">
        <v>2972</v>
      </c>
      <c r="E24" s="117">
        <v>2256</v>
      </c>
      <c r="F24" s="118" t="s">
        <v>2805</v>
      </c>
      <c r="G24" s="118" t="s">
        <v>905</v>
      </c>
      <c r="L24" s="94" t="s">
        <v>2436</v>
      </c>
      <c r="M24" s="98"/>
      <c r="N24" s="99" t="s">
        <v>3000</v>
      </c>
      <c r="U24" s="113" t="s">
        <v>801</v>
      </c>
      <c r="V24" s="106" t="s">
        <v>3100</v>
      </c>
      <c r="W24" s="103" t="s">
        <v>3101</v>
      </c>
    </row>
    <row r="25" spans="1:23" ht="15.75" thickBot="1" x14ac:dyDescent="0.3">
      <c r="A25" s="93" t="s">
        <v>849</v>
      </c>
      <c r="B25" s="91" t="s">
        <v>2962</v>
      </c>
      <c r="C25" s="91" t="s">
        <v>2975</v>
      </c>
      <c r="E25" s="117">
        <v>2301</v>
      </c>
      <c r="F25" s="118" t="s">
        <v>2805</v>
      </c>
      <c r="G25" s="118" t="s">
        <v>905</v>
      </c>
      <c r="L25" s="94" t="s">
        <v>784</v>
      </c>
      <c r="M25" s="98"/>
      <c r="N25" s="99" t="s">
        <v>3000</v>
      </c>
      <c r="U25" s="113" t="s">
        <v>802</v>
      </c>
      <c r="V25" s="106" t="s">
        <v>3102</v>
      </c>
      <c r="W25" s="103" t="s">
        <v>3103</v>
      </c>
    </row>
    <row r="26" spans="1:23" x14ac:dyDescent="0.25">
      <c r="A26" s="93" t="s">
        <v>448</v>
      </c>
      <c r="B26" s="91" t="s">
        <v>2973</v>
      </c>
      <c r="C26" s="91" t="s">
        <v>2974</v>
      </c>
      <c r="L26" s="94" t="s">
        <v>2441</v>
      </c>
      <c r="M26" s="98"/>
      <c r="N26" s="99" t="s">
        <v>3000</v>
      </c>
      <c r="U26" s="113" t="s">
        <v>803</v>
      </c>
      <c r="V26" s="106" t="s">
        <v>3104</v>
      </c>
      <c r="W26" s="103" t="s">
        <v>3105</v>
      </c>
    </row>
    <row r="27" spans="1:23" x14ac:dyDescent="0.25">
      <c r="A27" s="93" t="s">
        <v>449</v>
      </c>
      <c r="B27" s="91" t="s">
        <v>2971</v>
      </c>
      <c r="C27" s="91" t="s">
        <v>2972</v>
      </c>
      <c r="L27" s="94" t="s">
        <v>785</v>
      </c>
      <c r="M27" s="98" t="s">
        <v>3001</v>
      </c>
      <c r="N27" s="99" t="s">
        <v>2995</v>
      </c>
      <c r="U27" s="113" t="s">
        <v>2488</v>
      </c>
      <c r="V27" s="106" t="s">
        <v>3106</v>
      </c>
      <c r="W27" s="103" t="s">
        <v>3107</v>
      </c>
    </row>
    <row r="28" spans="1:23" x14ac:dyDescent="0.25">
      <c r="A28" s="93" t="s">
        <v>451</v>
      </c>
      <c r="B28" s="91" t="s">
        <v>2971</v>
      </c>
      <c r="C28" s="91" t="s">
        <v>2972</v>
      </c>
      <c r="L28" s="94" t="s">
        <v>789</v>
      </c>
      <c r="M28" s="98"/>
      <c r="N28" s="99" t="s">
        <v>3000</v>
      </c>
      <c r="U28" s="113" t="s">
        <v>804</v>
      </c>
      <c r="V28" s="106" t="s">
        <v>3108</v>
      </c>
      <c r="W28" s="103" t="s">
        <v>3109</v>
      </c>
    </row>
    <row r="29" spans="1:23" x14ac:dyDescent="0.25">
      <c r="A29" s="93" t="s">
        <v>452</v>
      </c>
      <c r="B29" s="91" t="s">
        <v>2971</v>
      </c>
      <c r="C29" s="91" t="s">
        <v>2976</v>
      </c>
      <c r="L29" s="94" t="s">
        <v>2457</v>
      </c>
      <c r="M29" s="98"/>
      <c r="N29" s="99" t="s">
        <v>3000</v>
      </c>
      <c r="U29" s="113" t="s">
        <v>807</v>
      </c>
      <c r="V29" s="106" t="s">
        <v>3110</v>
      </c>
      <c r="W29" s="103" t="s">
        <v>3053</v>
      </c>
    </row>
    <row r="30" spans="1:23" x14ac:dyDescent="0.25">
      <c r="A30" s="93" t="s">
        <v>454</v>
      </c>
      <c r="B30" s="91" t="s">
        <v>2971</v>
      </c>
      <c r="C30" s="91" t="s">
        <v>2976</v>
      </c>
      <c r="L30" s="94" t="s">
        <v>2460</v>
      </c>
      <c r="M30" s="98"/>
      <c r="N30" s="99" t="s">
        <v>3000</v>
      </c>
      <c r="U30" s="113" t="s">
        <v>2503</v>
      </c>
      <c r="V30" s="106" t="s">
        <v>3111</v>
      </c>
      <c r="W30" s="103" t="s">
        <v>3112</v>
      </c>
    </row>
    <row r="31" spans="1:23" x14ac:dyDescent="0.25">
      <c r="A31" s="93" t="s">
        <v>457</v>
      </c>
      <c r="B31" s="91" t="s">
        <v>2973</v>
      </c>
      <c r="C31" s="91" t="s">
        <v>2977</v>
      </c>
      <c r="L31" s="94" t="s">
        <v>796</v>
      </c>
      <c r="M31" s="98" t="s">
        <v>3002</v>
      </c>
      <c r="N31" s="99" t="s">
        <v>3000</v>
      </c>
      <c r="U31" s="113" t="s">
        <v>809</v>
      </c>
      <c r="V31" s="106" t="s">
        <v>3113</v>
      </c>
      <c r="W31" s="107" t="s">
        <v>3114</v>
      </c>
    </row>
    <row r="32" spans="1:23" x14ac:dyDescent="0.25">
      <c r="A32" s="93" t="s">
        <v>458</v>
      </c>
      <c r="B32" s="91" t="s">
        <v>2965</v>
      </c>
      <c r="C32" s="91" t="s">
        <v>2970</v>
      </c>
      <c r="L32" s="94" t="s">
        <v>797</v>
      </c>
      <c r="M32" s="98" t="s">
        <v>3003</v>
      </c>
      <c r="N32" s="99" t="s">
        <v>3004</v>
      </c>
      <c r="U32" s="113" t="s">
        <v>810</v>
      </c>
      <c r="V32" s="106" t="s">
        <v>3115</v>
      </c>
      <c r="W32" s="103" t="s">
        <v>3116</v>
      </c>
    </row>
    <row r="33" spans="1:23" x14ac:dyDescent="0.25">
      <c r="A33" s="93" t="s">
        <v>460</v>
      </c>
      <c r="B33" s="91" t="s">
        <v>2971</v>
      </c>
      <c r="C33" s="91" t="s">
        <v>2976</v>
      </c>
      <c r="L33" s="94" t="s">
        <v>799</v>
      </c>
      <c r="M33" s="98" t="s">
        <v>3003</v>
      </c>
      <c r="N33" s="99" t="s">
        <v>3004</v>
      </c>
      <c r="U33" s="113" t="s">
        <v>2511</v>
      </c>
      <c r="V33" s="106" t="s">
        <v>3117</v>
      </c>
      <c r="W33" s="103" t="s">
        <v>3118</v>
      </c>
    </row>
    <row r="34" spans="1:23" x14ac:dyDescent="0.25">
      <c r="A34" s="93" t="s">
        <v>462</v>
      </c>
      <c r="B34" s="91" t="s">
        <v>2971</v>
      </c>
      <c r="C34" s="91" t="s">
        <v>2972</v>
      </c>
      <c r="L34" s="94" t="s">
        <v>800</v>
      </c>
      <c r="M34" s="98" t="s">
        <v>3003</v>
      </c>
      <c r="N34" s="99" t="s">
        <v>3004</v>
      </c>
      <c r="U34" s="113" t="s">
        <v>813</v>
      </c>
      <c r="V34" s="106" t="s">
        <v>3119</v>
      </c>
      <c r="W34" s="103" t="s">
        <v>3120</v>
      </c>
    </row>
    <row r="35" spans="1:23" x14ac:dyDescent="0.25">
      <c r="A35" s="93" t="s">
        <v>463</v>
      </c>
      <c r="B35" s="91" t="s">
        <v>2968</v>
      </c>
      <c r="C35" s="91" t="s">
        <v>2978</v>
      </c>
      <c r="L35" s="94" t="s">
        <v>801</v>
      </c>
      <c r="M35" s="98" t="s">
        <v>3003</v>
      </c>
      <c r="N35" s="99" t="s">
        <v>3004</v>
      </c>
      <c r="U35" s="113" t="s">
        <v>2518</v>
      </c>
      <c r="V35" s="106" t="s">
        <v>3121</v>
      </c>
      <c r="W35" s="103" t="s">
        <v>3122</v>
      </c>
    </row>
    <row r="36" spans="1:23" x14ac:dyDescent="0.25">
      <c r="A36" s="93" t="s">
        <v>467</v>
      </c>
      <c r="B36" s="91" t="s">
        <v>2971</v>
      </c>
      <c r="C36" s="91" t="s">
        <v>2976</v>
      </c>
      <c r="L36" s="94" t="s">
        <v>802</v>
      </c>
      <c r="M36" s="98" t="s">
        <v>3001</v>
      </c>
      <c r="N36" s="99" t="s">
        <v>2995</v>
      </c>
      <c r="U36" s="113" t="s">
        <v>814</v>
      </c>
      <c r="V36" s="106" t="s">
        <v>3123</v>
      </c>
      <c r="W36" s="103" t="s">
        <v>3124</v>
      </c>
    </row>
    <row r="37" spans="1:23" x14ac:dyDescent="0.25">
      <c r="A37" s="93" t="s">
        <v>468</v>
      </c>
      <c r="B37" s="91" t="s">
        <v>2971</v>
      </c>
      <c r="C37" s="91" t="s">
        <v>2976</v>
      </c>
      <c r="L37" s="94" t="s">
        <v>803</v>
      </c>
      <c r="M37" s="98" t="s">
        <v>3002</v>
      </c>
      <c r="N37" s="99" t="s">
        <v>3000</v>
      </c>
      <c r="U37" s="113" t="s">
        <v>2522</v>
      </c>
      <c r="V37" s="106" t="s">
        <v>3125</v>
      </c>
      <c r="W37" s="103" t="s">
        <v>3126</v>
      </c>
    </row>
    <row r="38" spans="1:23" x14ac:dyDescent="0.25">
      <c r="A38" s="93" t="s">
        <v>469</v>
      </c>
      <c r="B38" s="91" t="s">
        <v>2971</v>
      </c>
      <c r="C38" s="91" t="s">
        <v>2972</v>
      </c>
      <c r="L38" s="94" t="s">
        <v>2488</v>
      </c>
      <c r="M38" s="98" t="s">
        <v>3002</v>
      </c>
      <c r="N38" s="99" t="s">
        <v>3000</v>
      </c>
      <c r="U38" s="113" t="s">
        <v>815</v>
      </c>
      <c r="V38" s="106" t="s">
        <v>3127</v>
      </c>
      <c r="W38" s="103" t="s">
        <v>3128</v>
      </c>
    </row>
    <row r="39" spans="1:23" x14ac:dyDescent="0.25">
      <c r="A39" s="93" t="s">
        <v>472</v>
      </c>
      <c r="B39" s="91" t="s">
        <v>2973</v>
      </c>
      <c r="C39" s="91" t="s">
        <v>2974</v>
      </c>
      <c r="L39" s="94" t="s">
        <v>804</v>
      </c>
      <c r="M39" s="98" t="s">
        <v>3002</v>
      </c>
      <c r="N39" s="99" t="s">
        <v>3000</v>
      </c>
      <c r="U39" s="113" t="s">
        <v>816</v>
      </c>
      <c r="V39" s="106" t="s">
        <v>2528</v>
      </c>
      <c r="W39" s="103" t="s">
        <v>3129</v>
      </c>
    </row>
    <row r="40" spans="1:23" x14ac:dyDescent="0.25">
      <c r="A40" s="93" t="s">
        <v>474</v>
      </c>
      <c r="B40" s="91" t="s">
        <v>2965</v>
      </c>
      <c r="C40" s="91" t="s">
        <v>2970</v>
      </c>
      <c r="L40" s="94" t="s">
        <v>805</v>
      </c>
      <c r="M40" s="98" t="s">
        <v>3002</v>
      </c>
      <c r="N40" s="99" t="s">
        <v>3000</v>
      </c>
      <c r="U40" s="113" t="s">
        <v>2531</v>
      </c>
      <c r="V40" s="106" t="s">
        <v>3130</v>
      </c>
      <c r="W40" s="103" t="s">
        <v>3131</v>
      </c>
    </row>
    <row r="41" spans="1:23" x14ac:dyDescent="0.25">
      <c r="A41" s="93" t="s">
        <v>477</v>
      </c>
      <c r="B41" s="91" t="s">
        <v>2965</v>
      </c>
      <c r="C41" s="91" t="s">
        <v>2966</v>
      </c>
      <c r="L41" s="94" t="s">
        <v>807</v>
      </c>
      <c r="M41" s="98" t="s">
        <v>3002</v>
      </c>
      <c r="N41" s="99" t="s">
        <v>3000</v>
      </c>
      <c r="U41" s="113" t="s">
        <v>817</v>
      </c>
      <c r="V41" s="106" t="s">
        <v>3132</v>
      </c>
      <c r="W41" s="103" t="s">
        <v>3133</v>
      </c>
    </row>
    <row r="42" spans="1:23" x14ac:dyDescent="0.25">
      <c r="A42" s="93" t="s">
        <v>478</v>
      </c>
      <c r="B42" s="91" t="s">
        <v>2971</v>
      </c>
      <c r="C42" s="91" t="s">
        <v>2976</v>
      </c>
      <c r="L42" s="94" t="s">
        <v>808</v>
      </c>
      <c r="M42" s="98" t="s">
        <v>3003</v>
      </c>
      <c r="N42" s="99" t="s">
        <v>3004</v>
      </c>
      <c r="U42" s="114" t="s">
        <v>818</v>
      </c>
      <c r="V42" s="109" t="s">
        <v>3134</v>
      </c>
      <c r="W42" s="108" t="s">
        <v>3135</v>
      </c>
    </row>
    <row r="43" spans="1:23" x14ac:dyDescent="0.25">
      <c r="A43" s="93" t="s">
        <v>850</v>
      </c>
      <c r="B43" s="91" t="s">
        <v>2973</v>
      </c>
      <c r="C43" s="91" t="s">
        <v>2977</v>
      </c>
      <c r="L43" s="94" t="s">
        <v>2503</v>
      </c>
      <c r="M43" s="98" t="s">
        <v>3005</v>
      </c>
      <c r="N43" s="99" t="s">
        <v>3004</v>
      </c>
      <c r="U43" s="114" t="s">
        <v>819</v>
      </c>
      <c r="V43" s="109" t="s">
        <v>3136</v>
      </c>
      <c r="W43" s="110" t="s">
        <v>3137</v>
      </c>
    </row>
    <row r="44" spans="1:23" x14ac:dyDescent="0.25">
      <c r="A44" s="93" t="s">
        <v>479</v>
      </c>
      <c r="B44" s="91" t="s">
        <v>2968</v>
      </c>
      <c r="C44" s="91" t="s">
        <v>2979</v>
      </c>
      <c r="L44" s="94" t="s">
        <v>809</v>
      </c>
      <c r="M44" s="98" t="s">
        <v>3006</v>
      </c>
      <c r="N44" s="99" t="s">
        <v>3004</v>
      </c>
      <c r="U44" s="113" t="s">
        <v>820</v>
      </c>
      <c r="V44" s="106" t="s">
        <v>3138</v>
      </c>
      <c r="W44" s="107" t="s">
        <v>3139</v>
      </c>
    </row>
    <row r="45" spans="1:23" x14ac:dyDescent="0.25">
      <c r="A45" s="93" t="s">
        <v>481</v>
      </c>
      <c r="B45" s="91" t="s">
        <v>2973</v>
      </c>
      <c r="C45" s="91" t="s">
        <v>2974</v>
      </c>
      <c r="L45" s="94" t="s">
        <v>810</v>
      </c>
      <c r="M45" s="98" t="s">
        <v>3006</v>
      </c>
      <c r="N45" s="99" t="s">
        <v>3004</v>
      </c>
      <c r="U45" s="113" t="s">
        <v>821</v>
      </c>
      <c r="V45" s="106" t="s">
        <v>3140</v>
      </c>
      <c r="W45" s="107" t="s">
        <v>3141</v>
      </c>
    </row>
    <row r="46" spans="1:23" x14ac:dyDescent="0.25">
      <c r="A46" s="93" t="s">
        <v>482</v>
      </c>
      <c r="B46" s="91" t="s">
        <v>2971</v>
      </c>
      <c r="C46" s="91" t="s">
        <v>2976</v>
      </c>
      <c r="L46" s="94" t="s">
        <v>2511</v>
      </c>
      <c r="M46" s="98" t="s">
        <v>3006</v>
      </c>
      <c r="N46" s="99" t="s">
        <v>3004</v>
      </c>
      <c r="U46" s="113" t="s">
        <v>2544</v>
      </c>
      <c r="V46" s="106" t="s">
        <v>3142</v>
      </c>
      <c r="W46" s="108" t="s">
        <v>3143</v>
      </c>
    </row>
    <row r="47" spans="1:23" x14ac:dyDescent="0.25">
      <c r="A47" s="93" t="s">
        <v>485</v>
      </c>
      <c r="B47" s="91" t="s">
        <v>2962</v>
      </c>
      <c r="C47" s="91" t="s">
        <v>2963</v>
      </c>
      <c r="L47" s="94" t="s">
        <v>813</v>
      </c>
      <c r="M47" s="98" t="s">
        <v>3006</v>
      </c>
      <c r="N47" s="99" t="s">
        <v>3004</v>
      </c>
      <c r="U47" s="113" t="s">
        <v>823</v>
      </c>
      <c r="V47" s="106" t="s">
        <v>3144</v>
      </c>
      <c r="W47" s="108" t="s">
        <v>3145</v>
      </c>
    </row>
    <row r="48" spans="1:23" x14ac:dyDescent="0.25">
      <c r="A48" s="93" t="s">
        <v>486</v>
      </c>
      <c r="B48" s="91" t="s">
        <v>2971</v>
      </c>
      <c r="C48" s="91" t="s">
        <v>2972</v>
      </c>
      <c r="L48" s="94" t="s">
        <v>2518</v>
      </c>
      <c r="M48" s="98" t="s">
        <v>3007</v>
      </c>
      <c r="N48" s="99" t="s">
        <v>3004</v>
      </c>
      <c r="U48" s="113" t="s">
        <v>825</v>
      </c>
      <c r="V48" s="106" t="s">
        <v>3146</v>
      </c>
      <c r="W48" s="103" t="s">
        <v>3147</v>
      </c>
    </row>
    <row r="49" spans="1:23" x14ac:dyDescent="0.25">
      <c r="A49" s="93" t="s">
        <v>488</v>
      </c>
      <c r="B49" s="91" t="s">
        <v>2971</v>
      </c>
      <c r="C49" s="91" t="s">
        <v>2972</v>
      </c>
      <c r="L49" s="94" t="s">
        <v>814</v>
      </c>
      <c r="M49" s="98" t="s">
        <v>3007</v>
      </c>
      <c r="N49" s="99" t="s">
        <v>3004</v>
      </c>
      <c r="U49" s="113" t="s">
        <v>827</v>
      </c>
      <c r="V49" s="106" t="s">
        <v>3148</v>
      </c>
      <c r="W49" s="107" t="s">
        <v>3149</v>
      </c>
    </row>
    <row r="50" spans="1:23" x14ac:dyDescent="0.25">
      <c r="A50" s="93" t="s">
        <v>1584</v>
      </c>
      <c r="B50" s="91" t="s">
        <v>2973</v>
      </c>
      <c r="C50" s="91" t="s">
        <v>2977</v>
      </c>
      <c r="L50" s="94" t="s">
        <v>2522</v>
      </c>
      <c r="M50" s="98" t="s">
        <v>3008</v>
      </c>
      <c r="N50" s="99" t="s">
        <v>2995</v>
      </c>
      <c r="U50" s="113" t="s">
        <v>828</v>
      </c>
      <c r="V50" s="106" t="s">
        <v>3150</v>
      </c>
      <c r="W50" s="103" t="s">
        <v>3151</v>
      </c>
    </row>
    <row r="51" spans="1:23" x14ac:dyDescent="0.25">
      <c r="A51" s="93" t="s">
        <v>490</v>
      </c>
      <c r="B51" s="91" t="s">
        <v>2962</v>
      </c>
      <c r="C51" s="91" t="s">
        <v>2975</v>
      </c>
      <c r="L51" s="94" t="s">
        <v>2531</v>
      </c>
      <c r="M51" s="98" t="s">
        <v>3008</v>
      </c>
      <c r="N51" s="99" t="s">
        <v>2995</v>
      </c>
      <c r="U51" s="113" t="s">
        <v>831</v>
      </c>
      <c r="V51" s="106" t="s">
        <v>3152</v>
      </c>
      <c r="W51" s="103" t="s">
        <v>3153</v>
      </c>
    </row>
    <row r="52" spans="1:23" x14ac:dyDescent="0.25">
      <c r="A52" s="93" t="s">
        <v>1592</v>
      </c>
      <c r="B52" s="91" t="s">
        <v>2973</v>
      </c>
      <c r="C52" s="91" t="s">
        <v>2977</v>
      </c>
      <c r="L52" s="94" t="s">
        <v>817</v>
      </c>
      <c r="M52" s="98" t="s">
        <v>3008</v>
      </c>
      <c r="N52" s="99" t="s">
        <v>2995</v>
      </c>
      <c r="U52" s="113" t="s">
        <v>832</v>
      </c>
      <c r="V52" s="106" t="s">
        <v>3154</v>
      </c>
      <c r="W52" s="103" t="s">
        <v>3155</v>
      </c>
    </row>
    <row r="53" spans="1:23" x14ac:dyDescent="0.25">
      <c r="A53" s="93" t="s">
        <v>491</v>
      </c>
      <c r="B53" s="91" t="s">
        <v>2962</v>
      </c>
      <c r="C53" s="91" t="s">
        <v>2964</v>
      </c>
      <c r="L53" s="94" t="s">
        <v>819</v>
      </c>
      <c r="M53" s="98" t="s">
        <v>3005</v>
      </c>
      <c r="N53" s="99" t="s">
        <v>3004</v>
      </c>
      <c r="U53" s="113" t="s">
        <v>833</v>
      </c>
      <c r="V53" s="106" t="s">
        <v>3156</v>
      </c>
      <c r="W53" s="103" t="s">
        <v>3157</v>
      </c>
    </row>
    <row r="54" spans="1:23" x14ac:dyDescent="0.25">
      <c r="A54" s="93" t="s">
        <v>492</v>
      </c>
      <c r="B54" s="91" t="s">
        <v>2973</v>
      </c>
      <c r="C54" s="91" t="s">
        <v>2980</v>
      </c>
      <c r="L54" s="94" t="s">
        <v>820</v>
      </c>
      <c r="M54" s="98" t="s">
        <v>3009</v>
      </c>
      <c r="N54" s="99" t="s">
        <v>2997</v>
      </c>
      <c r="U54" s="113" t="s">
        <v>834</v>
      </c>
      <c r="V54" s="106" t="s">
        <v>3158</v>
      </c>
      <c r="W54" s="103" t="s">
        <v>3159</v>
      </c>
    </row>
    <row r="55" spans="1:23" x14ac:dyDescent="0.25">
      <c r="A55" s="94" t="s">
        <v>494</v>
      </c>
      <c r="B55" s="91" t="s">
        <v>2973</v>
      </c>
      <c r="C55" s="91" t="s">
        <v>2977</v>
      </c>
      <c r="L55" s="94" t="s">
        <v>821</v>
      </c>
      <c r="M55" s="98" t="s">
        <v>3009</v>
      </c>
      <c r="N55" s="99" t="s">
        <v>2997</v>
      </c>
      <c r="U55" s="113" t="s">
        <v>837</v>
      </c>
      <c r="V55" s="106" t="s">
        <v>3160</v>
      </c>
      <c r="W55" s="108" t="s">
        <v>3161</v>
      </c>
    </row>
    <row r="56" spans="1:23" x14ac:dyDescent="0.25">
      <c r="A56" s="93" t="s">
        <v>495</v>
      </c>
      <c r="B56" s="91" t="s">
        <v>2981</v>
      </c>
      <c r="C56" s="91" t="s">
        <v>2982</v>
      </c>
      <c r="L56" s="94" t="s">
        <v>823</v>
      </c>
      <c r="M56" s="98"/>
      <c r="N56" s="99" t="s">
        <v>3000</v>
      </c>
      <c r="U56" s="113" t="s">
        <v>838</v>
      </c>
      <c r="V56" s="106" t="s">
        <v>3162</v>
      </c>
      <c r="W56" s="103" t="s">
        <v>3163</v>
      </c>
    </row>
    <row r="57" spans="1:23" x14ac:dyDescent="0.25">
      <c r="A57" s="93" t="s">
        <v>499</v>
      </c>
      <c r="B57" s="91" t="s">
        <v>2973</v>
      </c>
      <c r="C57" s="91" t="s">
        <v>2974</v>
      </c>
      <c r="L57" s="94" t="s">
        <v>825</v>
      </c>
      <c r="M57" s="98" t="s">
        <v>3006</v>
      </c>
      <c r="N57" s="99" t="s">
        <v>3004</v>
      </c>
      <c r="U57" s="113" t="s">
        <v>839</v>
      </c>
      <c r="V57" s="106" t="s">
        <v>3164</v>
      </c>
      <c r="W57" s="103" t="s">
        <v>3165</v>
      </c>
    </row>
    <row r="58" spans="1:23" x14ac:dyDescent="0.25">
      <c r="A58" s="93" t="s">
        <v>500</v>
      </c>
      <c r="B58" s="91" t="s">
        <v>2968</v>
      </c>
      <c r="C58" s="91" t="s">
        <v>2969</v>
      </c>
      <c r="L58" s="94" t="s">
        <v>827</v>
      </c>
      <c r="M58" s="98" t="s">
        <v>3009</v>
      </c>
      <c r="N58" s="99" t="s">
        <v>2997</v>
      </c>
      <c r="U58" s="113" t="s">
        <v>841</v>
      </c>
      <c r="V58" s="106" t="s">
        <v>3166</v>
      </c>
      <c r="W58" s="103" t="s">
        <v>3167</v>
      </c>
    </row>
    <row r="59" spans="1:23" x14ac:dyDescent="0.25">
      <c r="A59" s="93" t="s">
        <v>502</v>
      </c>
      <c r="B59" s="91" t="s">
        <v>2962</v>
      </c>
      <c r="C59" s="91" t="s">
        <v>2975</v>
      </c>
      <c r="L59" s="94" t="s">
        <v>828</v>
      </c>
      <c r="M59" s="98" t="s">
        <v>3010</v>
      </c>
      <c r="N59" s="99" t="s">
        <v>3011</v>
      </c>
      <c r="U59" s="113" t="s">
        <v>2579</v>
      </c>
      <c r="V59" s="106" t="s">
        <v>3168</v>
      </c>
      <c r="W59" s="103" t="s">
        <v>3169</v>
      </c>
    </row>
    <row r="60" spans="1:23" x14ac:dyDescent="0.25">
      <c r="A60" s="93" t="s">
        <v>505</v>
      </c>
      <c r="B60" s="91" t="s">
        <v>2973</v>
      </c>
      <c r="C60" s="91" t="s">
        <v>2977</v>
      </c>
      <c r="L60" s="94" t="s">
        <v>830</v>
      </c>
      <c r="M60" s="98" t="s">
        <v>3010</v>
      </c>
      <c r="N60" s="99" t="s">
        <v>3011</v>
      </c>
      <c r="U60" s="113" t="s">
        <v>842</v>
      </c>
      <c r="V60" s="106" t="s">
        <v>3170</v>
      </c>
      <c r="W60" s="103" t="s">
        <v>3171</v>
      </c>
    </row>
    <row r="61" spans="1:23" x14ac:dyDescent="0.25">
      <c r="A61" s="93" t="s">
        <v>506</v>
      </c>
      <c r="B61" s="91" t="s">
        <v>2973</v>
      </c>
      <c r="C61" s="91" t="s">
        <v>2980</v>
      </c>
      <c r="L61" s="94" t="s">
        <v>831</v>
      </c>
      <c r="M61" s="98" t="s">
        <v>3010</v>
      </c>
      <c r="N61" s="99" t="s">
        <v>3011</v>
      </c>
      <c r="U61" s="113" t="s">
        <v>843</v>
      </c>
      <c r="V61" s="106" t="s">
        <v>3172</v>
      </c>
      <c r="W61" s="103" t="s">
        <v>3173</v>
      </c>
    </row>
    <row r="62" spans="1:23" x14ac:dyDescent="0.25">
      <c r="A62" s="93" t="s">
        <v>507</v>
      </c>
      <c r="B62" s="91" t="s">
        <v>2973</v>
      </c>
      <c r="C62" s="91" t="s">
        <v>2980</v>
      </c>
      <c r="L62" s="94" t="s">
        <v>832</v>
      </c>
      <c r="M62" s="98" t="s">
        <v>3010</v>
      </c>
      <c r="N62" s="99" t="s">
        <v>3011</v>
      </c>
      <c r="U62" s="113" t="s">
        <v>844</v>
      </c>
      <c r="V62" s="106" t="s">
        <v>3174</v>
      </c>
      <c r="W62" s="107" t="s">
        <v>3175</v>
      </c>
    </row>
    <row r="63" spans="1:23" x14ac:dyDescent="0.25">
      <c r="A63" s="93" t="s">
        <v>509</v>
      </c>
      <c r="B63" s="91" t="s">
        <v>2973</v>
      </c>
      <c r="C63" s="91" t="s">
        <v>2980</v>
      </c>
      <c r="L63" s="94" t="s">
        <v>833</v>
      </c>
      <c r="M63" s="98" t="s">
        <v>3009</v>
      </c>
      <c r="N63" s="99" t="s">
        <v>2997</v>
      </c>
      <c r="U63" s="113" t="s">
        <v>846</v>
      </c>
      <c r="V63" s="106" t="s">
        <v>3176</v>
      </c>
      <c r="W63" s="107" t="s">
        <v>3177</v>
      </c>
    </row>
    <row r="64" spans="1:23" x14ac:dyDescent="0.25">
      <c r="A64" s="93" t="s">
        <v>510</v>
      </c>
      <c r="B64" s="91" t="s">
        <v>2973</v>
      </c>
      <c r="C64" s="91" t="s">
        <v>2980</v>
      </c>
      <c r="L64" s="94" t="s">
        <v>837</v>
      </c>
      <c r="M64" s="98" t="s">
        <v>3005</v>
      </c>
      <c r="N64" s="99" t="s">
        <v>3004</v>
      </c>
      <c r="U64" s="113" t="s">
        <v>2595</v>
      </c>
      <c r="V64" s="106" t="s">
        <v>3178</v>
      </c>
      <c r="W64" s="107" t="s">
        <v>3179</v>
      </c>
    </row>
    <row r="65" spans="1:23" x14ac:dyDescent="0.25">
      <c r="A65" s="93" t="s">
        <v>511</v>
      </c>
      <c r="B65" s="91" t="s">
        <v>2981</v>
      </c>
      <c r="C65" s="91" t="s">
        <v>2982</v>
      </c>
      <c r="L65" s="94" t="s">
        <v>838</v>
      </c>
      <c r="M65" s="98" t="s">
        <v>3005</v>
      </c>
      <c r="N65" s="99" t="s">
        <v>3004</v>
      </c>
      <c r="U65" s="113" t="s">
        <v>1023</v>
      </c>
      <c r="V65" s="106" t="s">
        <v>3180</v>
      </c>
      <c r="W65" s="103" t="s">
        <v>3181</v>
      </c>
    </row>
    <row r="66" spans="1:23" x14ac:dyDescent="0.25">
      <c r="A66" s="93" t="s">
        <v>512</v>
      </c>
      <c r="B66" s="91" t="s">
        <v>2981</v>
      </c>
      <c r="C66" s="91" t="s">
        <v>2982</v>
      </c>
      <c r="L66" s="94" t="s">
        <v>839</v>
      </c>
      <c r="M66" s="98" t="s">
        <v>3008</v>
      </c>
      <c r="N66" s="99" t="s">
        <v>2995</v>
      </c>
      <c r="U66" s="113" t="s">
        <v>2604</v>
      </c>
      <c r="V66" s="106" t="s">
        <v>3182</v>
      </c>
      <c r="W66" s="103" t="s">
        <v>3183</v>
      </c>
    </row>
    <row r="67" spans="1:23" x14ac:dyDescent="0.25">
      <c r="A67" s="93" t="s">
        <v>515</v>
      </c>
      <c r="B67" s="91" t="s">
        <v>2981</v>
      </c>
      <c r="C67" s="91" t="s">
        <v>2983</v>
      </c>
      <c r="L67" s="94" t="s">
        <v>2579</v>
      </c>
      <c r="M67" s="98" t="s">
        <v>3008</v>
      </c>
      <c r="N67" s="99" t="s">
        <v>2995</v>
      </c>
      <c r="U67" s="113" t="s">
        <v>2610</v>
      </c>
      <c r="V67" s="106" t="s">
        <v>3184</v>
      </c>
      <c r="W67" s="103" t="s">
        <v>3185</v>
      </c>
    </row>
    <row r="68" spans="1:23" x14ac:dyDescent="0.25">
      <c r="A68" s="93" t="s">
        <v>516</v>
      </c>
      <c r="B68" s="91" t="s">
        <v>2981</v>
      </c>
      <c r="C68" s="91" t="s">
        <v>2982</v>
      </c>
      <c r="L68" s="94" t="s">
        <v>842</v>
      </c>
      <c r="M68" s="98" t="s">
        <v>3010</v>
      </c>
      <c r="N68" s="99" t="s">
        <v>3011</v>
      </c>
      <c r="U68" s="113" t="s">
        <v>2616</v>
      </c>
      <c r="V68" s="106" t="s">
        <v>2615</v>
      </c>
      <c r="W68" s="103" t="s">
        <v>3186</v>
      </c>
    </row>
    <row r="69" spans="1:23" x14ac:dyDescent="0.25">
      <c r="A69" s="93" t="s">
        <v>517</v>
      </c>
      <c r="B69" s="91" t="s">
        <v>2981</v>
      </c>
      <c r="C69" s="91" t="s">
        <v>2982</v>
      </c>
      <c r="L69" s="94" t="s">
        <v>843</v>
      </c>
      <c r="M69" s="98" t="s">
        <v>3010</v>
      </c>
      <c r="N69" s="99" t="s">
        <v>3011</v>
      </c>
      <c r="U69" s="113" t="s">
        <v>2619</v>
      </c>
      <c r="V69" s="106" t="s">
        <v>3187</v>
      </c>
      <c r="W69" s="107" t="s">
        <v>3188</v>
      </c>
    </row>
    <row r="70" spans="1:23" x14ac:dyDescent="0.25">
      <c r="A70" s="93" t="s">
        <v>519</v>
      </c>
      <c r="B70" s="91" t="s">
        <v>2981</v>
      </c>
      <c r="C70" s="91" t="s">
        <v>2984</v>
      </c>
      <c r="L70" s="94" t="s">
        <v>844</v>
      </c>
      <c r="M70" s="98"/>
      <c r="N70" s="99" t="s">
        <v>3011</v>
      </c>
      <c r="U70" s="113" t="s">
        <v>2625</v>
      </c>
      <c r="V70" s="106" t="s">
        <v>3189</v>
      </c>
      <c r="W70" s="107" t="s">
        <v>3190</v>
      </c>
    </row>
    <row r="71" spans="1:23" ht="15.75" thickBot="1" x14ac:dyDescent="0.3">
      <c r="A71" s="93" t="s">
        <v>523</v>
      </c>
      <c r="B71" s="91" t="s">
        <v>2981</v>
      </c>
      <c r="C71" s="91" t="s">
        <v>2984</v>
      </c>
      <c r="L71" s="94" t="s">
        <v>846</v>
      </c>
      <c r="M71" s="98"/>
      <c r="N71" s="99" t="s">
        <v>3011</v>
      </c>
      <c r="U71" s="113" t="s">
        <v>2628</v>
      </c>
      <c r="V71" s="106" t="s">
        <v>3191</v>
      </c>
      <c r="W71" s="111" t="s">
        <v>3192</v>
      </c>
    </row>
    <row r="72" spans="1:23" x14ac:dyDescent="0.25">
      <c r="A72" s="93" t="s">
        <v>524</v>
      </c>
      <c r="B72" s="91" t="s">
        <v>2985</v>
      </c>
      <c r="C72" s="91" t="s">
        <v>2986</v>
      </c>
      <c r="L72" s="94" t="s">
        <v>847</v>
      </c>
      <c r="M72" s="98"/>
      <c r="N72" s="99" t="s">
        <v>3011</v>
      </c>
    </row>
    <row r="73" spans="1:23" x14ac:dyDescent="0.25">
      <c r="A73" s="93" t="s">
        <v>525</v>
      </c>
      <c r="B73" s="91" t="s">
        <v>2965</v>
      </c>
      <c r="C73" s="91" t="s">
        <v>2987</v>
      </c>
      <c r="L73" s="94" t="s">
        <v>2595</v>
      </c>
      <c r="M73" s="98" t="s">
        <v>3008</v>
      </c>
      <c r="N73" s="99" t="s">
        <v>2995</v>
      </c>
    </row>
    <row r="74" spans="1:23" x14ac:dyDescent="0.25">
      <c r="A74" s="93" t="s">
        <v>1665</v>
      </c>
      <c r="B74" s="91" t="s">
        <v>2973</v>
      </c>
      <c r="C74" s="91" t="s">
        <v>2980</v>
      </c>
      <c r="L74" s="94" t="s">
        <v>1023</v>
      </c>
      <c r="M74" s="98" t="s">
        <v>3007</v>
      </c>
      <c r="N74" s="99" t="s">
        <v>3004</v>
      </c>
    </row>
    <row r="75" spans="1:23" x14ac:dyDescent="0.25">
      <c r="A75" s="93" t="s">
        <v>526</v>
      </c>
      <c r="B75" s="91" t="s">
        <v>2985</v>
      </c>
      <c r="C75" s="91" t="s">
        <v>2986</v>
      </c>
      <c r="L75" s="94" t="s">
        <v>2604</v>
      </c>
      <c r="M75" s="98" t="s">
        <v>3005</v>
      </c>
      <c r="N75" s="99" t="s">
        <v>3004</v>
      </c>
    </row>
    <row r="76" spans="1:23" x14ac:dyDescent="0.25">
      <c r="A76" s="93" t="s">
        <v>527</v>
      </c>
      <c r="B76" s="91" t="s">
        <v>2981</v>
      </c>
      <c r="C76" s="91" t="s">
        <v>2984</v>
      </c>
      <c r="L76" s="94" t="s">
        <v>2610</v>
      </c>
      <c r="M76" s="98" t="s">
        <v>3009</v>
      </c>
      <c r="N76" s="99" t="s">
        <v>2997</v>
      </c>
    </row>
    <row r="77" spans="1:23" x14ac:dyDescent="0.25">
      <c r="A77" s="93" t="s">
        <v>528</v>
      </c>
      <c r="B77" s="91" t="s">
        <v>2981</v>
      </c>
      <c r="C77" s="54"/>
      <c r="L77" s="94" t="s">
        <v>2613</v>
      </c>
      <c r="M77" s="98"/>
      <c r="N77" s="99" t="s">
        <v>2997</v>
      </c>
    </row>
    <row r="78" spans="1:23" x14ac:dyDescent="0.25">
      <c r="A78" s="93" t="s">
        <v>853</v>
      </c>
      <c r="B78" s="91" t="s">
        <v>2981</v>
      </c>
      <c r="C78" s="54"/>
      <c r="L78" s="94" t="s">
        <v>2616</v>
      </c>
      <c r="M78" s="98"/>
      <c r="N78" s="99" t="s">
        <v>2997</v>
      </c>
    </row>
    <row r="79" spans="1:23" x14ac:dyDescent="0.25">
      <c r="A79" s="93" t="s">
        <v>529</v>
      </c>
      <c r="B79" s="91" t="s">
        <v>2985</v>
      </c>
      <c r="C79" s="91" t="s">
        <v>2986</v>
      </c>
      <c r="L79" s="94" t="s">
        <v>2619</v>
      </c>
      <c r="M79" s="98"/>
      <c r="N79" s="99" t="s">
        <v>2997</v>
      </c>
    </row>
    <row r="80" spans="1:23" x14ac:dyDescent="0.25">
      <c r="A80" s="93" t="s">
        <v>530</v>
      </c>
      <c r="B80" s="91" t="s">
        <v>2965</v>
      </c>
      <c r="C80" s="91" t="s">
        <v>2987</v>
      </c>
      <c r="L80" s="94" t="s">
        <v>2622</v>
      </c>
      <c r="M80" s="98"/>
      <c r="N80" s="99" t="s">
        <v>3011</v>
      </c>
    </row>
    <row r="81" spans="1:14" x14ac:dyDescent="0.25">
      <c r="A81" s="93" t="s">
        <v>532</v>
      </c>
      <c r="B81" s="91" t="s">
        <v>2985</v>
      </c>
      <c r="C81" s="91" t="s">
        <v>2988</v>
      </c>
      <c r="L81" s="94" t="s">
        <v>2625</v>
      </c>
      <c r="M81" s="98"/>
      <c r="N81" s="99" t="s">
        <v>3011</v>
      </c>
    </row>
    <row r="82" spans="1:14" x14ac:dyDescent="0.25">
      <c r="A82" s="93" t="s">
        <v>533</v>
      </c>
      <c r="B82" s="91" t="s">
        <v>2965</v>
      </c>
      <c r="C82" s="91" t="s">
        <v>2987</v>
      </c>
      <c r="L82" s="94" t="s">
        <v>2628</v>
      </c>
      <c r="M82" s="98"/>
      <c r="N82" s="99" t="s">
        <v>3011</v>
      </c>
    </row>
    <row r="83" spans="1:14" x14ac:dyDescent="0.25">
      <c r="A83" s="93" t="s">
        <v>534</v>
      </c>
      <c r="B83" s="91" t="s">
        <v>2981</v>
      </c>
      <c r="C83" s="91" t="s">
        <v>2983</v>
      </c>
    </row>
    <row r="84" spans="1:14" x14ac:dyDescent="0.25">
      <c r="A84" s="93" t="s">
        <v>854</v>
      </c>
      <c r="B84" s="91" t="s">
        <v>2981</v>
      </c>
      <c r="C84" s="91" t="s">
        <v>2983</v>
      </c>
    </row>
    <row r="85" spans="1:14" x14ac:dyDescent="0.25">
      <c r="A85" s="93" t="s">
        <v>536</v>
      </c>
      <c r="B85" s="91" t="s">
        <v>2981</v>
      </c>
      <c r="C85" s="91" t="s">
        <v>2983</v>
      </c>
    </row>
    <row r="86" spans="1:14" x14ac:dyDescent="0.25">
      <c r="A86" s="93" t="s">
        <v>537</v>
      </c>
      <c r="B86" s="91" t="s">
        <v>2981</v>
      </c>
      <c r="C86" s="54"/>
    </row>
    <row r="87" spans="1:14" x14ac:dyDescent="0.25">
      <c r="A87" s="93" t="s">
        <v>1698</v>
      </c>
      <c r="B87" s="91" t="s">
        <v>2981</v>
      </c>
      <c r="C87" s="91" t="s">
        <v>2984</v>
      </c>
    </row>
    <row r="88" spans="1:14" x14ac:dyDescent="0.25">
      <c r="A88" s="93" t="s">
        <v>538</v>
      </c>
      <c r="B88" s="91" t="s">
        <v>2981</v>
      </c>
      <c r="C88" s="91" t="s">
        <v>2982</v>
      </c>
    </row>
    <row r="89" spans="1:14" x14ac:dyDescent="0.25">
      <c r="A89" s="94" t="s">
        <v>539</v>
      </c>
      <c r="B89" s="91" t="s">
        <v>2962</v>
      </c>
      <c r="C89" s="91" t="s">
        <v>2975</v>
      </c>
    </row>
    <row r="90" spans="1:14" x14ac:dyDescent="0.25">
      <c r="A90" s="93" t="s">
        <v>542</v>
      </c>
      <c r="B90" s="91" t="s">
        <v>2981</v>
      </c>
      <c r="C90" s="91" t="s">
        <v>2984</v>
      </c>
    </row>
    <row r="91" spans="1:14" x14ac:dyDescent="0.25">
      <c r="A91" s="93" t="s">
        <v>855</v>
      </c>
      <c r="B91" s="91" t="s">
        <v>2981</v>
      </c>
      <c r="C91" s="54"/>
    </row>
    <row r="92" spans="1:14" x14ac:dyDescent="0.25">
      <c r="A92" s="93" t="s">
        <v>545</v>
      </c>
      <c r="B92" s="91" t="s">
        <v>2981</v>
      </c>
      <c r="C92" s="91" t="s">
        <v>2984</v>
      </c>
    </row>
    <row r="93" spans="1:14" x14ac:dyDescent="0.25">
      <c r="A93" s="93" t="s">
        <v>546</v>
      </c>
      <c r="B93" s="91" t="s">
        <v>2968</v>
      </c>
      <c r="C93" s="91" t="s">
        <v>2969</v>
      </c>
    </row>
    <row r="94" spans="1:14" x14ac:dyDescent="0.25">
      <c r="A94" s="93" t="s">
        <v>549</v>
      </c>
      <c r="B94" s="91" t="s">
        <v>2968</v>
      </c>
      <c r="C94" s="91" t="s">
        <v>2978</v>
      </c>
    </row>
    <row r="95" spans="1:14" x14ac:dyDescent="0.25">
      <c r="A95" s="93" t="s">
        <v>550</v>
      </c>
      <c r="B95" s="91" t="s">
        <v>2985</v>
      </c>
      <c r="C95" s="91" t="s">
        <v>2988</v>
      </c>
    </row>
    <row r="96" spans="1:14" x14ac:dyDescent="0.25">
      <c r="A96" s="93" t="s">
        <v>551</v>
      </c>
      <c r="B96" s="91" t="s">
        <v>2985</v>
      </c>
      <c r="C96" s="91" t="s">
        <v>2988</v>
      </c>
    </row>
    <row r="97" spans="1:3" x14ac:dyDescent="0.25">
      <c r="A97" s="93" t="s">
        <v>553</v>
      </c>
      <c r="B97" s="91" t="s">
        <v>2968</v>
      </c>
      <c r="C97" s="91" t="s">
        <v>2979</v>
      </c>
    </row>
    <row r="98" spans="1:3" x14ac:dyDescent="0.25">
      <c r="A98" s="93" t="s">
        <v>555</v>
      </c>
      <c r="B98" s="91" t="s">
        <v>2968</v>
      </c>
      <c r="C98" s="91" t="s">
        <v>2978</v>
      </c>
    </row>
    <row r="99" spans="1:3" x14ac:dyDescent="0.25">
      <c r="A99" s="93" t="s">
        <v>557</v>
      </c>
      <c r="B99" s="91" t="s">
        <v>2985</v>
      </c>
      <c r="C99" s="91" t="s">
        <v>2988</v>
      </c>
    </row>
    <row r="100" spans="1:3" x14ac:dyDescent="0.25">
      <c r="A100" s="93" t="s">
        <v>558</v>
      </c>
      <c r="B100" s="91" t="s">
        <v>2968</v>
      </c>
      <c r="C100" s="91" t="s">
        <v>2978</v>
      </c>
    </row>
    <row r="101" spans="1:3" x14ac:dyDescent="0.25">
      <c r="A101" s="93" t="s">
        <v>561</v>
      </c>
      <c r="B101" s="91" t="s">
        <v>2962</v>
      </c>
      <c r="C101" s="91" t="s">
        <v>2963</v>
      </c>
    </row>
    <row r="102" spans="1:3" x14ac:dyDescent="0.25">
      <c r="A102" s="93" t="s">
        <v>563</v>
      </c>
      <c r="B102" s="91" t="s">
        <v>2985</v>
      </c>
      <c r="C102" s="91" t="s">
        <v>2988</v>
      </c>
    </row>
    <row r="103" spans="1:3" x14ac:dyDescent="0.25">
      <c r="A103" s="93" t="s">
        <v>564</v>
      </c>
      <c r="B103" s="91" t="s">
        <v>2965</v>
      </c>
      <c r="C103" s="91" t="s">
        <v>2967</v>
      </c>
    </row>
    <row r="104" spans="1:3" x14ac:dyDescent="0.25">
      <c r="A104" s="93" t="s">
        <v>566</v>
      </c>
      <c r="B104" s="91" t="s">
        <v>2981</v>
      </c>
      <c r="C104" s="91"/>
    </row>
    <row r="105" spans="1:3" x14ac:dyDescent="0.25">
      <c r="A105" s="93" t="s">
        <v>569</v>
      </c>
      <c r="B105" s="91" t="s">
        <v>2962</v>
      </c>
      <c r="C105" s="91" t="s">
        <v>2975</v>
      </c>
    </row>
    <row r="106" spans="1:3" x14ac:dyDescent="0.25">
      <c r="A106" s="93" t="s">
        <v>570</v>
      </c>
      <c r="B106" s="91" t="s">
        <v>2985</v>
      </c>
      <c r="C106" s="91" t="s">
        <v>2988</v>
      </c>
    </row>
    <row r="107" spans="1:3" x14ac:dyDescent="0.25">
      <c r="A107" s="93" t="s">
        <v>571</v>
      </c>
      <c r="B107" s="91" t="s">
        <v>2985</v>
      </c>
      <c r="C107" s="91" t="s">
        <v>2988</v>
      </c>
    </row>
    <row r="108" spans="1:3" x14ac:dyDescent="0.25">
      <c r="A108" s="93" t="s">
        <v>572</v>
      </c>
      <c r="B108" s="91" t="s">
        <v>2968</v>
      </c>
      <c r="C108" s="91" t="s">
        <v>2978</v>
      </c>
    </row>
    <row r="109" spans="1:3" x14ac:dyDescent="0.25">
      <c r="A109" s="93" t="s">
        <v>574</v>
      </c>
      <c r="B109" s="91" t="s">
        <v>2981</v>
      </c>
      <c r="C109" s="54"/>
    </row>
    <row r="110" spans="1:3" x14ac:dyDescent="0.25">
      <c r="A110" s="93" t="s">
        <v>576</v>
      </c>
      <c r="B110" s="91" t="s">
        <v>2985</v>
      </c>
      <c r="C110" s="91" t="s">
        <v>2988</v>
      </c>
    </row>
    <row r="111" spans="1:3" x14ac:dyDescent="0.25">
      <c r="A111" s="93" t="s">
        <v>578</v>
      </c>
      <c r="B111" s="91" t="s">
        <v>2968</v>
      </c>
      <c r="C111" s="91" t="s">
        <v>2979</v>
      </c>
    </row>
    <row r="112" spans="1:3" x14ac:dyDescent="0.25">
      <c r="A112" s="93" t="s">
        <v>579</v>
      </c>
      <c r="B112" s="91" t="s">
        <v>2968</v>
      </c>
      <c r="C112" s="91" t="s">
        <v>2979</v>
      </c>
    </row>
    <row r="113" spans="1:3" x14ac:dyDescent="0.25">
      <c r="A113" s="93" t="s">
        <v>580</v>
      </c>
      <c r="B113" s="91" t="s">
        <v>2985</v>
      </c>
      <c r="C113" s="91" t="s">
        <v>2989</v>
      </c>
    </row>
    <row r="114" spans="1:3" x14ac:dyDescent="0.25">
      <c r="A114" s="93" t="s">
        <v>581</v>
      </c>
      <c r="B114" s="91" t="s">
        <v>2968</v>
      </c>
      <c r="C114" s="91" t="s">
        <v>2969</v>
      </c>
    </row>
    <row r="115" spans="1:3" x14ac:dyDescent="0.25">
      <c r="A115" s="93" t="s">
        <v>584</v>
      </c>
      <c r="B115" s="91" t="s">
        <v>2965</v>
      </c>
      <c r="C115" s="91" t="s">
        <v>2987</v>
      </c>
    </row>
    <row r="116" spans="1:3" x14ac:dyDescent="0.25">
      <c r="A116" s="93" t="s">
        <v>585</v>
      </c>
      <c r="B116" s="91" t="s">
        <v>2985</v>
      </c>
      <c r="C116" s="91" t="s">
        <v>2989</v>
      </c>
    </row>
    <row r="117" spans="1:3" x14ac:dyDescent="0.25">
      <c r="A117" s="93" t="s">
        <v>588</v>
      </c>
      <c r="B117" s="91" t="s">
        <v>2985</v>
      </c>
      <c r="C117" s="91" t="s">
        <v>2989</v>
      </c>
    </row>
    <row r="118" spans="1:3" x14ac:dyDescent="0.25">
      <c r="A118" s="93" t="s">
        <v>591</v>
      </c>
      <c r="B118" s="91" t="s">
        <v>2973</v>
      </c>
      <c r="C118" s="91" t="s">
        <v>2974</v>
      </c>
    </row>
    <row r="119" spans="1:3" x14ac:dyDescent="0.25">
      <c r="A119" s="93" t="s">
        <v>592</v>
      </c>
      <c r="B119" s="91" t="s">
        <v>2962</v>
      </c>
      <c r="C119" s="91" t="s">
        <v>2964</v>
      </c>
    </row>
    <row r="120" spans="1:3" x14ac:dyDescent="0.25">
      <c r="A120" s="93" t="s">
        <v>593</v>
      </c>
      <c r="B120" s="91" t="s">
        <v>2985</v>
      </c>
      <c r="C120" s="91" t="s">
        <v>2989</v>
      </c>
    </row>
    <row r="121" spans="1:3" x14ac:dyDescent="0.25">
      <c r="A121" s="93" t="s">
        <v>594</v>
      </c>
      <c r="B121" s="91" t="s">
        <v>2985</v>
      </c>
      <c r="C121" s="91" t="s">
        <v>2986</v>
      </c>
    </row>
    <row r="122" spans="1:3" x14ac:dyDescent="0.25">
      <c r="A122" s="93" t="s">
        <v>595</v>
      </c>
      <c r="B122" s="91" t="s">
        <v>2985</v>
      </c>
      <c r="C122" s="91" t="s">
        <v>2989</v>
      </c>
    </row>
    <row r="123" spans="1:3" x14ac:dyDescent="0.25">
      <c r="A123" s="93" t="s">
        <v>597</v>
      </c>
      <c r="B123" s="91" t="s">
        <v>2985</v>
      </c>
      <c r="C123" s="91" t="s">
        <v>2989</v>
      </c>
    </row>
    <row r="124" spans="1:3" x14ac:dyDescent="0.25">
      <c r="A124" s="93" t="s">
        <v>598</v>
      </c>
      <c r="B124" s="91" t="s">
        <v>2985</v>
      </c>
      <c r="C124" s="91" t="s">
        <v>2986</v>
      </c>
    </row>
    <row r="125" spans="1:3" x14ac:dyDescent="0.25">
      <c r="A125" s="93" t="s">
        <v>857</v>
      </c>
      <c r="B125" s="91" t="s">
        <v>2985</v>
      </c>
      <c r="C125" s="91" t="s">
        <v>2989</v>
      </c>
    </row>
    <row r="126" spans="1:3" x14ac:dyDescent="0.25">
      <c r="A126" s="93" t="s">
        <v>858</v>
      </c>
      <c r="B126" s="91" t="s">
        <v>2985</v>
      </c>
      <c r="C126" s="91" t="s">
        <v>2989</v>
      </c>
    </row>
    <row r="127" spans="1:3" x14ac:dyDescent="0.25">
      <c r="A127" s="93" t="s">
        <v>860</v>
      </c>
      <c r="B127" s="91" t="s">
        <v>2968</v>
      </c>
      <c r="C127" s="91" t="s">
        <v>2969</v>
      </c>
    </row>
    <row r="128" spans="1:3" x14ac:dyDescent="0.25">
      <c r="A128" s="93" t="s">
        <v>863</v>
      </c>
      <c r="B128" s="91" t="s">
        <v>2985</v>
      </c>
      <c r="C128" s="91" t="s">
        <v>2986</v>
      </c>
    </row>
    <row r="129" spans="1:3" x14ac:dyDescent="0.25">
      <c r="A129" s="93" t="s">
        <v>1782</v>
      </c>
      <c r="B129" s="91" t="s">
        <v>2965</v>
      </c>
      <c r="C129" s="91" t="s">
        <v>2987</v>
      </c>
    </row>
    <row r="130" spans="1:3" x14ac:dyDescent="0.25">
      <c r="A130" s="93" t="s">
        <v>1785</v>
      </c>
      <c r="B130" s="91" t="s">
        <v>2981</v>
      </c>
      <c r="C130" s="91" t="s">
        <v>2983</v>
      </c>
    </row>
    <row r="131" spans="1:3" x14ac:dyDescent="0.25">
      <c r="A131" s="93" t="s">
        <v>1788</v>
      </c>
      <c r="B131" s="91" t="s">
        <v>2965</v>
      </c>
      <c r="C131" s="91" t="s">
        <v>2987</v>
      </c>
    </row>
    <row r="132" spans="1:3" x14ac:dyDescent="0.25">
      <c r="A132" s="93" t="s">
        <v>2686</v>
      </c>
      <c r="B132" s="91" t="s">
        <v>2968</v>
      </c>
      <c r="C132" s="91" t="s">
        <v>2979</v>
      </c>
    </row>
  </sheetData>
  <conditionalFormatting sqref="A2:A66">
    <cfRule type="duplicateValues" dxfId="24" priority="12"/>
  </conditionalFormatting>
  <conditionalFormatting sqref="A67:A101">
    <cfRule type="duplicateValues" dxfId="23" priority="10"/>
  </conditionalFormatting>
  <conditionalFormatting sqref="A102:A127">
    <cfRule type="duplicateValues" dxfId="22" priority="8"/>
  </conditionalFormatting>
  <conditionalFormatting sqref="A128:A132">
    <cfRule type="duplicateValues" dxfId="21" priority="6"/>
  </conditionalFormatting>
  <conditionalFormatting sqref="L2:L10">
    <cfRule type="duplicateValues" dxfId="20" priority="3"/>
  </conditionalFormatting>
  <conditionalFormatting sqref="L79:L81 L56:L62 L64:L75">
    <cfRule type="duplicateValues" dxfId="19" priority="2"/>
  </conditionalFormatting>
  <conditionalFormatting sqref="L40 L27 L21:L24 L16:L19 L11:L13 L44:L45 L47:L48 L32:L34">
    <cfRule type="duplicateValues" dxfId="18" priority="4"/>
  </conditionalFormatting>
  <conditionalFormatting sqref="L76:L78 L63 L35:L39 L46 L41:L43 L14:L15 L20 L25:L26 L28:L31 L49:L55">
    <cfRule type="duplicateValues" dxfId="17" priority="5"/>
  </conditionalFormatting>
  <conditionalFormatting sqref="L82">
    <cfRule type="duplicateValues" dxfId="16" priority="1"/>
  </conditionalFormatting>
  <hyperlinks>
    <hyperlink ref="C72" display="balamurugan.subburaj@ujjivan.com" xr:uid="{00000000-0004-0000-0700-000000000000}"/>
    <hyperlink ref="C75" display="balamurugan.subburaj@ujjivan.com" xr:uid="{00000000-0004-0000-0700-000001000000}"/>
    <hyperlink ref="C79" display="balamurugan.subburaj@ujjivan.com" xr:uid="{00000000-0004-0000-0700-000002000000}"/>
    <hyperlink ref="C121" display="balamurugan.subburaj@ujjivan.com" xr:uid="{00000000-0004-0000-0700-000003000000}"/>
    <hyperlink ref="C124" display="balamurugan.subburaj@ujjivan.com" xr:uid="{00000000-0004-0000-0700-000004000000}"/>
    <hyperlink ref="C128" display="balamurugan.subburaj@ujjivan.com" xr:uid="{00000000-0004-0000-0700-000005000000}"/>
    <hyperlink ref="C25" display="basantakumar.pasupalak@ujjivan.com" xr:uid="{00000000-0004-0000-0700-000006000000}"/>
    <hyperlink ref="C51" display="basantakumar.pasupalak@ujjivan.com" xr:uid="{00000000-0004-0000-0700-000007000000}"/>
    <hyperlink ref="C59" display="basantakumar.pasupalak@ujjivan.com" xr:uid="{00000000-0004-0000-0700-000008000000}"/>
    <hyperlink ref="C89" display="basantakumar.pasupalak@ujjivan.com" xr:uid="{00000000-0004-0000-0700-000009000000}"/>
    <hyperlink ref="C105" display="basantakumar.pasupalak@ujjivan.com" xr:uid="{00000000-0004-0000-0700-00000A000000}"/>
    <hyperlink ref="C13" display="harshith.hn@ujjivan.com" xr:uid="{00000000-0004-0000-0700-00000B000000}"/>
    <hyperlink ref="C16" display="harshith.hn@ujjivan.com" xr:uid="{00000000-0004-0000-0700-00000C000000}"/>
    <hyperlink ref="C19" display="harshith.hn@ujjivan.com" xr:uid="{00000000-0004-0000-0700-00000D000000}"/>
    <hyperlink ref="C58" display="harshith.hn@ujjivan.com" xr:uid="{00000000-0004-0000-0700-00000E000000}"/>
    <hyperlink ref="C93" display="harshith.hn@ujjivan.com" xr:uid="{00000000-0004-0000-0700-00000F000000}"/>
    <hyperlink ref="C114" display="harshith.hn@ujjivan.com" xr:uid="{00000000-0004-0000-0700-000010000000}"/>
    <hyperlink ref="C127" display="harshith.hn@ujjivan.com" xr:uid="{00000000-0004-0000-0700-000011000000}"/>
    <hyperlink ref="C2" display="kirankumar.ks@ujjivan.com" xr:uid="{00000000-0004-0000-0700-000012000000}"/>
    <hyperlink ref="C6" display="kirankumar.ks@ujjivan.com" xr:uid="{00000000-0004-0000-0700-000013000000}"/>
    <hyperlink ref="C9:C10" display="kirankumar.ks@ujjivan.com" xr:uid="{00000000-0004-0000-0700-000014000000}"/>
    <hyperlink ref="C12" display="kirankumar.ks@ujjivan.com" xr:uid="{00000000-0004-0000-0700-000015000000}"/>
    <hyperlink ref="C47" display="kirankumar.ks@ujjivan.com" xr:uid="{00000000-0004-0000-0700-000016000000}"/>
    <hyperlink ref="C101" display="kirankumar.ks@ujjivan.com" xr:uid="{00000000-0004-0000-0700-000017000000}"/>
    <hyperlink ref="C7" display="ashwin.prakash@ujjivan.com" xr:uid="{00000000-0004-0000-0700-000018000000}"/>
    <hyperlink ref="C31" display="arasu.sokkalingam@ujjivan.com" xr:uid="{00000000-0004-0000-0700-000019000000}"/>
    <hyperlink ref="C43" display="arasu.sokkalingam@ujjivan.com" xr:uid="{00000000-0004-0000-0700-00001A000000}"/>
    <hyperlink ref="C50" display="arasu.sokkalingam@ujjivan.com" xr:uid="{00000000-0004-0000-0700-00001B000000}"/>
    <hyperlink ref="C52" display="arasu.sokkalingam@ujjivan.com" xr:uid="{00000000-0004-0000-0700-00001C000000}"/>
    <hyperlink ref="C55" display="arasu.sokkalingam@ujjivan.com" xr:uid="{00000000-0004-0000-0700-00001D000000}"/>
    <hyperlink ref="C60" display="arasu.sokkalingam@ujjivan.com" xr:uid="{00000000-0004-0000-0700-00001E000000}"/>
    <hyperlink ref="C54" display="kanakaraj.a@ujjivan.com" xr:uid="{00000000-0004-0000-0700-00001F000000}"/>
    <hyperlink ref="C61:C64" display="kanakaraj.a@ujjivan.com" xr:uid="{00000000-0004-0000-0700-000020000000}"/>
    <hyperlink ref="C35" display="padmaprabha.gm@ujjivan.com" xr:uid="{00000000-0004-0000-0700-000021000000}"/>
    <hyperlink ref="C94" display="padmaprabha.gm@ujjivan.com" xr:uid="{00000000-0004-0000-0700-000022000000}"/>
    <hyperlink ref="C98" display="padmaprabha.gm@ujjivan.com" xr:uid="{00000000-0004-0000-0700-000023000000}"/>
    <hyperlink ref="C100" display="padmaprabha.gm@ujjivan.com" xr:uid="{00000000-0004-0000-0700-000024000000}"/>
    <hyperlink ref="C108" display="padmaprabha.gm@ujjivan.com" xr:uid="{00000000-0004-0000-0700-000025000000}"/>
    <hyperlink ref="B56" display="boopathy.p@ujjivan.com" xr:uid="{00000000-0004-0000-0700-000026000000}"/>
    <hyperlink ref="B65:B71" display="boopathy.p@ujjivan.com" xr:uid="{00000000-0004-0000-0700-000027000000}"/>
    <hyperlink ref="B76:B78" display="boopathy.p@ujjivan.com" xr:uid="{00000000-0004-0000-0700-000028000000}"/>
    <hyperlink ref="B83:B88" display="boopathy.p@ujjivan.com" xr:uid="{00000000-0004-0000-0700-000029000000}"/>
    <hyperlink ref="B90:B92" display="boopathy.p@ujjivan.com" xr:uid="{00000000-0004-0000-0700-00002A000000}"/>
    <hyperlink ref="B104" display="boopathy.p@ujjivan.com" xr:uid="{00000000-0004-0000-0700-00002B000000}"/>
    <hyperlink ref="B109" display="boopathy.p@ujjivan.com" xr:uid="{00000000-0004-0000-0700-00002C000000}"/>
    <hyperlink ref="B130" display="boopathy.p@ujjivan.com" xr:uid="{00000000-0004-0000-0700-00002D000000}"/>
    <hyperlink ref="B72" display="jothy.vasagam@ujjivan.com" xr:uid="{00000000-0004-0000-0700-00002E000000}"/>
    <hyperlink ref="B75" display="jothy.vasagam@ujjivan.com" xr:uid="{00000000-0004-0000-0700-00002F000000}"/>
    <hyperlink ref="B79" display="jothy.vasagam@ujjivan.com" xr:uid="{00000000-0004-0000-0700-000030000000}"/>
    <hyperlink ref="B81" display="jothy.vasagam@ujjivan.com" xr:uid="{00000000-0004-0000-0700-000031000000}"/>
    <hyperlink ref="B95:B96" display="jothy.vasagam@ujjivan.com" xr:uid="{00000000-0004-0000-0700-000032000000}"/>
    <hyperlink ref="B99" display="jothy.vasagam@ujjivan.com" xr:uid="{00000000-0004-0000-0700-000033000000}"/>
    <hyperlink ref="B102" display="jothy.vasagam@ujjivan.com" xr:uid="{00000000-0004-0000-0700-000034000000}"/>
    <hyperlink ref="B106:B107" display="jothy.vasagam@ujjivan.com" xr:uid="{00000000-0004-0000-0700-000035000000}"/>
    <hyperlink ref="B110" display="jothy.vasagam@ujjivan.com" xr:uid="{00000000-0004-0000-0700-000036000000}"/>
    <hyperlink ref="B113" display="jothy.vasagam@ujjivan.com" xr:uid="{00000000-0004-0000-0700-000037000000}"/>
    <hyperlink ref="B116:B117" display="jothy.vasagam@ujjivan.com" xr:uid="{00000000-0004-0000-0700-000038000000}"/>
    <hyperlink ref="B120:B126" display="jothy.vasagam@ujjivan.com" xr:uid="{00000000-0004-0000-0700-000039000000}"/>
    <hyperlink ref="B128" display="jothy.vasagam@ujjivan.com" xr:uid="{00000000-0004-0000-0700-00003A000000}"/>
    <hyperlink ref="B23" display="rajaguru.i@ujjivan.com" xr:uid="{00000000-0004-0000-0700-00003B000000}"/>
    <hyperlink ref="B26" display="rajaguru.i@ujjivan.com" xr:uid="{00000000-0004-0000-0700-00003C000000}"/>
    <hyperlink ref="B31" display="rajaguru.i@ujjivan.com" xr:uid="{00000000-0004-0000-0700-00003D000000}"/>
    <hyperlink ref="B39" display="rajaguru.i@ujjivan.com" xr:uid="{00000000-0004-0000-0700-00003E000000}"/>
    <hyperlink ref="B43" display="rajaguru.i@ujjivan.com" xr:uid="{00000000-0004-0000-0700-00003F000000}"/>
    <hyperlink ref="B45" display="rajaguru.i@ujjivan.com" xr:uid="{00000000-0004-0000-0700-000040000000}"/>
    <hyperlink ref="B50" display="rajaguru.i@ujjivan.com" xr:uid="{00000000-0004-0000-0700-000041000000}"/>
    <hyperlink ref="B52" display="rajaguru.i@ujjivan.com" xr:uid="{00000000-0004-0000-0700-000042000000}"/>
    <hyperlink ref="B54:B55" display="rajaguru.i@ujjivan.com" xr:uid="{00000000-0004-0000-0700-000043000000}"/>
    <hyperlink ref="B57" display="rajaguru.i@ujjivan.com" xr:uid="{00000000-0004-0000-0700-000044000000}"/>
    <hyperlink ref="B60:B64" display="rajaguru.i@ujjivan.com" xr:uid="{00000000-0004-0000-0700-000045000000}"/>
    <hyperlink ref="B74" display="rajaguru.i@ujjivan.com" xr:uid="{00000000-0004-0000-0700-000046000000}"/>
    <hyperlink ref="B118" display="rajaguru.i@ujjivan.com" xr:uid="{00000000-0004-0000-0700-000047000000}"/>
    <hyperlink ref="B22" display="shrungeshwara.cn@ujjivan.com" xr:uid="{00000000-0004-0000-0700-000048000000}"/>
    <hyperlink ref="B24" display="shrungeshwara.cn@ujjivan.com" xr:uid="{00000000-0004-0000-0700-000049000000}"/>
    <hyperlink ref="B27:B30" display="shrungeshwara.cn@ujjivan.com" xr:uid="{00000000-0004-0000-0700-00004A000000}"/>
    <hyperlink ref="B33:B34" display="shrungeshwara.cn@ujjivan.com" xr:uid="{00000000-0004-0000-0700-00004B000000}"/>
    <hyperlink ref="B36:B38" display="shrungeshwara.cn@ujjivan.com" xr:uid="{00000000-0004-0000-0700-00004C000000}"/>
    <hyperlink ref="B42" display="shrungeshwara.cn@ujjivan.com" xr:uid="{00000000-0004-0000-0700-00004D000000}"/>
    <hyperlink ref="B46" display="shrungeshwara.cn@ujjivan.com" xr:uid="{00000000-0004-0000-0700-00004E000000}"/>
    <hyperlink ref="B48:B49" display="shrungeshwara.cn@ujjivan.com" xr:uid="{00000000-0004-0000-0700-00004F000000}"/>
    <hyperlink ref="B13" display="suresh.poojary@ujjivan.com" xr:uid="{00000000-0004-0000-0700-000050000000}"/>
    <hyperlink ref="B16" display="suresh.poojary@ujjivan.com" xr:uid="{00000000-0004-0000-0700-000051000000}"/>
    <hyperlink ref="B19" display="suresh.poojary@ujjivan.com" xr:uid="{00000000-0004-0000-0700-000052000000}"/>
    <hyperlink ref="B35" display="suresh.poojary@ujjivan.com" xr:uid="{00000000-0004-0000-0700-000053000000}"/>
    <hyperlink ref="B44" display="suresh.poojary@ujjivan.com" xr:uid="{00000000-0004-0000-0700-000054000000}"/>
    <hyperlink ref="B58" display="suresh.poojary@ujjivan.com" xr:uid="{00000000-0004-0000-0700-000055000000}"/>
    <hyperlink ref="B93:B94" display="suresh.poojary@ujjivan.com" xr:uid="{00000000-0004-0000-0700-000056000000}"/>
    <hyperlink ref="B97:B98" display="suresh.poojary@ujjivan.com" xr:uid="{00000000-0004-0000-0700-000057000000}"/>
    <hyperlink ref="B100" display="suresh.poojary@ujjivan.com" xr:uid="{00000000-0004-0000-0700-000058000000}"/>
    <hyperlink ref="B108" display="suresh.poojary@ujjivan.com" xr:uid="{00000000-0004-0000-0700-000059000000}"/>
    <hyperlink ref="B111:B112" display="suresh.poojary@ujjivan.com" xr:uid="{00000000-0004-0000-0700-00005A000000}"/>
    <hyperlink ref="B114" display="suresh.poojary@ujjivan.com" xr:uid="{00000000-0004-0000-0700-00005B000000}"/>
    <hyperlink ref="B127" display="suresh.poojary@ujjivan.com" xr:uid="{00000000-0004-0000-0700-00005C000000}"/>
    <hyperlink ref="B132" display="suresh.poojary@ujjivan.com" xr:uid="{00000000-0004-0000-0700-00005D000000}"/>
    <hyperlink ref="C44" display="naveen.upadhye@ujjvan.com" xr:uid="{00000000-0004-0000-0700-00005E000000}"/>
    <hyperlink ref="C97" display="naveen.upadhye@ujjvan.com" xr:uid="{00000000-0004-0000-0700-00005F000000}"/>
    <hyperlink ref="C111" display="naveen.upadhye@ujjvan.com" xr:uid="{00000000-0004-0000-0700-000060000000}"/>
    <hyperlink ref="C112" display="naveen.upadhye@ujjvan.com" xr:uid="{00000000-0004-0000-0700-000061000000}"/>
    <hyperlink ref="C132" display="naveen.upadhye@ujjvan.com" xr:uid="{00000000-0004-0000-0700-000062000000}"/>
    <hyperlink ref="C22" display="sureshkumar.komali@ujjivan.com" xr:uid="{00000000-0004-0000-0700-000063000000}"/>
    <hyperlink ref="C24" display="sureshkumar.komali@ujjivan.com" xr:uid="{00000000-0004-0000-0700-000064000000}"/>
    <hyperlink ref="C27:C28" display="sureshkumar.komali@ujjivan.com" xr:uid="{00000000-0004-0000-0700-000065000000}"/>
    <hyperlink ref="C34" display="sureshkumar.komali@ujjivan.com" xr:uid="{00000000-0004-0000-0700-000066000000}"/>
    <hyperlink ref="C38" display="sureshkumar.komali@ujjivan.com" xr:uid="{00000000-0004-0000-0700-000067000000}"/>
    <hyperlink ref="C48:C49" display="sureshkumar.komali@ujjivan.com" xr:uid="{00000000-0004-0000-0700-000068000000}"/>
    <hyperlink ref="C73" display="srinath.r@ujjivan.com" xr:uid="{00000000-0004-0000-0700-000069000000}"/>
    <hyperlink ref="C80" display="srinath.r@ujjivan.com" xr:uid="{00000000-0004-0000-0700-00006A000000}"/>
    <hyperlink ref="C82" display="srinath.r@ujjivan.com" xr:uid="{00000000-0004-0000-0700-00006B000000}"/>
    <hyperlink ref="C115" display="srinath.r@ujjivan.com" xr:uid="{00000000-0004-0000-0700-00006C000000}"/>
    <hyperlink ref="C129" display="srinath.r@ujjivan.com" xr:uid="{00000000-0004-0000-0700-00006D000000}"/>
    <hyperlink ref="C131" display="srinath.r@ujjivan.com" xr:uid="{00000000-0004-0000-0700-00006E000000}"/>
    <hyperlink ref="C18" display="allisab.j@ujjivan.com" xr:uid="{00000000-0004-0000-0700-00006F000000}"/>
    <hyperlink ref="C20" display="allisab.j@ujjivan.com" xr:uid="{00000000-0004-0000-0700-000070000000}"/>
    <hyperlink ref="C32" display="allisab.j@ujjivan.com" xr:uid="{00000000-0004-0000-0700-000071000000}"/>
    <hyperlink ref="C40" display="allisab.j@ujjivan.com" xr:uid="{00000000-0004-0000-0700-000072000000}"/>
    <hyperlink ref="C70" display="vijayakumar.kp@ujjivan.com" xr:uid="{00000000-0004-0000-0700-000073000000}"/>
    <hyperlink ref="C3" display="vineethkumar.v@ujjivan.com" xr:uid="{00000000-0004-0000-0700-000074000000}"/>
    <hyperlink ref="C14" display="vineethkumar.v@ujjivan.com" xr:uid="{00000000-0004-0000-0700-000075000000}"/>
    <hyperlink ref="C17" display="vineethkumar.v@ujjivan.com" xr:uid="{00000000-0004-0000-0700-000076000000}"/>
    <hyperlink ref="C53" display="vineethkumar.v@ujjivan.com" xr:uid="{00000000-0004-0000-0700-000077000000}"/>
    <hyperlink ref="C119" display="vineethkumar.v@ujjivan.com" xr:uid="{00000000-0004-0000-0700-000078000000}"/>
    <hyperlink ref="C76" display="vijayakumar.kp@ujjivan.com" xr:uid="{00000000-0004-0000-0700-000079000000}"/>
    <hyperlink ref="C87" display="vijayakumar.kp@ujjivan.com" xr:uid="{00000000-0004-0000-0700-00007A000000}"/>
    <hyperlink ref="C90" display="vijayakumar.kp@ujjivan.com" xr:uid="{00000000-0004-0000-0700-00007B000000}"/>
    <hyperlink ref="C92" display="vijayakumar.kp@ujjivan.com" xr:uid="{00000000-0004-0000-0700-00007C000000}"/>
    <hyperlink ref="C71" display="vijayakumar.kp@ujjivan.com" xr:uid="{00000000-0004-0000-0700-00007D000000}"/>
    <hyperlink ref="C81" display="amudha.s@ujjivan.com" xr:uid="{00000000-0004-0000-0700-00007E000000}"/>
    <hyperlink ref="C95" display="amudha.s@ujjivan.com" xr:uid="{00000000-0004-0000-0700-00007F000000}"/>
    <hyperlink ref="C96" display="amudha.s@ujjivan.com" xr:uid="{00000000-0004-0000-0700-000080000000}"/>
    <hyperlink ref="C99" display="amudha.s@ujjivan.com" xr:uid="{00000000-0004-0000-0700-000081000000}"/>
    <hyperlink ref="C102" display="amudha.s@ujjivan.com" xr:uid="{00000000-0004-0000-0700-000082000000}"/>
    <hyperlink ref="C106" display="amudha.s@ujjivan.com" xr:uid="{00000000-0004-0000-0700-000083000000}"/>
    <hyperlink ref="C107" display="amudha.s@ujjivan.com" xr:uid="{00000000-0004-0000-0700-000084000000}"/>
    <hyperlink ref="C110" display="amudha.s@ujjivan.com" xr:uid="{00000000-0004-0000-0700-000085000000}"/>
    <hyperlink ref="C15" display="ashwin.prakash@ujjivan.com" xr:uid="{00000000-0004-0000-0700-000086000000}"/>
    <hyperlink ref="C21" display="ashwin.prakash@ujjivan.com" xr:uid="{00000000-0004-0000-0700-000087000000}"/>
    <hyperlink ref="C103" display="ashwin.prakash@ujjivan.com" xr:uid="{00000000-0004-0000-0700-000088000000}"/>
    <hyperlink ref="C56" display="anand.ravindran@ujjivan.com" xr:uid="{00000000-0004-0000-0700-000089000000}"/>
    <hyperlink ref="C65" display="anand.ravindran@ujjivan.com" xr:uid="{00000000-0004-0000-0700-00008A000000}"/>
    <hyperlink ref="C66" display="anand.ravindran@ujjivan.com" xr:uid="{00000000-0004-0000-0700-00008B000000}"/>
    <hyperlink ref="C68" display="anand.ravindran@ujjivan.com" xr:uid="{00000000-0004-0000-0700-00008C000000}"/>
    <hyperlink ref="C69" display="anand.ravindran@ujjivan.com" xr:uid="{00000000-0004-0000-0700-00008D000000}"/>
    <hyperlink ref="C88" display="anand.ravindran@ujjivan.com" xr:uid="{00000000-0004-0000-0700-00008E000000}"/>
    <hyperlink ref="C113" display="p.rajasekar@ujjivan.com" xr:uid="{00000000-0004-0000-0700-00008F000000}"/>
    <hyperlink ref="C116:C117" display="p.rajasekar@ujjivan.com" xr:uid="{00000000-0004-0000-0700-000090000000}"/>
    <hyperlink ref="C120" display="p.rajasekar@ujjivan.com" xr:uid="{00000000-0004-0000-0700-000091000000}"/>
    <hyperlink ref="C122:C123" display="p.rajasekar@ujjivan.com" xr:uid="{00000000-0004-0000-0700-000092000000}"/>
    <hyperlink ref="C125:C126" display="p.rajasekar@ujjivan.com" xr:uid="{00000000-0004-0000-0700-000093000000}"/>
    <hyperlink ref="C23" display="muralidharan.n@ujjivan.com" xr:uid="{00000000-0004-0000-0700-000094000000}"/>
    <hyperlink ref="C26" display="muralidharan.n@ujjivan.com" xr:uid="{00000000-0004-0000-0700-000095000000}"/>
    <hyperlink ref="C39" display="muralidharan.n@ujjivan.com" xr:uid="{00000000-0004-0000-0700-000096000000}"/>
    <hyperlink ref="C45" display="muralidharan.n@ujjivan.com" xr:uid="{00000000-0004-0000-0700-000097000000}"/>
    <hyperlink ref="C57" display="muralidharan.n@ujjivan.com" xr:uid="{00000000-0004-0000-0700-000098000000}"/>
    <hyperlink ref="C118" display="muralidharan.n@ujjivan.com" xr:uid="{00000000-0004-0000-0700-000099000000}"/>
    <hyperlink ref="C61" display="kanakaraj.a@ujjivan.com" xr:uid="{00000000-0004-0000-0700-00009A000000}"/>
    <hyperlink ref="C62" display="kanakaraj.a@ujjivan.com" xr:uid="{00000000-0004-0000-0700-00009B000000}"/>
    <hyperlink ref="C63" display="kanakaraj.a@ujjivan.com" xr:uid="{00000000-0004-0000-0700-00009C000000}"/>
    <hyperlink ref="C64" display="kanakaraj.a@ujjivan.com" xr:uid="{00000000-0004-0000-0700-00009D000000}"/>
    <hyperlink ref="C74" display="kanakaraj.a@ujjivan.com" xr:uid="{00000000-0004-0000-0700-00009E000000}"/>
    <hyperlink ref="C29" display="yathisha.hb@ujjivan.com" xr:uid="{00000000-0004-0000-0700-00009F000000}"/>
    <hyperlink ref="C30" display="yathisha.hb@ujjivan.com" xr:uid="{00000000-0004-0000-0700-0000A0000000}"/>
    <hyperlink ref="C33" display="yathisha.hb@ujjivan.com" xr:uid="{00000000-0004-0000-0700-0000A1000000}"/>
    <hyperlink ref="C36" display="yathisha.hb@ujjivan.com" xr:uid="{00000000-0004-0000-0700-0000A2000000}"/>
    <hyperlink ref="C37" display="yathisha.hb@ujjivan.com" xr:uid="{00000000-0004-0000-0700-0000A3000000}"/>
    <hyperlink ref="C42" display="yathisha.hb@ujjivan.com" xr:uid="{00000000-0004-0000-0700-0000A4000000}"/>
    <hyperlink ref="C46" display="yathisha.hb@ujjivan.com" xr:uid="{00000000-0004-0000-0700-0000A5000000}"/>
    <hyperlink ref="M4" display="amol.bhamre@ujjivan.com" xr:uid="{00000000-0004-0000-0700-0000A6000000}"/>
    <hyperlink ref="M5" display="amol.bhamre@ujjivan.com" xr:uid="{00000000-0004-0000-0700-0000A7000000}"/>
    <hyperlink ref="M2" display="amol.bhamre@ujjivan.com" xr:uid="{00000000-0004-0000-0700-0000A8000000}"/>
    <hyperlink ref="M3" display="amol.bhamre@ujjivan.com" xr:uid="{00000000-0004-0000-0700-0000A9000000}"/>
    <hyperlink ref="M11" display="amol.bhamre@ujjivan.com" xr:uid="{00000000-0004-0000-0700-0000AA000000}"/>
    <hyperlink ref="M20" display="rahul.waghmare@ujjivan.com" xr:uid="{00000000-0004-0000-0700-0000AB000000}"/>
    <hyperlink ref="M21" display="rahul.waghmare@ujjivan.com" xr:uid="{00000000-0004-0000-0700-0000AC000000}"/>
    <hyperlink ref="M22" display="rahul.waghmare@ujjivan.com" xr:uid="{00000000-0004-0000-0700-0000AD000000}"/>
    <hyperlink ref="M27" display="rahul.waghmare@ujjivan.com" xr:uid="{00000000-0004-0000-0700-0000AE000000}"/>
    <hyperlink ref="M36" display="rahul.waghmare@ujjivan.com" xr:uid="{00000000-0004-0000-0700-0000AF000000}"/>
    <hyperlink ref="M44" display="bhavik.pandya@ujjivan.com" xr:uid="{00000000-0004-0000-0700-0000B0000000}"/>
    <hyperlink ref="M45" display="bhavik.pandya@ujjivan.com" xr:uid="{00000000-0004-0000-0700-0000B1000000}"/>
    <hyperlink ref="M46" display="bhavik.pandya@ujjivan.com" xr:uid="{00000000-0004-0000-0700-0000B2000000}"/>
    <hyperlink ref="M47" display="bhavik.pandya@ujjivan.com" xr:uid="{00000000-0004-0000-0700-0000B3000000}"/>
    <hyperlink ref="M57" display="bhavik.pandya@ujjivan.com" xr:uid="{00000000-0004-0000-0700-0000B4000000}"/>
    <hyperlink ref="M37" display="arun.parmar@ujjivan.com" xr:uid="{00000000-0004-0000-0700-0000B5000000}"/>
    <hyperlink ref="M38" display="arun.parmar@ujjivan.com" xr:uid="{00000000-0004-0000-0700-0000B6000000}"/>
    <hyperlink ref="M39" display="arun.parmar@ujjivan.com" xr:uid="{00000000-0004-0000-0700-0000B7000000}"/>
    <hyperlink ref="M40" display="arun.parmar@ujjivan.com" xr:uid="{00000000-0004-0000-0700-0000B8000000}"/>
    <hyperlink ref="M41" display="arun.parmar@ujjivan.com" xr:uid="{00000000-0004-0000-0700-0000B9000000}"/>
    <hyperlink ref="M54" display="abhijit.jadhav@ujjivan.com" xr:uid="{00000000-0004-0000-0700-0000BA000000}"/>
    <hyperlink ref="M55" display="abhijit.jadhav@ujjivan.com" xr:uid="{00000000-0004-0000-0700-0000BB000000}"/>
    <hyperlink ref="M58" display="abhijit.jadhav@ujjivan.com" xr:uid="{00000000-0004-0000-0700-0000BC000000}"/>
    <hyperlink ref="M63" display="abhijit.jadhav@ujjivan.com" xr:uid="{00000000-0004-0000-0700-0000BD000000}"/>
    <hyperlink ref="M76" display="abhijit.jadhav@ujjivan.com" xr:uid="{00000000-0004-0000-0700-0000BE000000}"/>
    <hyperlink ref="M31" display="arun.parmar@ujjivan.com" xr:uid="{00000000-0004-0000-0700-0000BF000000}"/>
    <hyperlink ref="R2" display="west-navimumbai-branch@ujjivan.com;ccr-navimumbai@ujjivan.com;utkarsh.tawade@ujjivan.com;sumaiya.qureshi@ujjivan.com;manoj.bamne@ujjivan.com;gupta.mahesh@ujjivan.com;prashant.jadhav@ujjivan.com;jitendra.sodhi@ujjivan.com;sagar.chavan@ujjivan.com;tanveer.k" xr:uid="{00000000-0004-0000-0700-0000C0000000}"/>
    <hyperlink ref="R4" display="west-chembur-branch@ujjivan.com;ccr-chembur@ujjivan.com;amar.lagad@ujjivan.com;prashant.jadhav@ujjivan.com;jitendra.sodhi@ujjivan.com;mahesh.rane@ujjivan.com;mahesh.gupta@ujjivan.com;Sanjay.kalwar@ujjivan.com;amol.pawar@ujjivan.com;kailash.chaudhari@ujjiv" xr:uid="{00000000-0004-0000-0700-0000C1000000}"/>
    <hyperlink ref="R5" display="west-govandi-branch@ujjivan.com;ccr-mankhurd@ujjivan.com;pappu.saroj@ujjivan.com;hitesh.rohra@ujjivan.com;gupta.mahesh@ujjivan.com;rajesh.gurav@ujjivan.com;prashant.jadhav@ujjivan.com;jitendra.sodhi@ujjivan.com;mahesh.rane@ujjivan.com;Sanjay.kalwar@ujjiva" xr:uid="{00000000-0004-0000-0700-0000C2000000}"/>
    <hyperlink ref="R3" display="west-thane-branch@ujjivan.com;ccr-thane@ujjivan.com;bhushan.belwale@ujjivan.com;gupta.mahesh@ujjivan.com;prashant.jadhav@ujjivan.com;gaurav.pawar@ujjivan.com;gaurav.oberoi@ujjivan.com;jitendra.sodhi@ujjivan.com;sagar.chavan@ujjivan.com;shekhar.jagtap@ujji" xr:uid="{00000000-0004-0000-0700-0000C3000000}"/>
    <hyperlink ref="R7" display="west-ambernath-branch@ujjivan.com;ccr-ambernath@ujjivan.com;soniya.bhagat@ujjivan.com;dhammapal.magare@ujjivan.com;yogesh.pawar@ujjivan.com;gupta.mahesh@ujjivan.com;rakesh.athavale@ujjivan.com;jitendra.sodhi@ujjivan.com;gupta.mahesh@ujjivan.com;Sanjay.kal" xr:uid="{00000000-0004-0000-0700-0000C4000000}"/>
    <hyperlink ref="R8" display="west-kalwa-branch@ujjivan.com;ccr-kalwa@ujjivan.com;singh.vijay@ujjivan.com;kalpana.chavan@ujjivan.com;gupta.mahesh@ujjivan.com;yogesh.shinde@ujjivan.com;prashant.jadhav@ujjivan.com;vijay.bhalerao@ujjivan.com;gaurav.oberoi@ujjivan.com;jitendra.sodhi@ujjiv" xr:uid="{00000000-0004-0000-0700-0000C5000000}"/>
    <hyperlink ref="R6" display="kalyan@ujjivan.com;ccr-kalyan@ujjivan.com;dipmala.jadhav@ujjivan.com;tanaji.bansode@ujjivan.com;rupesh.salunkh@ujjivan.com;gupta.mahesh@ujjivan.com;prashant.jadhav@ujjivan.com;gaurav.oberoi@ujjivan.com;jitendra.sodhi@ujjivan.com;Sanjay.kalwar@ujjivan.com;" xr:uid="{00000000-0004-0000-0700-0000C6000000}"/>
    <hyperlink ref="R9" display="west-mulund-branch@ujjivan.com;ccr.mulund@ujjivan.com;darshana.kumbhar@ujjivan.com;jayesh.vesvikar@ujjivan.com;sachin.mandavkar@ujjivan.com;hiren.karolia@ujjivan.com;yogesh.shinde@ujjivan.com;prashant.jadhav@ujjivan.com;tanveer.khan@ujjivan.com;jitendra.s" xr:uid="{00000000-0004-0000-0700-0000C7000000}"/>
    <hyperlink ref="R10" display="west-chakala-branch@ujjivan.com;west-chandivali-branch@ujjivan.com;ccr-chandivali@ujjivan.com;arun.jagtap@ujjivan.com;pandurang.shinde@ujjivan.com;vaishali.kamble@ujjivan.com;aniket.tamuche@ujjivan.com;hiren.karolia@ujjivan.com;umakant.yadav@ujjivan.com;p" xr:uid="{00000000-0004-0000-0700-0000C8000000}"/>
    <hyperlink ref="R12" display="west-borivali-branch@ujjivan.com;ccr.borivali@ujjivan.com;anil.bhosle@ujjivan.com;kailas.gaikwad@ujjivan.com;amol.pawar@ujjivan.com;prashant.jadhav@ujjivan.com;jitendra.sodhi@ujjivan.com;gupta.mahesh@ujjivan.com;Sanjay.kalwar@ujjivan.com;mahesh.rane@ujjiv" xr:uid="{00000000-0004-0000-0700-0000C9000000}"/>
    <hyperlink ref="R13" display="west-wadala-branch@ujjivan.com;ccr-wadala@ujjivan.com;mahendra.kamble@ujjivan.com;meena. Jangate;narayan.thorat@ujjivan.com;hiren.karolia@ujjivan.com;mahesh.rane@ujjivan.com;prashant.jadhav@ujjivan.com;ameet.usakoyall@ujjivan.com;jitendra.sodhi@ujjivan.co" xr:uid="{00000000-0004-0000-0700-0000CA000000}"/>
    <hyperlink ref="R11" display="west-goregaon-branch@ujjivan.com;ccr.goregaon@ujjivan.com;dadasaheb.ghode@ujjivan.com;dhanraj.more@ujjivan.com;amol.pawar@ujjivan.com;prashant.jadhav@ujjivan.com;santhosh.acharya@ujjivan.com;tanveer.khan@ujjivan.com;jitendra.sodhi@ujjivan.com;gupta.mahesh" xr:uid="{00000000-0004-0000-0700-0000CB000000}"/>
    <hyperlink ref="R14" display="west-santacruz-branch@ujjivan.com;ccr.santacruz@ujjivan.com;daulat.jeliya@ujjivan.com;bhagyashri.garade@ujjivan.com;digambar.sharma@ujjivan.com;karishma.desai@ujjivan.com;hiren.karolia@ujjivan.com;umakant.yadav@ujjivan.com;tanveer.khan@ujjivan.com;jitendr" xr:uid="{00000000-0004-0000-0700-0000CC000000}"/>
    <hyperlink ref="R15" display="west-bhiwandi-branch@ujjivan.com;ccr-bhiwandi@ujjivan.com;prashant.wadkar@ujjivan.com ;rahul.lohar@ujjivan.com;shoeb.shaikh@ujjivan.com;yogesh.shinde@ujjivan.com;prashant.jadhav@ujjivan.com;vijay.bhalerao@ujjivan.com;gaurav.oberoi@ujjivan.com;jitendra.sod" xr:uid="{00000000-0004-0000-0700-0000CD000000}"/>
    <hyperlink ref="R16" display="west-panvel-branch@ujjivan.com;ccr-panvel@ujjivan.com;mukesh.k@ujjivan.com;ravindra.sonvalkar@ujjivan.com;hiren.karolia@ujjivan.com;amarnath.kumhar@ujjivan.com;prashant.jadhav@ujjivan.com;kanchan.dalvi@ujjivan.com;gaurav.oberoi@ujjivan.com;jitendra.sodhi@" xr:uid="{00000000-0004-0000-0700-0000CE000000}"/>
    <hyperlink ref="W69" display="west-east.nagpur@ujjivan.com;hitesh.bhoyar@ujjivan.com;rajendra.chunarkar@ujjivan.com;ashish.kale@ujjivan.com;vaibhav.dudhekar@ujjivan.com;abhijeet.bhadange@ujjivan.com" xr:uid="{00000000-0004-0000-0700-0000CF000000}"/>
    <hyperlink ref="W68" display="west-north.nagpur@ujjivan.com;harshal.takwale@ujjivan.com;rajendra.chunarkar@ujjivan.com;ashish.kale@ujjivan.com;vaibhav.dudhekar@ujjivan.com;abhijeet.bhadange@ujjivan.com;shama.siddique@ujjivan.com;" xr:uid="{00000000-0004-0000-0700-0000D0000000}"/>
    <hyperlink ref="W4" display="west-hadapsar-branch@ujjivan.com;ccr-hadpsar@ujjivan.com;vishal.ingale@ujjivan.com;mangesh.waikar@ujjivan.com;hemant.awade@ujjivan.com;santosh.khaire@ujjivan.com;parameshwari.suryavanshi@ujjivan.com;anita.musudage@ujjivan.com;himanshu.mittal@ujjivan.com;a" xr:uid="{00000000-0004-0000-0700-0000D1000000}"/>
    <hyperlink ref="W9" display="west-cidco-branch@ujjivan.com;ccr-cidco@ujjivan.com;vaishali.charbhe@ujjivan.com;balu.andhale@ujjivan.com;santosh.mundhe@ujjivan.com;sameer.gadigaonkar@ujjivan.com;induben.jadav@ujjivan.com;kausalya.sirgire@ujjivan.com;nitin.hemade@ujjivan.com;Chandrakant" xr:uid="{00000000-0004-0000-0700-0000D2000000}"/>
    <hyperlink ref="W20" display="west-panchavati-branch@ujjivan.com;ccr-panchavati@ujjivan.com;harshada.patil@ujjivan.com;somnath.chaudhari@ujjivan.com;rekha.sanap@ujjivan.com;shekhar.pardeshi@ujjivan.com;kausalya.sirgire@ujjivan.com;nitin.hemade@ujjivan.com;Chandrakant.suryawanshi@ujjiv" xr:uid="{00000000-0004-0000-0700-0000D3000000}"/>
    <hyperlink ref="W33" display="west-west.vadodara-branch@ujjivan.com;ccr-baroda-west@ujjivan.com;manish.helaiya@ujjivan.com;kushal.parmar@ujjivan.com;hitesh.gangwani@ujjivan.com;hiten.patel@ujjivan.com;nirav.vahalia@ujjivan.com;vijay.rohit@ujjivan.com;amit.thakur@ujjivan.com;hitarth.tr" xr:uid="{00000000-0004-0000-0700-0000D4000000}"/>
    <hyperlink ref="W67" display="shahuchowk-latur@ujjivan.com;swarup.dhakne@ujjivan.com;sachin.suryawanshi@ujjivan.com;abhijeet.bhadange@ujjivan.com;Sandeep.deshmukh@ujjivan.com;shreeram.walawe@ujjivan.com;" xr:uid="{00000000-0004-0000-0700-0000D5000000}"/>
    <hyperlink ref="W7" display="west-punewest-branch@ujjivan.com;ccr.punewest@ujjivan.com;parshuram.kamble@ujjivan.com;prasad.bhavsar@ujjivan.com;mangesh.waikar@ujjivan.com;prasad.chavan@ujjivan.com;hemant.awade@ujjivan.com;rahul.devne@ujjivan.com;ravi.arkal@ujjivan.com;tushar.upase@ujj" xr:uid="{00000000-0004-0000-0700-0000D6000000}"/>
    <hyperlink ref="W71" display="west-botad-branch@ujjivan.com;gopal.muliya@ujjivan.com;dinesh.sonawane@ujjivan.com;rushabh.mehta@ujjivan.com;hitarth.trivedi@ujjivan.com;parth.rajyaguru@ujjivan.com" xr:uid="{00000000-0004-0000-0700-0000D7000000}"/>
    <hyperlink ref="W64" display="west-chikalthana-branch@ujjivan.com;ccr-chikalthana@ujjivan.com;yogesh.bomble@ujjivan.com;sandeep.ugale@ujjivan.com;paras.chaudhari@ujjivan.com;vaibhav.dudhekar@ujjivan.com;dilip.kharde@ujjivan.com;vishal.jagdale@ujjivan.com;krushna.pawar@ujjivan.com;vino" xr:uid="{00000000-0004-0000-0700-0000D8000000}"/>
    <hyperlink ref="W40" display="west-aurangabadcity-branch@ujjivan.com;ccr-aurangabadcity-branch@ujjivan.com;akash.kolshetwar@ujjivan.com;santosh.bahire@ujjivan.com;ranjeet.mali@ujjivan.com;paras.chaudhari@ujjivan.com;vaibhav.dudhekar@ujjivan.com;santosh.bhalerao@ujjivan.com;vinod.deshm" xr:uid="{00000000-0004-0000-0700-0000D9000000}"/>
    <hyperlink ref="W2" display="west-punenorth-branch@ujjivan.com;ccr-punenorth@ujjivan.com; arun.pawar@ujjivan.com;kailas.isale@ujjivan.com;shrikant.walunj@ujjivan.com;himanshu.mittal@ujjivan.com;hemant.awade@ujjivan.com;sameer.shaikh@ujjivan.com;sunil.khanekar@ujjivan.com;yogesh.vanka" xr:uid="{00000000-0004-0000-0700-0000DA000000}"/>
    <hyperlink ref="W10" display="west-navimumbai-branch@ujjivan.com;ccr-navimumbai@ujjivan.com;utkarsh.tawade@ujjivan.com;sumaiya.qureshi@ujjivan.com;manoj.bamne@ujjivan.com;gupta.mahesh@ujjivan.com;prashant.jadhav@ujjivan.com;jitendra.sodhi@ujjivan.com;sagar.chavan@ujjivan.com;tanveer.k" xr:uid="{00000000-0004-0000-0700-0000DB000000}"/>
    <hyperlink ref="W24" display="west-varachha-branch@ujjivan.com;ccr.varachha@ujjivan.com;prakash.patel@ujjivan.com;vimal.bhalani@ujjivan.com;yogesh.chaudhari@ujjivan.com;prakash.bhitora@ujjivan.com;rajesh.khedkar@ujjivan.com;punit.patel@ujjivan.com;hitarth.trivedi@ujjivan.com;dnyaneshw" xr:uid="{00000000-0004-0000-0700-0000DC000000}"/>
    <hyperlink ref="W3" display="west-swargate-branch@ujjivan.com;ccr-swargate@ujjivan.com;dinesh.fulambarkar@ujjivan.com;atul.mule@ujjivan.com;tushar.upase@ujjivan.com;ramesh.kamble@ujjivan.com;hemant.awade@ujjivan.com;santosh.khaire@ujjivan.com;pravin.singh@ujjivan.com;sudhakar.ighare@" xr:uid="{00000000-0004-0000-0700-0000DD000000}"/>
    <hyperlink ref="W27" display="west-borivali-branch@ujjivan.com;ccr.borivali@ujjivan.com;anil.bhosle@ujjivan.com;kailas.gaikwad@ujjivan.com;amol.pawar@ujjivan.com;prashant.jadhav@ujjivan.com;jitendra.sodhi@ujjivan.com;gupta.mahesh@ujjivan.com;Sanjay.kalwar@ujjivan.com;mahesh.rane@ujjiv" xr:uid="{00000000-0004-0000-0700-0000DE000000}"/>
    <hyperlink ref="W28" display="west-wadala-branch@ujjivan.com;ccr-wadala@ujjivan.com;mahendra.kamble@ujjivan.com;meena. Jangate;narayan.thorat@ujjivan.com;hiren.karolia@ujjivan.com;mahesh.rane@ujjivan.com;prashant.jadhav@ujjivan.com;ameet.usakoyall@ujjivan.com;jitendra.sodhi@ujjivan.co" xr:uid="{00000000-0004-0000-0700-0000DF000000}"/>
    <hyperlink ref="W31" display="west-north.vadodara-branch@ujjivan.com;ccr-baroda-north@ujjivan.com; bhautik.vekariya@ujjivan.com;anish.malik@ujjivan.com;samir.shah@ujjivan.com;rajay.nikam@ujjivan.com;nirav.vahalia@ujjivan.com;vijay.rohit@ujjivan.com;nikhil.kulshretsha@ujjivan.com;rajni" xr:uid="{00000000-0004-0000-0700-0000E0000000}"/>
    <hyperlink ref="W32" display="west-south.vadodara-branch@ujjivan;ccr-baroda-south@ujjivan.com;sunita.rohit@ujjivan.com;snehal.shah@ujjivan.com;jitendra.sharma@ujjivan.com;nirav.vahalia@ujjivan.com;vijay.rohit@ujjivan.com;amit.thakur@ujjivan.com;mayur.dindorkar@ujjivan.com;hitarth.triv" xr:uid="{00000000-0004-0000-0700-0000E1000000}"/>
    <hyperlink ref="W44" display="west-solapursouth-branch@ujjivan.com;ccr-solapursouth@ujjivan.com;pramod.pandit@ujjivan.com;sarika.patil@ujjivan.com;sachin.suryawanshi@ujjivan.com;abhijeet.bhadange@ujjivan.com;Sandeep.deshmukh@ujjivan.com;sameer.shaikh@ujjivan.com;benjamin.gaikwad@ujjiv" xr:uid="{00000000-0004-0000-0700-0000E2000000}"/>
    <hyperlink ref="W49" display="west-shahupuri-branch@ujjivan.com;ccr-shahupuri@ujjivan.com;bajirao.patil@ujjivan.com;javed.bijapure@ujjivan.com;shreeram.walawe@ujjivan.com;prakash.karade@ujjivan.com;santosh.khot@ujjivan.com;hemant.awade@ujjivan.com;rajesh.patil@ujjivan.com;patil.abhije" xr:uid="{00000000-0004-0000-0700-0000E3000000}"/>
    <hyperlink ref="W53" display="west-rankala-branch@ujjivan.com;ccr-rankala@ujjivan.com;pandurang.giri@ujjivan.com;digvijay.bhandari@ujjivan.com;abhijeet.patil@ujjivan.com;shreeram.walawe@ujjivan.com;prakash.karade@ujjivan.com;hemant.awade@ujjivan.com;hemant.phadatre@ujjivan.com;" xr:uid="{00000000-0004-0000-0700-0000E4000000}"/>
    <hyperlink ref="W56" display="west-valsad@ujjivan.com;ccr-valsad@ujjivan.com;pragnesh.saidane@ujjivan.com;nilesh.girase@ujjivan.com;bhagwan.patil@ujjivan.com;sarfaraz.hussain@ujjivan.com;rajesh.khedkar@ujjivan.com;himanshu.chauhan@ujjivan.com;suraj.shah@ujjivan.com;hitarth.trivedi@ujj" xr:uid="{00000000-0004-0000-0700-0000E5000000}"/>
    <hyperlink ref="W57" display="west-jalgaon-north@ujjivan.com;ccr-jalgaonnorth@ujjivan.com;pravin.Ingale@ujjivan.com;dipaksingh.rajput@ujjivan.com;amit.jadhav@ujjivan.com;kausalya.sirgire@ujjivan.com;paras.chaudhari@ujjivan.com;samadhan.janjal@ujjivan.com;yadnesh.chaudhari@ujjivan.com" xr:uid="{00000000-0004-0000-0700-0000E6000000}"/>
    <hyperlink ref="W61" display="west-himmatnagar-branch@ujjivan.com;arpit.panchal@ujjivan.com;satish.ankola@ujjivan.com;nirav.kanojiya@ujjivan.com;ranjit.jadhav@ujjivan.com;rushabh.mehta@ujjivan.com;hitarth.trivedi@ujjivan.com;nilesh.parmar@ujjivan.com;parth.joshi@ujjivan.com;jigar.panc" xr:uid="{00000000-0004-0000-0700-0000E7000000}"/>
    <hyperlink ref="W65" display="west-rajpipla-branch@ujjivan.com;nirmalsharan.barot@ujjivan.com;vivek.anand@ujjivan.com;nirav.vahalia@ujjivan.com;vijay.rohit@ujjivan.com;hitarth.trivedi@ujjivan.com;mayur.dindorkar@ujjivan.com;balvantsinh.chauhan@ujjivan.com;vijaykumar.rohit@ujjivan.com" xr:uid="{00000000-0004-0000-0700-0000E8000000}"/>
    <hyperlink ref="W70" display="west-west.bhavnagar-branch@ujjivan.com;rajesh.rupala@ujjivan.com;dinesh.sonawane@ujjivan.com;rushabh.mehta@ujjivan.com;hitarth.trivedi@ujjivan.com;brij.kothadiya@ujjivan.com;dinesh.sonawane@ujjivan.com;parth.rajyaguru@ujjivan.com;rushabh.mehta@ujjivan.com" xr:uid="{00000000-0004-0000-0700-0000E9000000}"/>
    <hyperlink ref="W60" display="west-mehsana-branch@ujjivan.com;tahir.bahelim@ujjivan.com;alpesh.thakor@ujjivan.com;ashutosh.saxena@ujjivan.com;satish.ankola@ujjivan.com;ranjit.jadhav@ujjivan.com;nirav.kanojiya@ujjivan.com;hitarth.trivedi@ujjivan.com;vinod.khristi@ujjivan.com;arpit.panc" xr:uid="{00000000-0004-0000-0700-0000EA000000}"/>
    <hyperlink ref="W51" display="west-naroda@ujjivan.com;ccr-naroda@ujjivan.com;jayendra.zala@ujjivan.com;alpesh.patel@ujjivan.com;milankumar.devmurari@ujjivan.com;satish.ankola@ujjivan.com;nirav.kanojiya@ujjivan.com;ranjit.jadhav@ujjivan.com;hitarth.trivedi@ujjivan.com;biren.shah@ujjiva" xr:uid="{00000000-0004-0000-0700-0000EB000000}"/>
    <hyperlink ref="W50" display="west-navavadaj@ujjivan.com;ccr-navavadaj@ujjivan.com;hanny.rajawat@ujjivan.com;lokpal.rathod@ujjivan.com;raghu.mudaliar@ujjivan.com;satish.ankola@ujjivan.com;nirav.kanojiya@ujjivan.com;ranjit.jadhav@ujjivan.com;sanjay.rathod@ujjivan.com;hitarth.trivedi@uj" xr:uid="{00000000-0004-0000-0700-0000EC000000}"/>
    <hyperlink ref="W52" display="west-ctm@ujjivan.com;ccr-ctm@ujjivan.com;praful.sodha@ujjivan.com;satish.ankola@ujjivan.com;nirav.kanojiya@ujjivan.com;ranjit.jadhav@ujjivan.com;mrugesh.patel@ujjivan.com;hitarth.trivedi@ujjivan.com;biren.shah@ujjivan.com;salins.christian@ujjivan.com;ranj" xr:uid="{00000000-0004-0000-0700-0000ED000000}"/>
    <hyperlink ref="W5" display="west-akurdi-branch@ujjivan.com;ccr-akurdi@ujjivan.com;gajanan.bande@ujjivan.com;tushar.mali@ujjivan.com;anil.patil@ujjivan.com;himanshu.mittal@ujjivan.com;hemant.awade@ujjivan.com;ramesh.kamble@ujjivan.com;dinesh.bidkar@ujjivan.com;ravi.arkal@ujjivan.com;" xr:uid="{00000000-0004-0000-0700-0000EE000000}"/>
    <hyperlink ref="W6" display="west-pimpri-branch@ujjivan.com;ccr-pimpri@ujjivan.com;sandeep.gadre@ujjivan.com;himanshu.mittal@ujjivan.com;hemant.awade@ujjivan.com;ramesh.kamble@ujjivan.com;abhijeet.bhadange@ujjivan.com;nikhil.patil@ujjivan.com;ashish.tiwari@ujjivan.com;tabassum.shaikh" xr:uid="{00000000-0004-0000-0700-0000EF000000}"/>
    <hyperlink ref="W8" display="west-nashikroad-branch@ujjivan.com;ccr-nashikroad@ujjivan.com;ananta.chaudhari@ujjivan.com;ravindra.avhad@ujjivan.com;gayatri.patil@ujjivan.com;deepak.jagtap@ujjivan.com;kausalya.sirgire@ujjivan.com;nitin.hemade@ujjivan.com;Ashok.gosawi@ujjivan.com;amar.p" xr:uid="{00000000-0004-0000-0700-0000F0000000}"/>
    <hyperlink ref="W18" display="west-mulund-branch@ujjivan.com;ccr.mulund@ujjivan.com;darshana.kumbhar@ujjivan.com;jayesh.vesvikar@ujjivan.com;sachin.mandavkar@ujjivan.com;hiren.karolia@ujjivan.com;yogesh.shinde@ujjivan.com;prashant.jadhav@ujjivan.com;tanveer.khan@ujjivan.com;jitendra.s" xr:uid="{00000000-0004-0000-0700-0000F1000000}"/>
    <hyperlink ref="W21" display="west-chakala-branch@ujjivan.com;west-chandivali-branch@ujjivan.com;ccr-chandivali@ujjivan.com;arun.jagtap@ujjivan.com;pandurang.shinde@ujjivan.com;vaishali.kamble@ujjivan.com;aniket.tamuche@ujjivan.com;hiren.karolia@ujjivan.com;umakant.yadav@ujjivan.com;p" xr:uid="{00000000-0004-0000-0700-0000F2000000}"/>
    <hyperlink ref="W22" display="west-udhana-branch@ujjivan.com;ccr-udhana@ujjivan.com;milan.tarsariya@ujjivan.com;bhautik.kanani@ujjivan.com;girish.gamit@ujjivan.com;sushil.patil@ujjivan.com;naresh.dolar@ujjivan.com;rajesh.khedkar@ujjivan.com;sumit.shrivastav@ujjivan.com;gaurang.sonigra" xr:uid="{00000000-0004-0000-0700-0000F3000000}"/>
    <hyperlink ref="W26" display="west-goregaon-branch@ujjivan.com;ccr.goregaon@ujjivan.com;dadasaheb.ghode@ujjivan.com;dhanraj.more@ujjivan.com;amol.pawar@ujjivan.com;prashant.jadhav@ujjivan.com;santhosh.acharya@ujjivan.com;tanveer.khan@ujjivan.com;jitendra.sodhi@ujjivan.com;gupta.mahesh" xr:uid="{00000000-0004-0000-0700-0000F4000000}"/>
    <hyperlink ref="W29" display="west-santacruz-branch@ujjivan.com;ccr.santacruz@ujjivan.com;daulat.jeliya@ujjivan.com;bhagyashri.garade@ujjivan.com;digambar.sharma@ujjivan.com;karishma.desai@ujjivan.com;hiren.karolia@ujjivan.com;umakant.yadav@ujjivan.com;tanveer.khan@ujjivan.com;jitendr" xr:uid="{00000000-0004-0000-0700-0000F5000000}"/>
    <hyperlink ref="W30" display="west-navsari-branch@ujjivan.com;ccr-navsari@ujjivan.com;alpesh.surti@ujjivan.com;bhoomika.khamkar@ujjivan.com;manoj.parekh@ujjivan.com;surendra.rajput@ujjivan.com;ruchira.patel@ujjivan.com;rajesh.khedkar@ujjivan.com;himanshu.chauhan@ujjivan.com;hitarth.tr" xr:uid="{00000000-0004-0000-0700-0000F6000000}"/>
    <hyperlink ref="W36" display="west-bharuch-branch@ujjivan.com;ccr-bharuch@ujjivan.com;bipinkumar.chauhan@ujjivan.com;dharmesh.vaghela@ujjivan.com;vivek.anand@ujjivan.com;nirav.vahalia@ujjivan.com;vijay.rohit@ujjivan.com;amit.thakur@ujjivan.com;hitarth.trivedi@ujjivan.com;vinod.khristi" xr:uid="{00000000-0004-0000-0700-0000F7000000}"/>
    <hyperlink ref="W37" display="west-ahmednagarcity-branch@ujjivan.com;ccr-ahmednagarcity@ujjivan.com;shrikant.rokade@ujjivan.com;nandkishor.wagh@ujjivan.com;amarpratap.singh@ujjivan.com;nitin.hemade@ujjivan.com;navnath.pendpale@ujjivan.com;jayant.kulkarni@ujjivan.com;santosh.khaire@ujj" xr:uid="{00000000-0004-0000-0700-0000F8000000}"/>
    <hyperlink ref="W38" display="west-satara-branch@ujjivan.com;ccr-satara@ujjivan.com;rohit.sawant@ujjivan.com;dnyaneshwar.kulkarni@ujjivan.com;tushar.upase@ujjivan.com;amit.salunkhe@ujjivan.com;ramesh.chavan@ujjivan.com;hemant.awade@ujjivan.com;shivraj.more@ujjivan.com;ganesh.salunke@u" xr:uid="{00000000-0004-0000-0700-0000F9000000}"/>
    <hyperlink ref="W39" display="west-karad-branch@ujjivan.com;ccr-karad@ujjivan.com;amar.babar@ujjivan.com;milesh.patil@ujjivan.com;pankajkumar.tate@ujjivan.com;ganesh.salunke@ujjivan.com;ajay.patil@ujjivan.com;dnyaneshwar.kulkarni@ujjivan.com;tushar.upase@ujjivan.com;amit.salunkhe@ujji" xr:uid="{00000000-0004-0000-0700-0000FA000000}"/>
    <hyperlink ref="W41" display="west-aurangabadcbs-branch@ujjivan.com;ccr-aurangabadcbs-branch@ujjivan.com;prafull.nirbhavane@ujjivan.com;sandip.dhole@ujjivan.com;kailash.bhoite@ujjivan.com;paras.chaudhari@ujjivan.com;vaibhav.dudhekar@ujjivan.com;ranjeet.mali@ujjivan.com;yogesh.bomble@u" xr:uid="{00000000-0004-0000-0700-0000FB000000}"/>
    <hyperlink ref="W43" display="west-vapi-branch@ujjivan.com;ccr-vapi@ujjivan.com;hitesh.chaudhari@ujjivan.com;manoj.mali@ujjivan.com;semalkumar.patel@ujjivan.com;sarfaraz.hussain@ujjivan.com;rajesh.khedkar@ujjivan.com;himanshu.chauhan@ujjivan.com;suraj.shah@ujjivan.com;hitarth.trivedi@" xr:uid="{00000000-0004-0000-0700-0000FC000000}"/>
    <hyperlink ref="W48" display="west-nadiad-branch@ujjivan.com;ccr-nadiad-branch@ujjivan.com;rafik.vohra@ujjivan.com;alpesh.prajapati@ujjivan.com;nilesh.patel@ujjivan.com;hiten.patel@ujjivan.com;nirav.vahalia@ujjivan.com;vijay.rohit@ujjivan.com;nikhil.kulshretsha@ujjivan.com;mayur.dindo" xr:uid="{00000000-0004-0000-0700-0000FD000000}"/>
    <hyperlink ref="W62" display="rajkot-south@ujjivan.com;ccr-rajkot-south@ujjivan.com;chirag.mehta@ujjivan.com;natubhai.desai@ujjivan.com;kishor.rathod@ujjivan.com;rushabh.mehta@ujjivan.com;hitarth.trivedi@ujjivan.com;sanjay.korat@ujjivan.com;dinesh.parmar@ujjivan.com;natubhai.desai@ujj" xr:uid="{00000000-0004-0000-0700-0000FE000000}"/>
    <hyperlink ref="W63" display="rajkot-north@ujjivan.com;ccr-rajkot-north@ujjivan.com;irfan.aibani@ujjivan.com;natubhai.desai@ujjivan.com;kishor.rathod@ujjivan.com;rushabh.mehta@ujjivan.com;hitarth.trivedi@ujjivan.com;virendra.jadeja@ujjivan.com;natubhai.desai@ujjivan.com;prakash.ramoli" xr:uid="{00000000-0004-0000-0700-0000FF000000}"/>
    <hyperlink ref="W66" display="west-vyara-branch@ujjivan.com;ccr-vyara@ujjivan.com;mehul.rana@ujjivan.com;ujesh.modi@ujjivan.com;prakash.bhitora@ujjivan.com;rajesh.khedkar@ujjivan.com;himanshu.chauhan@ujjivan.com;vivek.mistry@ujjivan.com;namdeo.patil@ujjivan.com;hitarth.trivedi@ujjivan" xr:uid="{00000000-0004-0000-0700-000000010000}"/>
    <hyperlink ref="W25" display="west-chandannagar-branch@ujjivan.com;ccr-west.chandannagar@ujjivan.com;prashant.kawade@ujjivan.com;narendra.ramteke@ujjivan.com;tanaji.motegaonkar@ujjivan.com;shrikant.walunj@ujjivan.com;himanshu.mittal@ujjivan.com;sudhakar.ighare@ujjivan.com;hemant.awade" xr:uid="{00000000-0004-0000-0700-000001010000}"/>
    <hyperlink ref="W35" display="west-ankleshwar-branch@ujjivan.com;ccr.ankaleshwar@ujjivan.com;sushil.vijayvargiya@ujjivan.com;barkatali.vadhvania@ujjivan.com;nirav.vahalia@ujjivan.com;vijay.rohit@ujjivan.com;amit.thakur@ujjivan.com;hitarth.trivedi@ujjivan.com;dharmesh.vaghela@ujjivan.c" xr:uid="{00000000-0004-0000-0700-000002010000}"/>
    <hyperlink ref="W54" display="west-ichalkaranji-branch@ujjivan.com;ccr-ichalkaranji@ujjivan.com;swapnil.patil@ujjivan.com;uttam.vakale@ujjivan.com;rahul.kadole@ujjivan.com;sandip.gavali@ujjivan.com;shreeram.walawe@ujjivan.com;nitin.nair@ujjivan.com;prakash.karade@ujjivan.com;hemant.aw" xr:uid="{00000000-0004-0000-0700-000003010000}"/>
    <hyperlink ref="W23" display="west-limbayat-branch@ujjivan.com;ccr-limbayat@ujjivan.com;rahulkumar.paghdal@ujjivan.com;alpesh.surti@ujjivan.com;dashrath.rabari@ujjivan.com;dhananjay.wagh@ujjivan.com;jenish.lapsiwala@ujjivan.com;rajesh.khedkar@ujjivan.com;bhavin.surani@ujjivan.com;Dhar" xr:uid="{00000000-0004-0000-0700-000004010000}"/>
    <hyperlink ref="W34" display="west-central.vadodara-branch@ujjivan.com;ccr-baroda-central@ujjivan.com;pravin.parmar@ujjivan.com;vikas.prajapati@ujjivan.com;kuntal.patel@ujjivan.com;kalidas.solanki@ujjivan.com;vijay.rohit@ujjivan.com;amit.thakur@ujjivan.com;nikhil.kulshretsha@ujjivan.c" xr:uid="{00000000-0004-0000-0700-000005010000}"/>
    <hyperlink ref="W58" display="west-bhusawal@ujjivan.com;ccr-bhusaval@ujjivan.com;hemangi.hambardikar@ujjivan.com;mahesh.jagtap@ujjivan.com;somnath.bhusare@ujjivan.com;prashant.shimpi@ujjivan.com;amit.jadhav@ujjivan.com;kausalya.sirgire@ujjivan.com;paras.chaudhari@ujjivan.com;yadnesh.c" xr:uid="{00000000-0004-0000-0700-000006010000}"/>
    <hyperlink ref="W59" display="west-jalgaon-south@ujjivan.com;ccr-jalgaonsouth@ujjivan.com;mangesh.kulkarni@ujjivan.com;kishor.sonar@ujjivan.com;amit.jadhav@ujjivan.com;kausalya.sirgire@ujjivan.com;paras.chaudhari@ujjivan.com;dinesh.sonar@ujjivan.com;mukesh.chaudhari@ujjivan.com;yadnes" xr:uid="{00000000-0004-0000-0700-000007010000}"/>
    <hyperlink ref="W55" display="west-bardoli@ujjivan.com;ccr-bardoli@ujjivan.com;sudip.khokhar@ujjivan.com;rajesh.khedkar@ujjivan.com;himanshu.chauhan@ujjivan.com;vivek.mistry@ujjivan.com;hitarth.trivedi@ujjivan.com;bhishma.mahajan@ujjivan.com;keval.moradiya@ujjivan.com;manish.rana@ujji" xr:uid="{00000000-0004-0000-0700-000008010000}"/>
    <hyperlink ref="W46" display="west-sangli-branch@ujjivan.com;ccr-sangli@ujjivan.com;kiran.phalke@ujjivan.com;pradnya.waghmare@ujjivan.com;vijay.dudhale@ujjivan.com;riyazahamad.makandar@ujjivan.com;shreeram.walawe@ujjivan.com;amit.salunkhe@ujjivan.com;swarup.patil@ujjivan.com;hemant.aw" xr:uid="{00000000-0004-0000-0700-000009010000}"/>
    <hyperlink ref="W14" display="katraj@ujjivan.com;ccr-katraj@ujjivan.com;deepak.markad@ujjivan.com;tushar.upase@ujjivan.com;ramesh.kamble@ujjivan.com;hemant.awade@ujjivan.com;santosh.khaire@ujjivan.com;nikhil.patil@ujjivan.com;Vishal.Darvatkar@ujjivan.com;shahir.khandagale@ujjivan.com;" xr:uid="{00000000-0004-0000-0700-00000A010000}"/>
    <hyperlink ref="W12" display="west-chembur-branch@ujjivan.com;ccr-chembur@ujjivan.com;amar.lagad@ujjivan.com;prashant.jadhav@ujjivan.com;jitendra.sodhi@ujjivan.com;mahesh.rane@ujjivan.com;mahesh.gupta@ujjivan.com;Sanjay.kalwar@ujjivan.com;amol.pawar@ujjivan.com;kailash.chaudhari@ujjiv" xr:uid="{00000000-0004-0000-0700-00000B010000}"/>
    <hyperlink ref="W16" display="west-ambernath-branch@ujjivan.com;ccr-ambernath@ujjivan.com;soniya.bhagat@ujjivan.com;dhammapal.magare@ujjivan.com;yogesh.pawar@ujjivan.com;gupta.mahesh@ujjivan.com;rakesh.athavale@ujjivan.com;jitendra.sodhi@ujjivan.com;gupta.mahesh@ujjivan.com;Sanjay.kal" xr:uid="{00000000-0004-0000-0700-00000C010000}"/>
    <hyperlink ref="F10:F18" display="prakharkumar.pandey@ujjivan.com" xr:uid="{00000000-0004-0000-0700-00000D010000}"/>
    <hyperlink ref="F19:F25" display="shanta.bhardwaj@ujjivan.com" xr:uid="{00000000-0004-0000-0700-00000E010000}"/>
    <hyperlink ref="G2:G25" display="rahul.sukhija@ujjivan.com" xr:uid="{00000000-0004-0000-0700-00000F01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571"/>
  <sheetViews>
    <sheetView topLeftCell="A394" workbookViewId="0">
      <selection activeCell="C478" sqref="C478"/>
    </sheetView>
  </sheetViews>
  <sheetFormatPr defaultRowHeight="15" x14ac:dyDescent="0.25"/>
  <cols>
    <col min="1" max="1" width="30.28515625" style="85" bestFit="1" customWidth="1"/>
    <col min="2" max="2" width="36" style="85" customWidth="1"/>
    <col min="3" max="3" width="31.140625" style="68" bestFit="1" customWidth="1"/>
    <col min="4" max="4" width="34.140625" style="68" bestFit="1" customWidth="1"/>
  </cols>
  <sheetData>
    <row r="1" spans="1:4" x14ac:dyDescent="0.25">
      <c r="A1" s="72" t="s">
        <v>2705</v>
      </c>
      <c r="B1" s="124" t="s">
        <v>2708</v>
      </c>
      <c r="C1" s="125" t="s">
        <v>3577</v>
      </c>
      <c r="D1" s="73" t="s">
        <v>2709</v>
      </c>
    </row>
    <row r="2" spans="1:4" x14ac:dyDescent="0.25">
      <c r="A2" s="74">
        <v>3360</v>
      </c>
      <c r="B2" s="76" t="s">
        <v>667</v>
      </c>
      <c r="C2" s="77" t="s">
        <v>4040</v>
      </c>
      <c r="D2" s="77" t="s">
        <v>719</v>
      </c>
    </row>
    <row r="3" spans="1:4" x14ac:dyDescent="0.25">
      <c r="A3" s="78">
        <v>3340</v>
      </c>
      <c r="B3" s="76" t="s">
        <v>3694</v>
      </c>
      <c r="C3" s="77" t="s">
        <v>4041</v>
      </c>
      <c r="D3" s="77" t="s">
        <v>610</v>
      </c>
    </row>
    <row r="4" spans="1:4" x14ac:dyDescent="0.25">
      <c r="A4" s="78">
        <v>3319</v>
      </c>
      <c r="B4" s="76" t="s">
        <v>2712</v>
      </c>
      <c r="C4" s="77" t="s">
        <v>4042</v>
      </c>
      <c r="D4" s="77" t="s">
        <v>610</v>
      </c>
    </row>
    <row r="5" spans="1:4" x14ac:dyDescent="0.25">
      <c r="A5" s="74">
        <v>3325</v>
      </c>
      <c r="B5" s="76" t="s">
        <v>3688</v>
      </c>
      <c r="C5" s="77" t="s">
        <v>4043</v>
      </c>
      <c r="D5" s="77" t="s">
        <v>665</v>
      </c>
    </row>
    <row r="6" spans="1:4" x14ac:dyDescent="0.25">
      <c r="A6" s="74">
        <v>3334</v>
      </c>
      <c r="B6" s="76" t="s">
        <v>637</v>
      </c>
      <c r="C6" s="77" t="s">
        <v>4044</v>
      </c>
      <c r="D6" s="77" t="s">
        <v>2713</v>
      </c>
    </row>
    <row r="7" spans="1:4" x14ac:dyDescent="0.25">
      <c r="A7" s="74">
        <v>3305</v>
      </c>
      <c r="B7" s="76" t="s">
        <v>2858</v>
      </c>
      <c r="C7" s="77" t="s">
        <v>4045</v>
      </c>
      <c r="D7" s="77" t="s">
        <v>2713</v>
      </c>
    </row>
    <row r="8" spans="1:4" x14ac:dyDescent="0.25">
      <c r="A8" s="78">
        <v>3368</v>
      </c>
      <c r="B8" s="76" t="s">
        <v>2714</v>
      </c>
      <c r="C8" s="77" t="s">
        <v>4046</v>
      </c>
      <c r="D8" s="77" t="s">
        <v>719</v>
      </c>
    </row>
    <row r="9" spans="1:4" x14ac:dyDescent="0.25">
      <c r="A9" s="74">
        <v>3361</v>
      </c>
      <c r="B9" s="76" t="s">
        <v>2715</v>
      </c>
      <c r="C9" s="77" t="s">
        <v>4047</v>
      </c>
      <c r="D9" s="77" t="s">
        <v>719</v>
      </c>
    </row>
    <row r="10" spans="1:4" x14ac:dyDescent="0.25">
      <c r="A10" s="74">
        <v>3322</v>
      </c>
      <c r="B10" s="76" t="s">
        <v>2716</v>
      </c>
      <c r="C10" s="77" t="s">
        <v>4048</v>
      </c>
      <c r="D10" s="77" t="s">
        <v>665</v>
      </c>
    </row>
    <row r="11" spans="1:4" x14ac:dyDescent="0.25">
      <c r="A11" s="74">
        <v>3307</v>
      </c>
      <c r="B11" s="76" t="s">
        <v>626</v>
      </c>
      <c r="C11" s="77" t="s">
        <v>4049</v>
      </c>
      <c r="D11" s="77" t="s">
        <v>610</v>
      </c>
    </row>
    <row r="12" spans="1:4" x14ac:dyDescent="0.25">
      <c r="A12" s="74">
        <v>3376</v>
      </c>
      <c r="B12" s="76" t="s">
        <v>3702</v>
      </c>
      <c r="C12" s="77" t="s">
        <v>4050</v>
      </c>
      <c r="D12" s="77" t="s">
        <v>719</v>
      </c>
    </row>
    <row r="13" spans="1:4" x14ac:dyDescent="0.25">
      <c r="A13" s="78">
        <v>3330</v>
      </c>
      <c r="B13" s="76" t="s">
        <v>3691</v>
      </c>
      <c r="C13" s="77" t="s">
        <v>4051</v>
      </c>
      <c r="D13" s="77" t="s">
        <v>610</v>
      </c>
    </row>
    <row r="14" spans="1:4" x14ac:dyDescent="0.25">
      <c r="A14" s="74">
        <v>3369</v>
      </c>
      <c r="B14" s="76" t="s">
        <v>2717</v>
      </c>
      <c r="C14" s="77" t="s">
        <v>4052</v>
      </c>
      <c r="D14" s="77" t="s">
        <v>719</v>
      </c>
    </row>
    <row r="15" spans="1:4" x14ac:dyDescent="0.25">
      <c r="A15" s="74">
        <v>3302</v>
      </c>
      <c r="B15" s="76"/>
      <c r="C15" s="77"/>
      <c r="D15" s="77" t="s">
        <v>2713</v>
      </c>
    </row>
    <row r="16" spans="1:4" x14ac:dyDescent="0.25">
      <c r="A16" s="74">
        <v>3306</v>
      </c>
      <c r="B16" s="76" t="s">
        <v>634</v>
      </c>
      <c r="C16" s="77" t="s">
        <v>4053</v>
      </c>
      <c r="D16" s="77" t="s">
        <v>2713</v>
      </c>
    </row>
    <row r="17" spans="1:4" x14ac:dyDescent="0.25">
      <c r="A17" s="74">
        <v>3304</v>
      </c>
      <c r="B17" s="76" t="s">
        <v>3683</v>
      </c>
      <c r="C17" s="77" t="s">
        <v>4054</v>
      </c>
      <c r="D17" s="77" t="s">
        <v>2713</v>
      </c>
    </row>
    <row r="18" spans="1:4" x14ac:dyDescent="0.25">
      <c r="A18" s="74">
        <v>3359</v>
      </c>
      <c r="B18" s="76" t="s">
        <v>684</v>
      </c>
      <c r="C18" s="77" t="s">
        <v>4055</v>
      </c>
      <c r="D18" s="77" t="s">
        <v>719</v>
      </c>
    </row>
    <row r="19" spans="1:4" x14ac:dyDescent="0.25">
      <c r="A19" s="74">
        <v>3309</v>
      </c>
      <c r="B19" s="76" t="s">
        <v>3684</v>
      </c>
      <c r="C19" s="77" t="s">
        <v>4056</v>
      </c>
      <c r="D19" s="77" t="s">
        <v>2713</v>
      </c>
    </row>
    <row r="20" spans="1:4" x14ac:dyDescent="0.25">
      <c r="A20" s="74">
        <v>3312</v>
      </c>
      <c r="B20" s="76" t="s">
        <v>606</v>
      </c>
      <c r="C20" s="77" t="s">
        <v>4057</v>
      </c>
      <c r="D20" s="77" t="s">
        <v>2713</v>
      </c>
    </row>
    <row r="21" spans="1:4" x14ac:dyDescent="0.25">
      <c r="A21" s="74">
        <v>3367</v>
      </c>
      <c r="B21" s="76" t="s">
        <v>678</v>
      </c>
      <c r="C21" s="77" t="s">
        <v>4058</v>
      </c>
      <c r="D21" s="77" t="s">
        <v>719</v>
      </c>
    </row>
    <row r="22" spans="1:4" x14ac:dyDescent="0.25">
      <c r="A22" s="78">
        <v>3382</v>
      </c>
      <c r="B22" s="76" t="s">
        <v>691</v>
      </c>
      <c r="C22" s="77" t="s">
        <v>4059</v>
      </c>
      <c r="D22" s="77" t="s">
        <v>719</v>
      </c>
    </row>
    <row r="23" spans="1:4" x14ac:dyDescent="0.25">
      <c r="A23" s="78">
        <v>3326</v>
      </c>
      <c r="B23" s="76" t="s">
        <v>3689</v>
      </c>
      <c r="C23" s="77" t="s">
        <v>4060</v>
      </c>
      <c r="D23" s="77" t="s">
        <v>610</v>
      </c>
    </row>
    <row r="24" spans="1:4" x14ac:dyDescent="0.25">
      <c r="A24" s="74">
        <v>3331</v>
      </c>
      <c r="B24" s="76" t="s">
        <v>608</v>
      </c>
      <c r="C24" s="77" t="s">
        <v>4061</v>
      </c>
      <c r="D24" s="77" t="s">
        <v>2713</v>
      </c>
    </row>
    <row r="25" spans="1:4" x14ac:dyDescent="0.25">
      <c r="A25" s="74">
        <v>3310</v>
      </c>
      <c r="B25" s="76" t="s">
        <v>2718</v>
      </c>
      <c r="C25" s="77" t="s">
        <v>4062</v>
      </c>
      <c r="D25" s="77" t="s">
        <v>2713</v>
      </c>
    </row>
    <row r="26" spans="1:4" x14ac:dyDescent="0.25">
      <c r="A26" s="74">
        <v>3303</v>
      </c>
      <c r="B26" s="76" t="s">
        <v>2719</v>
      </c>
      <c r="C26" s="77" t="s">
        <v>4063</v>
      </c>
      <c r="D26" s="77" t="s">
        <v>2713</v>
      </c>
    </row>
    <row r="27" spans="1:4" x14ac:dyDescent="0.25">
      <c r="A27" s="78">
        <v>3324</v>
      </c>
      <c r="B27" s="76" t="s">
        <v>2689</v>
      </c>
      <c r="C27" s="77" t="s">
        <v>4064</v>
      </c>
      <c r="D27" s="77" t="s">
        <v>610</v>
      </c>
    </row>
    <row r="28" spans="1:4" x14ac:dyDescent="0.25">
      <c r="A28" s="79">
        <v>3321</v>
      </c>
      <c r="B28" s="76" t="s">
        <v>3687</v>
      </c>
      <c r="C28" s="77" t="s">
        <v>4065</v>
      </c>
      <c r="D28" s="77" t="s">
        <v>665</v>
      </c>
    </row>
    <row r="29" spans="1:4" x14ac:dyDescent="0.25">
      <c r="A29" s="79">
        <v>3314</v>
      </c>
      <c r="B29" s="76" t="s">
        <v>632</v>
      </c>
      <c r="C29" s="77" t="s">
        <v>4066</v>
      </c>
      <c r="D29" s="77" t="s">
        <v>665</v>
      </c>
    </row>
    <row r="30" spans="1:4" x14ac:dyDescent="0.25">
      <c r="A30" s="79">
        <v>3317</v>
      </c>
      <c r="B30" s="76" t="s">
        <v>3686</v>
      </c>
      <c r="C30" s="77" t="s">
        <v>4067</v>
      </c>
      <c r="D30" s="77" t="s">
        <v>665</v>
      </c>
    </row>
    <row r="31" spans="1:4" x14ac:dyDescent="0.25">
      <c r="A31" s="79">
        <v>3313</v>
      </c>
      <c r="B31" s="76" t="s">
        <v>3685</v>
      </c>
      <c r="C31" s="77" t="s">
        <v>4068</v>
      </c>
      <c r="D31" s="77" t="s">
        <v>665</v>
      </c>
    </row>
    <row r="32" spans="1:4" x14ac:dyDescent="0.25">
      <c r="A32" s="79">
        <v>3315</v>
      </c>
      <c r="B32" s="76" t="s">
        <v>619</v>
      </c>
      <c r="C32" s="77" t="s">
        <v>4069</v>
      </c>
      <c r="D32" s="77" t="s">
        <v>665</v>
      </c>
    </row>
    <row r="33" spans="1:4" x14ac:dyDescent="0.25">
      <c r="A33" s="79">
        <v>3311</v>
      </c>
      <c r="B33" s="76" t="s">
        <v>614</v>
      </c>
      <c r="C33" s="77" t="s">
        <v>4070</v>
      </c>
      <c r="D33" s="77" t="s">
        <v>2713</v>
      </c>
    </row>
    <row r="34" spans="1:4" x14ac:dyDescent="0.25">
      <c r="A34" s="79">
        <v>3332</v>
      </c>
      <c r="B34" s="76" t="s">
        <v>3692</v>
      </c>
      <c r="C34" s="77" t="s">
        <v>4071</v>
      </c>
      <c r="D34" s="77" t="s">
        <v>2713</v>
      </c>
    </row>
    <row r="35" spans="1:4" x14ac:dyDescent="0.25">
      <c r="A35" s="80">
        <v>3517</v>
      </c>
      <c r="B35" s="76" t="s">
        <v>741</v>
      </c>
      <c r="C35" s="77" t="s">
        <v>4072</v>
      </c>
      <c r="D35" s="77" t="s">
        <v>2720</v>
      </c>
    </row>
    <row r="36" spans="1:4" x14ac:dyDescent="0.25">
      <c r="A36" s="80">
        <v>3507</v>
      </c>
      <c r="B36" s="76" t="s">
        <v>3707</v>
      </c>
      <c r="C36" s="77" t="s">
        <v>4073</v>
      </c>
      <c r="D36" s="77" t="s">
        <v>2720</v>
      </c>
    </row>
    <row r="37" spans="1:4" x14ac:dyDescent="0.25">
      <c r="A37" s="80">
        <v>3516</v>
      </c>
      <c r="B37" s="76" t="s">
        <v>3205</v>
      </c>
      <c r="C37" s="77" t="s">
        <v>3206</v>
      </c>
      <c r="D37" s="77" t="s">
        <v>2720</v>
      </c>
    </row>
    <row r="38" spans="1:4" x14ac:dyDescent="0.25">
      <c r="A38" s="80">
        <v>3541</v>
      </c>
      <c r="B38" s="76" t="s">
        <v>3719</v>
      </c>
      <c r="C38" s="77" t="s">
        <v>4074</v>
      </c>
      <c r="D38" s="77" t="s">
        <v>2720</v>
      </c>
    </row>
    <row r="39" spans="1:4" x14ac:dyDescent="0.25">
      <c r="A39" s="80">
        <v>3508</v>
      </c>
      <c r="B39" s="76" t="s">
        <v>2721</v>
      </c>
      <c r="C39" s="77" t="s">
        <v>4075</v>
      </c>
      <c r="D39" s="77" t="s">
        <v>2720</v>
      </c>
    </row>
    <row r="40" spans="1:4" x14ac:dyDescent="0.25">
      <c r="A40" s="80">
        <v>3509</v>
      </c>
      <c r="B40" s="76" t="s">
        <v>711</v>
      </c>
      <c r="C40" s="77" t="s">
        <v>4076</v>
      </c>
      <c r="D40" s="77" t="s">
        <v>2720</v>
      </c>
    </row>
    <row r="41" spans="1:4" x14ac:dyDescent="0.25">
      <c r="A41" s="80">
        <v>3387</v>
      </c>
      <c r="B41" s="76" t="s">
        <v>2722</v>
      </c>
      <c r="C41" s="77" t="s">
        <v>4077</v>
      </c>
      <c r="D41" s="77" t="s">
        <v>2720</v>
      </c>
    </row>
    <row r="42" spans="1:4" x14ac:dyDescent="0.25">
      <c r="A42" s="80">
        <v>3510</v>
      </c>
      <c r="B42" s="76" t="s">
        <v>3708</v>
      </c>
      <c r="C42" s="77" t="s">
        <v>4078</v>
      </c>
      <c r="D42" s="77" t="s">
        <v>2720</v>
      </c>
    </row>
    <row r="43" spans="1:4" x14ac:dyDescent="0.25">
      <c r="A43" s="80">
        <v>3511</v>
      </c>
      <c r="B43" s="76" t="s">
        <v>2723</v>
      </c>
      <c r="C43" s="77" t="s">
        <v>4079</v>
      </c>
      <c r="D43" s="77" t="s">
        <v>2720</v>
      </c>
    </row>
    <row r="44" spans="1:4" x14ac:dyDescent="0.25">
      <c r="A44" s="80">
        <v>3386</v>
      </c>
      <c r="B44" s="76" t="s">
        <v>697</v>
      </c>
      <c r="C44" s="77" t="s">
        <v>4080</v>
      </c>
      <c r="D44" s="77" t="s">
        <v>665</v>
      </c>
    </row>
    <row r="45" spans="1:4" x14ac:dyDescent="0.25">
      <c r="A45" s="74">
        <v>3538</v>
      </c>
      <c r="B45" s="76" t="s">
        <v>3718</v>
      </c>
      <c r="C45" s="77" t="s">
        <v>4081</v>
      </c>
      <c r="D45" s="77" t="s">
        <v>715</v>
      </c>
    </row>
    <row r="46" spans="1:4" x14ac:dyDescent="0.25">
      <c r="A46" s="74">
        <v>3562</v>
      </c>
      <c r="B46" s="76" t="s">
        <v>2725</v>
      </c>
      <c r="C46" s="77"/>
      <c r="D46" s="77" t="s">
        <v>715</v>
      </c>
    </row>
    <row r="47" spans="1:4" x14ac:dyDescent="0.25">
      <c r="A47" s="74">
        <v>3533</v>
      </c>
      <c r="B47" s="76" t="s">
        <v>3714</v>
      </c>
      <c r="C47" s="77" t="s">
        <v>3608</v>
      </c>
      <c r="D47" s="77" t="s">
        <v>664</v>
      </c>
    </row>
    <row r="48" spans="1:4" x14ac:dyDescent="0.25">
      <c r="A48" s="74">
        <v>3512</v>
      </c>
      <c r="B48" s="76" t="s">
        <v>2958</v>
      </c>
      <c r="C48" s="77" t="s">
        <v>4082</v>
      </c>
      <c r="D48" s="77" t="s">
        <v>664</v>
      </c>
    </row>
    <row r="49" spans="1:4" x14ac:dyDescent="0.25">
      <c r="A49" s="74">
        <v>3513</v>
      </c>
      <c r="B49" s="76" t="s">
        <v>3201</v>
      </c>
      <c r="C49" s="77" t="s">
        <v>4083</v>
      </c>
      <c r="D49" s="115" t="s">
        <v>3201</v>
      </c>
    </row>
    <row r="50" spans="1:4" x14ac:dyDescent="0.25">
      <c r="A50" s="74">
        <v>3531</v>
      </c>
      <c r="B50" s="76" t="s">
        <v>3713</v>
      </c>
      <c r="C50" s="115" t="s">
        <v>4084</v>
      </c>
      <c r="D50" s="77" t="s">
        <v>664</v>
      </c>
    </row>
    <row r="51" spans="1:4" x14ac:dyDescent="0.25">
      <c r="A51" s="74">
        <v>3514</v>
      </c>
      <c r="B51" s="76" t="s">
        <v>3709</v>
      </c>
      <c r="C51" s="77" t="s">
        <v>4085</v>
      </c>
      <c r="D51" s="115" t="s">
        <v>3196</v>
      </c>
    </row>
    <row r="52" spans="1:4" x14ac:dyDescent="0.25">
      <c r="A52" s="74">
        <v>3515</v>
      </c>
      <c r="B52" s="76"/>
      <c r="C52" s="77"/>
      <c r="D52" s="77" t="s">
        <v>664</v>
      </c>
    </row>
    <row r="53" spans="1:4" x14ac:dyDescent="0.25">
      <c r="A53" s="74">
        <v>3560</v>
      </c>
      <c r="B53" s="76" t="s">
        <v>3198</v>
      </c>
      <c r="C53" s="77"/>
      <c r="D53" s="77" t="s">
        <v>732</v>
      </c>
    </row>
    <row r="54" spans="1:4" x14ac:dyDescent="0.25">
      <c r="A54" s="74">
        <v>3561</v>
      </c>
      <c r="B54" s="76" t="s">
        <v>734</v>
      </c>
      <c r="C54" s="77"/>
      <c r="D54" s="77" t="s">
        <v>715</v>
      </c>
    </row>
    <row r="55" spans="1:4" x14ac:dyDescent="0.25">
      <c r="A55" s="74">
        <v>3519</v>
      </c>
      <c r="B55" s="76" t="s">
        <v>3710</v>
      </c>
      <c r="C55" s="77" t="s">
        <v>4086</v>
      </c>
      <c r="D55" s="77" t="s">
        <v>664</v>
      </c>
    </row>
    <row r="56" spans="1:4" x14ac:dyDescent="0.25">
      <c r="A56" s="74">
        <v>3539</v>
      </c>
      <c r="B56" s="76" t="s">
        <v>2724</v>
      </c>
      <c r="C56" s="77" t="s">
        <v>4087</v>
      </c>
      <c r="D56" s="77" t="s">
        <v>715</v>
      </c>
    </row>
    <row r="57" spans="1:4" x14ac:dyDescent="0.25">
      <c r="A57" s="74">
        <v>3559</v>
      </c>
      <c r="B57" s="76" t="s">
        <v>3725</v>
      </c>
      <c r="C57" s="77"/>
      <c r="D57" s="77" t="s">
        <v>732</v>
      </c>
    </row>
    <row r="58" spans="1:4" x14ac:dyDescent="0.25">
      <c r="A58" s="81">
        <v>3563</v>
      </c>
      <c r="B58" s="76" t="s">
        <v>1013</v>
      </c>
      <c r="C58" s="77"/>
      <c r="D58" s="77" t="s">
        <v>732</v>
      </c>
    </row>
    <row r="59" spans="1:4" x14ac:dyDescent="0.25">
      <c r="A59" s="81">
        <v>3564</v>
      </c>
      <c r="B59" s="76" t="s">
        <v>3726</v>
      </c>
      <c r="C59" s="77"/>
      <c r="D59" s="77" t="s">
        <v>732</v>
      </c>
    </row>
    <row r="60" spans="1:4" x14ac:dyDescent="0.25">
      <c r="A60" s="81">
        <v>3565</v>
      </c>
      <c r="B60" s="76" t="s">
        <v>3727</v>
      </c>
      <c r="C60" s="77"/>
      <c r="D60" s="77" t="s">
        <v>732</v>
      </c>
    </row>
    <row r="61" spans="1:4" x14ac:dyDescent="0.25">
      <c r="A61" s="81">
        <v>3566</v>
      </c>
      <c r="B61" s="76" t="s">
        <v>3037</v>
      </c>
      <c r="C61" s="77"/>
      <c r="D61" s="77" t="s">
        <v>732</v>
      </c>
    </row>
    <row r="62" spans="1:4" x14ac:dyDescent="0.25">
      <c r="A62" s="81">
        <v>3567</v>
      </c>
      <c r="B62" s="76" t="s">
        <v>3728</v>
      </c>
      <c r="C62" s="77"/>
      <c r="D62" s="77" t="s">
        <v>732</v>
      </c>
    </row>
    <row r="63" spans="1:4" x14ac:dyDescent="0.25">
      <c r="A63" s="81">
        <v>3568</v>
      </c>
      <c r="B63" s="76" t="s">
        <v>3200</v>
      </c>
      <c r="C63" s="77"/>
      <c r="D63" s="77" t="s">
        <v>715</v>
      </c>
    </row>
    <row r="64" spans="1:4" x14ac:dyDescent="0.25">
      <c r="A64" s="82">
        <v>3354</v>
      </c>
      <c r="B64" s="76" t="s">
        <v>657</v>
      </c>
      <c r="C64" s="77" t="s">
        <v>4088</v>
      </c>
      <c r="D64" s="77" t="s">
        <v>2726</v>
      </c>
    </row>
    <row r="65" spans="1:4" x14ac:dyDescent="0.25">
      <c r="A65" s="82">
        <v>3370</v>
      </c>
      <c r="B65" s="76" t="s">
        <v>3698</v>
      </c>
      <c r="C65" s="77" t="s">
        <v>4089</v>
      </c>
      <c r="D65" s="77" t="s">
        <v>719</v>
      </c>
    </row>
    <row r="66" spans="1:4" x14ac:dyDescent="0.25">
      <c r="A66" s="82">
        <v>3327</v>
      </c>
      <c r="B66" s="76" t="s">
        <v>3690</v>
      </c>
      <c r="C66" s="77" t="s">
        <v>4090</v>
      </c>
      <c r="D66" s="77" t="s">
        <v>2726</v>
      </c>
    </row>
    <row r="67" spans="1:4" x14ac:dyDescent="0.25">
      <c r="A67" s="82">
        <v>3362</v>
      </c>
      <c r="B67" s="71" t="s">
        <v>4398</v>
      </c>
      <c r="C67" s="77" t="s">
        <v>4091</v>
      </c>
      <c r="D67" s="77" t="s">
        <v>640</v>
      </c>
    </row>
    <row r="68" spans="1:4" x14ac:dyDescent="0.25">
      <c r="A68" s="82">
        <v>3503</v>
      </c>
      <c r="B68" s="76" t="s">
        <v>706</v>
      </c>
      <c r="C68" s="77" t="s">
        <v>4092</v>
      </c>
      <c r="D68" s="77" t="s">
        <v>640</v>
      </c>
    </row>
    <row r="69" spans="1:4" x14ac:dyDescent="0.25">
      <c r="A69" s="82">
        <v>3336</v>
      </c>
      <c r="B69" s="76" t="s">
        <v>639</v>
      </c>
      <c r="C69" s="77" t="s">
        <v>4093</v>
      </c>
      <c r="D69" s="77" t="s">
        <v>640</v>
      </c>
    </row>
    <row r="70" spans="1:4" x14ac:dyDescent="0.25">
      <c r="A70" s="82">
        <v>3357</v>
      </c>
      <c r="B70" s="76" t="s">
        <v>1018</v>
      </c>
      <c r="C70" s="77" t="s">
        <v>4094</v>
      </c>
      <c r="D70" s="77" t="s">
        <v>2726</v>
      </c>
    </row>
    <row r="71" spans="1:4" x14ac:dyDescent="0.25">
      <c r="A71" s="82">
        <v>3350</v>
      </c>
      <c r="B71" s="76" t="s">
        <v>653</v>
      </c>
      <c r="C71" s="77" t="s">
        <v>4095</v>
      </c>
      <c r="D71" s="77" t="s">
        <v>640</v>
      </c>
    </row>
    <row r="72" spans="1:4" x14ac:dyDescent="0.25">
      <c r="A72" s="82">
        <v>3365</v>
      </c>
      <c r="B72" s="76" t="s">
        <v>3697</v>
      </c>
      <c r="C72" s="77" t="s">
        <v>3608</v>
      </c>
      <c r="D72" s="77" t="s">
        <v>2726</v>
      </c>
    </row>
    <row r="73" spans="1:4" x14ac:dyDescent="0.25">
      <c r="A73" s="82">
        <v>3364</v>
      </c>
      <c r="B73" s="76" t="s">
        <v>672</v>
      </c>
      <c r="C73" s="77" t="s">
        <v>4096</v>
      </c>
      <c r="D73" s="77" t="s">
        <v>640</v>
      </c>
    </row>
    <row r="74" spans="1:4" x14ac:dyDescent="0.25">
      <c r="A74" s="82">
        <v>3337</v>
      </c>
      <c r="B74" s="76" t="s">
        <v>2729</v>
      </c>
      <c r="C74" s="77" t="s">
        <v>4097</v>
      </c>
      <c r="D74" s="77" t="s">
        <v>640</v>
      </c>
    </row>
    <row r="75" spans="1:4" x14ac:dyDescent="0.25">
      <c r="A75" s="82">
        <v>3349</v>
      </c>
      <c r="B75" s="76" t="s">
        <v>3696</v>
      </c>
      <c r="C75" s="77" t="s">
        <v>4098</v>
      </c>
      <c r="D75" s="77" t="s">
        <v>2726</v>
      </c>
    </row>
    <row r="76" spans="1:4" x14ac:dyDescent="0.25">
      <c r="A76" s="82">
        <v>3383</v>
      </c>
      <c r="B76" s="76" t="s">
        <v>2727</v>
      </c>
      <c r="C76" s="77" t="s">
        <v>4099</v>
      </c>
      <c r="D76" s="77" t="s">
        <v>719</v>
      </c>
    </row>
    <row r="77" spans="1:4" x14ac:dyDescent="0.25">
      <c r="A77" s="82">
        <v>3328</v>
      </c>
      <c r="B77" s="76"/>
      <c r="C77" s="77"/>
      <c r="D77" s="77" t="s">
        <v>2726</v>
      </c>
    </row>
    <row r="78" spans="1:4" x14ac:dyDescent="0.25">
      <c r="A78" s="82">
        <v>3329</v>
      </c>
      <c r="B78" s="76" t="s">
        <v>661</v>
      </c>
      <c r="C78" s="77" t="s">
        <v>4100</v>
      </c>
      <c r="D78" s="77" t="s">
        <v>2726</v>
      </c>
    </row>
    <row r="79" spans="1:4" x14ac:dyDescent="0.25">
      <c r="A79" s="82">
        <v>3366</v>
      </c>
      <c r="B79" s="76" t="s">
        <v>2728</v>
      </c>
      <c r="C79" s="77"/>
      <c r="D79" s="77" t="s">
        <v>719</v>
      </c>
    </row>
    <row r="80" spans="1:4" x14ac:dyDescent="0.25">
      <c r="A80" s="82">
        <v>3345</v>
      </c>
      <c r="B80" s="76" t="s">
        <v>3695</v>
      </c>
      <c r="C80" s="77" t="s">
        <v>4101</v>
      </c>
      <c r="D80" s="77" t="s">
        <v>2726</v>
      </c>
    </row>
    <row r="81" spans="1:4" x14ac:dyDescent="0.25">
      <c r="A81" s="82">
        <v>3381</v>
      </c>
      <c r="B81" s="102" t="s">
        <v>1014</v>
      </c>
      <c r="C81" s="77" t="s">
        <v>4102</v>
      </c>
      <c r="D81" s="77" t="s">
        <v>640</v>
      </c>
    </row>
    <row r="82" spans="1:4" x14ac:dyDescent="0.25">
      <c r="A82" s="83">
        <v>3504</v>
      </c>
      <c r="B82" s="76" t="s">
        <v>3706</v>
      </c>
      <c r="C82" s="77" t="s">
        <v>3608</v>
      </c>
      <c r="D82" s="77" t="s">
        <v>643</v>
      </c>
    </row>
    <row r="83" spans="1:4" x14ac:dyDescent="0.25">
      <c r="A83" s="83">
        <v>3344</v>
      </c>
      <c r="B83" s="76"/>
      <c r="C83" s="77" t="s">
        <v>4103</v>
      </c>
      <c r="D83" s="77" t="s">
        <v>628</v>
      </c>
    </row>
    <row r="84" spans="1:4" x14ac:dyDescent="0.25">
      <c r="A84" s="83">
        <v>3520</v>
      </c>
      <c r="B84" s="76" t="s">
        <v>3711</v>
      </c>
      <c r="C84" s="77" t="s">
        <v>3608</v>
      </c>
      <c r="D84" s="77" t="s">
        <v>643</v>
      </c>
    </row>
    <row r="85" spans="1:4" x14ac:dyDescent="0.25">
      <c r="A85" s="83">
        <v>3339</v>
      </c>
      <c r="B85" s="76" t="s">
        <v>3693</v>
      </c>
      <c r="C85" s="77" t="s">
        <v>4104</v>
      </c>
      <c r="D85" s="77" t="s">
        <v>628</v>
      </c>
    </row>
    <row r="86" spans="1:4" x14ac:dyDescent="0.25">
      <c r="A86" s="83">
        <v>3555</v>
      </c>
      <c r="B86" s="76" t="s">
        <v>758</v>
      </c>
      <c r="C86" s="77" t="s">
        <v>3608</v>
      </c>
      <c r="D86" s="77" t="s">
        <v>628</v>
      </c>
    </row>
    <row r="87" spans="1:4" x14ac:dyDescent="0.25">
      <c r="A87" s="83">
        <v>3501</v>
      </c>
      <c r="B87" s="76" t="s">
        <v>2730</v>
      </c>
      <c r="C87" s="77" t="s">
        <v>4105</v>
      </c>
      <c r="D87" s="77" t="s">
        <v>610</v>
      </c>
    </row>
    <row r="88" spans="1:4" x14ac:dyDescent="0.25">
      <c r="A88" s="83">
        <v>3521</v>
      </c>
      <c r="B88" s="76" t="s">
        <v>2731</v>
      </c>
      <c r="C88" s="77" t="s">
        <v>4106</v>
      </c>
      <c r="D88" s="77" t="s">
        <v>643</v>
      </c>
    </row>
    <row r="89" spans="1:4" x14ac:dyDescent="0.25">
      <c r="A89" s="83">
        <v>3384</v>
      </c>
      <c r="B89" s="76" t="s">
        <v>3703</v>
      </c>
      <c r="C89" s="77" t="s">
        <v>4107</v>
      </c>
      <c r="D89" s="77" t="s">
        <v>610</v>
      </c>
    </row>
    <row r="90" spans="1:4" x14ac:dyDescent="0.25">
      <c r="A90" s="83">
        <v>3379</v>
      </c>
      <c r="B90" s="76"/>
      <c r="C90" s="77"/>
      <c r="D90" s="77" t="s">
        <v>643</v>
      </c>
    </row>
    <row r="91" spans="1:4" x14ac:dyDescent="0.25">
      <c r="A91" s="83">
        <v>3385</v>
      </c>
      <c r="B91" s="76" t="s">
        <v>2732</v>
      </c>
      <c r="C91" s="77" t="s">
        <v>4108</v>
      </c>
      <c r="D91" s="77" t="s">
        <v>610</v>
      </c>
    </row>
    <row r="92" spans="1:4" x14ac:dyDescent="0.25">
      <c r="A92" s="83">
        <v>3347</v>
      </c>
      <c r="B92" s="76" t="s">
        <v>3199</v>
      </c>
      <c r="C92" s="77" t="s">
        <v>4109</v>
      </c>
      <c r="D92" s="77" t="s">
        <v>610</v>
      </c>
    </row>
    <row r="93" spans="1:4" x14ac:dyDescent="0.25">
      <c r="A93" s="83">
        <v>3523</v>
      </c>
      <c r="B93" s="76" t="s">
        <v>659</v>
      </c>
      <c r="C93" s="77"/>
      <c r="D93" s="77" t="s">
        <v>628</v>
      </c>
    </row>
    <row r="94" spans="1:4" x14ac:dyDescent="0.25">
      <c r="A94" s="83">
        <v>3356</v>
      </c>
      <c r="B94" s="76" t="s">
        <v>2733</v>
      </c>
      <c r="C94" s="77" t="s">
        <v>4110</v>
      </c>
      <c r="D94" s="77" t="s">
        <v>628</v>
      </c>
    </row>
    <row r="95" spans="1:4" x14ac:dyDescent="0.25">
      <c r="A95" s="83">
        <v>3377</v>
      </c>
      <c r="B95" s="76" t="s">
        <v>2734</v>
      </c>
      <c r="C95" s="77" t="s">
        <v>4111</v>
      </c>
      <c r="D95" s="77" t="s">
        <v>643</v>
      </c>
    </row>
    <row r="96" spans="1:4" x14ac:dyDescent="0.25">
      <c r="A96" s="83">
        <v>3378</v>
      </c>
      <c r="B96" s="76" t="s">
        <v>687</v>
      </c>
      <c r="C96" s="77" t="s">
        <v>4112</v>
      </c>
      <c r="D96" s="77" t="s">
        <v>643</v>
      </c>
    </row>
    <row r="97" spans="1:4" x14ac:dyDescent="0.25">
      <c r="A97" s="83">
        <v>3343</v>
      </c>
      <c r="B97" s="76" t="s">
        <v>647</v>
      </c>
      <c r="C97" s="77" t="s">
        <v>4113</v>
      </c>
      <c r="D97" s="77" t="s">
        <v>628</v>
      </c>
    </row>
    <row r="98" spans="1:4" x14ac:dyDescent="0.25">
      <c r="A98" s="83">
        <v>3534</v>
      </c>
      <c r="B98" s="76" t="s">
        <v>3715</v>
      </c>
      <c r="C98" s="77" t="s">
        <v>4114</v>
      </c>
      <c r="D98" s="77" t="s">
        <v>610</v>
      </c>
    </row>
    <row r="99" spans="1:4" x14ac:dyDescent="0.25">
      <c r="A99" s="83">
        <v>3502</v>
      </c>
      <c r="B99" s="76" t="s">
        <v>650</v>
      </c>
      <c r="C99" s="77" t="s">
        <v>4115</v>
      </c>
      <c r="D99" s="77" t="s">
        <v>610</v>
      </c>
    </row>
    <row r="100" spans="1:4" x14ac:dyDescent="0.25">
      <c r="A100" s="81">
        <v>3547</v>
      </c>
      <c r="B100" s="76" t="s">
        <v>3720</v>
      </c>
      <c r="C100" s="77"/>
      <c r="D100" s="77" t="s">
        <v>726</v>
      </c>
    </row>
    <row r="101" spans="1:4" x14ac:dyDescent="0.25">
      <c r="A101" s="81">
        <v>3548</v>
      </c>
      <c r="B101" s="76" t="s">
        <v>2735</v>
      </c>
      <c r="C101" s="77" t="s">
        <v>4116</v>
      </c>
      <c r="D101" s="77" t="s">
        <v>726</v>
      </c>
    </row>
    <row r="102" spans="1:4" x14ac:dyDescent="0.25">
      <c r="A102" s="81">
        <v>3527</v>
      </c>
      <c r="B102" s="76" t="s">
        <v>729</v>
      </c>
      <c r="C102" s="77" t="s">
        <v>4117</v>
      </c>
      <c r="D102" s="77" t="s">
        <v>726</v>
      </c>
    </row>
    <row r="103" spans="1:4" x14ac:dyDescent="0.25">
      <c r="A103" s="81">
        <v>3558</v>
      </c>
      <c r="B103" s="76" t="s">
        <v>3724</v>
      </c>
      <c r="C103" s="77"/>
      <c r="D103" s="77" t="s">
        <v>725</v>
      </c>
    </row>
    <row r="104" spans="1:4" x14ac:dyDescent="0.25">
      <c r="A104" s="81">
        <v>3352</v>
      </c>
      <c r="B104" s="76" t="s">
        <v>2736</v>
      </c>
      <c r="C104" s="77" t="s">
        <v>4118</v>
      </c>
      <c r="D104" s="77" t="s">
        <v>2737</v>
      </c>
    </row>
    <row r="105" spans="1:4" x14ac:dyDescent="0.25">
      <c r="A105" s="81">
        <v>3544</v>
      </c>
      <c r="B105" s="76" t="s">
        <v>2742</v>
      </c>
      <c r="C105" s="77" t="s">
        <v>4119</v>
      </c>
      <c r="D105" s="77" t="s">
        <v>725</v>
      </c>
    </row>
    <row r="106" spans="1:4" x14ac:dyDescent="0.25">
      <c r="A106" s="81">
        <v>3373</v>
      </c>
      <c r="B106" s="76" t="s">
        <v>3699</v>
      </c>
      <c r="C106" s="77" t="s">
        <v>4120</v>
      </c>
      <c r="D106" s="77" t="s">
        <v>2737</v>
      </c>
    </row>
    <row r="107" spans="1:4" x14ac:dyDescent="0.25">
      <c r="A107" s="81">
        <v>3375</v>
      </c>
      <c r="B107" s="76" t="s">
        <v>3701</v>
      </c>
      <c r="C107" s="77" t="s">
        <v>4121</v>
      </c>
      <c r="D107" s="77" t="s">
        <v>2737</v>
      </c>
    </row>
    <row r="108" spans="1:4" x14ac:dyDescent="0.25">
      <c r="A108" s="81">
        <v>3374</v>
      </c>
      <c r="B108" s="76" t="s">
        <v>3700</v>
      </c>
      <c r="C108" s="77" t="s">
        <v>4122</v>
      </c>
      <c r="D108" s="77" t="s">
        <v>2737</v>
      </c>
    </row>
    <row r="109" spans="1:4" x14ac:dyDescent="0.25">
      <c r="A109" s="81">
        <v>3535</v>
      </c>
      <c r="B109" s="76" t="s">
        <v>3716</v>
      </c>
      <c r="C109" s="77" t="s">
        <v>4123</v>
      </c>
      <c r="D109" s="77" t="s">
        <v>640</v>
      </c>
    </row>
    <row r="110" spans="1:4" x14ac:dyDescent="0.25">
      <c r="A110" s="81">
        <v>3358</v>
      </c>
      <c r="B110" s="76" t="s">
        <v>2739</v>
      </c>
      <c r="C110" s="77" t="s">
        <v>4124</v>
      </c>
      <c r="D110" s="77" t="s">
        <v>2737</v>
      </c>
    </row>
    <row r="111" spans="1:4" x14ac:dyDescent="0.25">
      <c r="A111" s="81">
        <v>3537</v>
      </c>
      <c r="B111" s="76" t="s">
        <v>3717</v>
      </c>
      <c r="C111" s="77" t="s">
        <v>4125</v>
      </c>
      <c r="D111" s="77" t="s">
        <v>4410</v>
      </c>
    </row>
    <row r="112" spans="1:4" x14ac:dyDescent="0.25">
      <c r="A112" s="81">
        <v>3525</v>
      </c>
      <c r="B112" s="76" t="s">
        <v>824</v>
      </c>
      <c r="C112" s="77" t="s">
        <v>4126</v>
      </c>
      <c r="D112" s="77" t="s">
        <v>726</v>
      </c>
    </row>
    <row r="113" spans="1:4" x14ac:dyDescent="0.25">
      <c r="A113" s="81">
        <v>3542</v>
      </c>
      <c r="B113" s="76" t="s">
        <v>2738</v>
      </c>
      <c r="C113" s="77" t="s">
        <v>4127</v>
      </c>
      <c r="D113" s="77" t="s">
        <v>2737</v>
      </c>
    </row>
    <row r="114" spans="1:4" x14ac:dyDescent="0.25">
      <c r="A114" s="81">
        <v>3388</v>
      </c>
      <c r="B114" s="76" t="s">
        <v>3704</v>
      </c>
      <c r="C114" s="77" t="s">
        <v>4128</v>
      </c>
      <c r="D114" s="77" t="s">
        <v>725</v>
      </c>
    </row>
    <row r="115" spans="1:4" x14ac:dyDescent="0.25">
      <c r="A115" s="81">
        <v>3556</v>
      </c>
      <c r="B115" s="76" t="s">
        <v>3722</v>
      </c>
      <c r="C115" s="77"/>
      <c r="D115" s="77" t="s">
        <v>725</v>
      </c>
    </row>
    <row r="116" spans="1:4" x14ac:dyDescent="0.25">
      <c r="A116" s="81">
        <v>3353</v>
      </c>
      <c r="B116" s="76" t="s">
        <v>2740</v>
      </c>
      <c r="C116" s="77" t="s">
        <v>4129</v>
      </c>
      <c r="D116" s="77" t="s">
        <v>2737</v>
      </c>
    </row>
    <row r="117" spans="1:4" x14ac:dyDescent="0.25">
      <c r="A117" s="81">
        <v>3529</v>
      </c>
      <c r="B117" s="76" t="s">
        <v>1020</v>
      </c>
      <c r="C117" s="77" t="s">
        <v>4130</v>
      </c>
      <c r="D117" s="77" t="s">
        <v>726</v>
      </c>
    </row>
    <row r="118" spans="1:4" x14ac:dyDescent="0.25">
      <c r="A118" s="81">
        <v>3545</v>
      </c>
      <c r="B118" s="76" t="s">
        <v>2741</v>
      </c>
      <c r="C118" s="77" t="s">
        <v>4131</v>
      </c>
      <c r="D118" s="77" t="s">
        <v>726</v>
      </c>
    </row>
    <row r="119" spans="1:4" x14ac:dyDescent="0.25">
      <c r="A119" s="81">
        <v>3557</v>
      </c>
      <c r="B119" s="76" t="s">
        <v>3723</v>
      </c>
      <c r="C119" s="77"/>
      <c r="D119" s="77" t="s">
        <v>725</v>
      </c>
    </row>
    <row r="120" spans="1:4" x14ac:dyDescent="0.25">
      <c r="A120" s="81">
        <v>3524</v>
      </c>
      <c r="B120" s="76" t="s">
        <v>3712</v>
      </c>
      <c r="C120" s="77" t="s">
        <v>4132</v>
      </c>
      <c r="D120" s="77" t="s">
        <v>726</v>
      </c>
    </row>
    <row r="121" spans="1:4" x14ac:dyDescent="0.25">
      <c r="A121" s="81">
        <v>3389</v>
      </c>
      <c r="B121" s="76" t="s">
        <v>3705</v>
      </c>
      <c r="C121" s="77" t="s">
        <v>3608</v>
      </c>
      <c r="D121" s="77" t="s">
        <v>725</v>
      </c>
    </row>
    <row r="122" spans="1:4" x14ac:dyDescent="0.25">
      <c r="A122" s="84">
        <v>3549</v>
      </c>
      <c r="B122" s="76"/>
      <c r="C122" s="77"/>
      <c r="D122" s="77" t="s">
        <v>750</v>
      </c>
    </row>
    <row r="123" spans="1:4" x14ac:dyDescent="0.25">
      <c r="A123" s="84">
        <v>3550</v>
      </c>
      <c r="B123" s="76" t="s">
        <v>3721</v>
      </c>
      <c r="C123" s="77" t="s">
        <v>4133</v>
      </c>
      <c r="D123" s="77" t="s">
        <v>750</v>
      </c>
    </row>
    <row r="124" spans="1:4" x14ac:dyDescent="0.25">
      <c r="A124" s="84">
        <v>3551</v>
      </c>
      <c r="B124" s="76" t="s">
        <v>1442</v>
      </c>
      <c r="C124" s="77" t="s">
        <v>4134</v>
      </c>
      <c r="D124" s="77" t="s">
        <v>750</v>
      </c>
    </row>
    <row r="125" spans="1:4" x14ac:dyDescent="0.25">
      <c r="A125" s="84">
        <v>3552</v>
      </c>
      <c r="B125" s="76" t="s">
        <v>753</v>
      </c>
      <c r="C125" s="77" t="s">
        <v>4135</v>
      </c>
      <c r="D125" s="77" t="s">
        <v>750</v>
      </c>
    </row>
    <row r="126" spans="1:4" x14ac:dyDescent="0.25">
      <c r="A126" s="84">
        <v>3553</v>
      </c>
      <c r="B126" s="76" t="s">
        <v>2698</v>
      </c>
      <c r="C126" s="77" t="s">
        <v>4136</v>
      </c>
      <c r="D126" s="77" t="s">
        <v>750</v>
      </c>
    </row>
    <row r="127" spans="1:4" x14ac:dyDescent="0.25">
      <c r="A127" s="84">
        <v>3554</v>
      </c>
      <c r="B127" s="76" t="s">
        <v>2697</v>
      </c>
      <c r="C127" s="77" t="s">
        <v>4137</v>
      </c>
      <c r="D127" s="77" t="s">
        <v>750</v>
      </c>
    </row>
    <row r="128" spans="1:4" x14ac:dyDescent="0.25">
      <c r="A128" s="84">
        <v>3569</v>
      </c>
      <c r="B128" s="76" t="s">
        <v>2743</v>
      </c>
      <c r="C128" s="77"/>
      <c r="D128" s="77" t="s">
        <v>750</v>
      </c>
    </row>
    <row r="129" spans="1:4" x14ac:dyDescent="0.25">
      <c r="A129" s="84">
        <v>3570</v>
      </c>
      <c r="B129" s="76" t="s">
        <v>3761</v>
      </c>
      <c r="C129" s="77"/>
      <c r="D129" s="77" t="s">
        <v>750</v>
      </c>
    </row>
    <row r="130" spans="1:4" x14ac:dyDescent="0.25">
      <c r="A130" s="87">
        <v>4402</v>
      </c>
      <c r="B130" s="76" t="s">
        <v>3762</v>
      </c>
      <c r="C130" s="77" t="s">
        <v>4138</v>
      </c>
      <c r="D130" s="68" t="s">
        <v>1022</v>
      </c>
    </row>
    <row r="131" spans="1:4" x14ac:dyDescent="0.25">
      <c r="A131" s="87">
        <v>4403</v>
      </c>
      <c r="B131" s="76" t="s">
        <v>771</v>
      </c>
      <c r="C131" s="77" t="s">
        <v>4139</v>
      </c>
      <c r="D131" s="68" t="s">
        <v>768</v>
      </c>
    </row>
    <row r="132" spans="1:4" x14ac:dyDescent="0.25">
      <c r="A132" s="87">
        <v>4404</v>
      </c>
      <c r="B132" s="76" t="s">
        <v>3729</v>
      </c>
      <c r="C132" s="77" t="s">
        <v>4140</v>
      </c>
    </row>
    <row r="133" spans="1:4" x14ac:dyDescent="0.25">
      <c r="A133" s="87">
        <v>4405</v>
      </c>
      <c r="B133" s="76"/>
      <c r="C133" s="77"/>
      <c r="D133" s="68" t="s">
        <v>1022</v>
      </c>
    </row>
    <row r="134" spans="1:4" x14ac:dyDescent="0.25">
      <c r="A134" s="87">
        <v>4406</v>
      </c>
      <c r="B134" s="76" t="s">
        <v>3763</v>
      </c>
      <c r="C134" s="77" t="s">
        <v>4141</v>
      </c>
      <c r="D134" s="68" t="s">
        <v>1022</v>
      </c>
    </row>
    <row r="135" spans="1:4" x14ac:dyDescent="0.25">
      <c r="A135" s="87">
        <v>4407</v>
      </c>
      <c r="B135" s="76" t="s">
        <v>3730</v>
      </c>
      <c r="C135" s="77" t="s">
        <v>4142</v>
      </c>
      <c r="D135" s="68" t="s">
        <v>1022</v>
      </c>
    </row>
    <row r="136" spans="1:4" x14ac:dyDescent="0.25">
      <c r="A136" s="87">
        <v>4408</v>
      </c>
      <c r="B136" s="76" t="s">
        <v>3731</v>
      </c>
      <c r="C136" s="77" t="s">
        <v>4143</v>
      </c>
      <c r="D136" s="68" t="s">
        <v>1022</v>
      </c>
    </row>
    <row r="137" spans="1:4" x14ac:dyDescent="0.25">
      <c r="A137" s="87">
        <v>4409</v>
      </c>
      <c r="B137" s="76" t="s">
        <v>2772</v>
      </c>
      <c r="C137" s="77"/>
      <c r="D137" s="68" t="s">
        <v>779</v>
      </c>
    </row>
    <row r="138" spans="1:4" x14ac:dyDescent="0.25">
      <c r="A138" s="87">
        <v>4410</v>
      </c>
      <c r="B138" s="76" t="s">
        <v>1440</v>
      </c>
      <c r="C138" s="77" t="s">
        <v>4144</v>
      </c>
      <c r="D138" s="68" t="s">
        <v>779</v>
      </c>
    </row>
    <row r="139" spans="1:4" x14ac:dyDescent="0.25">
      <c r="A139" s="87">
        <v>4411</v>
      </c>
      <c r="B139" s="76" t="s">
        <v>806</v>
      </c>
      <c r="C139" s="77" t="s">
        <v>4145</v>
      </c>
    </row>
    <row r="140" spans="1:4" x14ac:dyDescent="0.25">
      <c r="A140" s="87">
        <v>4412</v>
      </c>
      <c r="B140" s="76" t="s">
        <v>782</v>
      </c>
      <c r="C140" s="77" t="s">
        <v>4146</v>
      </c>
    </row>
    <row r="141" spans="1:4" x14ac:dyDescent="0.25">
      <c r="A141" s="87">
        <v>4413</v>
      </c>
      <c r="B141" s="76" t="s">
        <v>3732</v>
      </c>
      <c r="C141" s="77" t="s">
        <v>4147</v>
      </c>
    </row>
    <row r="142" spans="1:4" x14ac:dyDescent="0.25">
      <c r="A142" s="87">
        <v>4414</v>
      </c>
      <c r="B142" s="76" t="s">
        <v>2751</v>
      </c>
      <c r="C142" s="77" t="s">
        <v>4148</v>
      </c>
    </row>
    <row r="143" spans="1:4" x14ac:dyDescent="0.25">
      <c r="A143" s="87">
        <v>4415</v>
      </c>
      <c r="B143" s="76" t="s">
        <v>786</v>
      </c>
      <c r="C143" s="77" t="s">
        <v>4149</v>
      </c>
      <c r="D143" s="68" t="s">
        <v>768</v>
      </c>
    </row>
    <row r="144" spans="1:4" x14ac:dyDescent="0.25">
      <c r="A144" s="87">
        <v>4416</v>
      </c>
      <c r="B144" s="76" t="s">
        <v>788</v>
      </c>
      <c r="C144" s="77" t="s">
        <v>4150</v>
      </c>
    </row>
    <row r="145" spans="1:4" x14ac:dyDescent="0.25">
      <c r="A145" s="87">
        <v>4418</v>
      </c>
      <c r="B145" s="76"/>
      <c r="C145" s="77"/>
      <c r="D145" s="68" t="s">
        <v>792</v>
      </c>
    </row>
    <row r="146" spans="1:4" x14ac:dyDescent="0.25">
      <c r="A146" s="87">
        <v>4419</v>
      </c>
      <c r="B146" s="76"/>
      <c r="C146" s="77" t="s">
        <v>4151</v>
      </c>
    </row>
    <row r="147" spans="1:4" x14ac:dyDescent="0.25">
      <c r="A147" s="87">
        <v>4420</v>
      </c>
      <c r="B147" s="76" t="s">
        <v>3733</v>
      </c>
      <c r="C147" s="77" t="s">
        <v>4152</v>
      </c>
    </row>
    <row r="148" spans="1:4" x14ac:dyDescent="0.25">
      <c r="A148" s="87">
        <v>4421</v>
      </c>
      <c r="B148" s="76"/>
      <c r="C148" s="77"/>
      <c r="D148" s="68" t="s">
        <v>783</v>
      </c>
    </row>
    <row r="149" spans="1:4" x14ac:dyDescent="0.25">
      <c r="A149" s="87">
        <v>4422</v>
      </c>
      <c r="B149" s="76" t="s">
        <v>3764</v>
      </c>
      <c r="C149" s="77" t="s">
        <v>4153</v>
      </c>
    </row>
    <row r="150" spans="1:4" x14ac:dyDescent="0.25">
      <c r="A150" s="87">
        <v>4423</v>
      </c>
      <c r="B150" s="76" t="s">
        <v>795</v>
      </c>
      <c r="C150" s="77" t="s">
        <v>4154</v>
      </c>
      <c r="D150" s="68" t="s">
        <v>779</v>
      </c>
    </row>
    <row r="151" spans="1:4" x14ac:dyDescent="0.25">
      <c r="A151" s="87">
        <v>4424</v>
      </c>
      <c r="B151" s="76"/>
      <c r="C151" s="77"/>
      <c r="D151" s="68" t="s">
        <v>779</v>
      </c>
    </row>
    <row r="152" spans="1:4" x14ac:dyDescent="0.25">
      <c r="A152" s="87">
        <v>4427</v>
      </c>
      <c r="B152" s="76" t="s">
        <v>3734</v>
      </c>
      <c r="C152" s="77" t="s">
        <v>4155</v>
      </c>
    </row>
    <row r="153" spans="1:4" x14ac:dyDescent="0.25">
      <c r="A153" s="87">
        <v>4428</v>
      </c>
      <c r="B153" s="76" t="s">
        <v>2769</v>
      </c>
      <c r="C153" s="77" t="s">
        <v>4156</v>
      </c>
      <c r="D153" s="68" t="s">
        <v>798</v>
      </c>
    </row>
    <row r="154" spans="1:4" x14ac:dyDescent="0.25">
      <c r="A154" s="87">
        <v>4429</v>
      </c>
      <c r="B154" s="76"/>
      <c r="C154" s="77"/>
      <c r="D154" s="68" t="s">
        <v>798</v>
      </c>
    </row>
    <row r="155" spans="1:4" x14ac:dyDescent="0.25">
      <c r="A155" s="87">
        <v>4430</v>
      </c>
      <c r="B155" s="76"/>
      <c r="C155" s="77" t="s">
        <v>4157</v>
      </c>
      <c r="D155" s="68" t="s">
        <v>798</v>
      </c>
    </row>
    <row r="156" spans="1:4" x14ac:dyDescent="0.25">
      <c r="A156" s="87">
        <v>4431</v>
      </c>
      <c r="B156" s="76"/>
      <c r="C156" s="77" t="s">
        <v>4158</v>
      </c>
      <c r="D156" s="68" t="s">
        <v>798</v>
      </c>
    </row>
    <row r="157" spans="1:4" x14ac:dyDescent="0.25">
      <c r="A157" s="87">
        <v>4432</v>
      </c>
      <c r="B157" s="76" t="s">
        <v>3735</v>
      </c>
      <c r="C157" s="77" t="s">
        <v>4159</v>
      </c>
      <c r="D157" s="68" t="s">
        <v>1022</v>
      </c>
    </row>
    <row r="158" spans="1:4" x14ac:dyDescent="0.25">
      <c r="A158" s="87">
        <v>4433</v>
      </c>
      <c r="B158" s="76" t="s">
        <v>3203</v>
      </c>
      <c r="C158" s="77" t="s">
        <v>4160</v>
      </c>
    </row>
    <row r="159" spans="1:4" x14ac:dyDescent="0.25">
      <c r="A159" s="87">
        <v>4435</v>
      </c>
      <c r="B159" s="76" t="s">
        <v>2691</v>
      </c>
      <c r="C159" s="77" t="s">
        <v>4161</v>
      </c>
    </row>
    <row r="160" spans="1:4" x14ac:dyDescent="0.25">
      <c r="A160" s="87">
        <v>4436</v>
      </c>
      <c r="B160" s="76" t="s">
        <v>3736</v>
      </c>
      <c r="C160" s="77" t="s">
        <v>4162</v>
      </c>
    </row>
    <row r="161" spans="1:4" x14ac:dyDescent="0.25">
      <c r="A161" s="87">
        <v>4437</v>
      </c>
      <c r="B161" s="76"/>
      <c r="C161" s="77"/>
      <c r="D161" s="68" t="s">
        <v>792</v>
      </c>
    </row>
    <row r="162" spans="1:4" x14ac:dyDescent="0.25">
      <c r="A162" s="87">
        <v>4438</v>
      </c>
      <c r="B162" s="76"/>
      <c r="C162" s="77" t="s">
        <v>4163</v>
      </c>
    </row>
    <row r="163" spans="1:4" x14ac:dyDescent="0.25">
      <c r="A163" s="87">
        <v>4440</v>
      </c>
      <c r="B163" s="76"/>
      <c r="C163" s="77"/>
      <c r="D163" s="68" t="s">
        <v>798</v>
      </c>
    </row>
    <row r="164" spans="1:4" x14ac:dyDescent="0.25">
      <c r="A164" s="87">
        <v>4441</v>
      </c>
      <c r="B164" s="76" t="s">
        <v>3765</v>
      </c>
      <c r="C164" s="77" t="s">
        <v>4164</v>
      </c>
      <c r="D164" s="68" t="s">
        <v>798</v>
      </c>
    </row>
    <row r="165" spans="1:4" x14ac:dyDescent="0.25">
      <c r="A165" s="87">
        <v>4442</v>
      </c>
      <c r="B165" s="76" t="s">
        <v>812</v>
      </c>
      <c r="C165" s="77" t="s">
        <v>4165</v>
      </c>
      <c r="D165" s="68" t="s">
        <v>2756</v>
      </c>
    </row>
    <row r="166" spans="1:4" x14ac:dyDescent="0.25">
      <c r="A166" s="87">
        <v>4443</v>
      </c>
      <c r="B166" s="76" t="s">
        <v>3737</v>
      </c>
      <c r="C166" s="77" t="s">
        <v>4166</v>
      </c>
      <c r="D166" s="68" t="s">
        <v>2756</v>
      </c>
    </row>
    <row r="167" spans="1:4" x14ac:dyDescent="0.25">
      <c r="A167" s="87">
        <v>4444</v>
      </c>
      <c r="B167" s="76"/>
      <c r="C167" s="77"/>
      <c r="D167" s="68" t="s">
        <v>2756</v>
      </c>
    </row>
    <row r="168" spans="1:4" x14ac:dyDescent="0.25">
      <c r="A168" s="87">
        <v>4445</v>
      </c>
      <c r="B168" s="76"/>
      <c r="C168" s="77"/>
      <c r="D168" s="68" t="s">
        <v>2756</v>
      </c>
    </row>
    <row r="169" spans="1:4" x14ac:dyDescent="0.25">
      <c r="A169" s="87">
        <v>4447</v>
      </c>
      <c r="B169" s="76" t="s">
        <v>2692</v>
      </c>
      <c r="C169" s="77"/>
      <c r="D169" s="68" t="s">
        <v>2756</v>
      </c>
    </row>
    <row r="170" spans="1:4" x14ac:dyDescent="0.25">
      <c r="A170" s="87">
        <v>4448</v>
      </c>
      <c r="B170" s="76" t="s">
        <v>3766</v>
      </c>
      <c r="C170" s="77" t="s">
        <v>4167</v>
      </c>
      <c r="D170" s="68" t="s">
        <v>2756</v>
      </c>
    </row>
    <row r="171" spans="1:4" x14ac:dyDescent="0.25">
      <c r="A171" s="87">
        <v>4449</v>
      </c>
      <c r="B171" s="76" t="s">
        <v>3738</v>
      </c>
      <c r="C171" s="77" t="s">
        <v>4168</v>
      </c>
      <c r="D171" s="68" t="s">
        <v>2756</v>
      </c>
    </row>
    <row r="172" spans="1:4" x14ac:dyDescent="0.25">
      <c r="A172" s="87">
        <v>4450</v>
      </c>
      <c r="B172" s="76" t="s">
        <v>2761</v>
      </c>
      <c r="C172" s="77"/>
      <c r="D172" s="68" t="s">
        <v>768</v>
      </c>
    </row>
    <row r="173" spans="1:4" x14ac:dyDescent="0.25">
      <c r="A173" s="87">
        <v>4451</v>
      </c>
      <c r="B173" s="76"/>
      <c r="C173" s="77"/>
      <c r="D173" s="68" t="s">
        <v>768</v>
      </c>
    </row>
    <row r="174" spans="1:4" x14ac:dyDescent="0.25">
      <c r="A174" s="87">
        <v>4452</v>
      </c>
      <c r="B174" s="76" t="s">
        <v>3739</v>
      </c>
      <c r="C174" s="77" t="s">
        <v>4169</v>
      </c>
      <c r="D174" s="68" t="s">
        <v>768</v>
      </c>
    </row>
    <row r="175" spans="1:4" x14ac:dyDescent="0.25">
      <c r="A175" s="87">
        <v>4453</v>
      </c>
      <c r="B175" s="76" t="s">
        <v>3193</v>
      </c>
      <c r="C175" s="77" t="s">
        <v>4170</v>
      </c>
      <c r="D175" s="68" t="s">
        <v>768</v>
      </c>
    </row>
    <row r="176" spans="1:4" x14ac:dyDescent="0.25">
      <c r="A176" s="87">
        <v>4454</v>
      </c>
      <c r="B176" s="76" t="s">
        <v>3767</v>
      </c>
      <c r="C176" s="77" t="s">
        <v>4171</v>
      </c>
      <c r="D176" s="68" t="s">
        <v>779</v>
      </c>
    </row>
    <row r="177" spans="1:4" x14ac:dyDescent="0.25">
      <c r="A177" s="87">
        <v>4455</v>
      </c>
      <c r="B177" s="76" t="s">
        <v>3740</v>
      </c>
      <c r="C177" s="77" t="s">
        <v>4172</v>
      </c>
      <c r="D177" s="68" t="s">
        <v>779</v>
      </c>
    </row>
    <row r="178" spans="1:4" x14ac:dyDescent="0.25">
      <c r="A178" s="87">
        <v>4456</v>
      </c>
      <c r="B178" s="76" t="s">
        <v>2690</v>
      </c>
      <c r="C178" s="77" t="s">
        <v>4173</v>
      </c>
    </row>
    <row r="179" spans="1:4" x14ac:dyDescent="0.25">
      <c r="A179" s="87">
        <v>4457</v>
      </c>
      <c r="B179" s="76" t="s">
        <v>3741</v>
      </c>
      <c r="C179" s="77" t="s">
        <v>4174</v>
      </c>
      <c r="D179" s="68" t="s">
        <v>798</v>
      </c>
    </row>
    <row r="180" spans="1:4" x14ac:dyDescent="0.25">
      <c r="A180" s="87">
        <v>4458</v>
      </c>
      <c r="B180" s="76" t="s">
        <v>2764</v>
      </c>
      <c r="C180" s="77" t="s">
        <v>4175</v>
      </c>
      <c r="D180" s="68" t="s">
        <v>1022</v>
      </c>
    </row>
    <row r="181" spans="1:4" x14ac:dyDescent="0.25">
      <c r="A181" s="87">
        <v>4459</v>
      </c>
      <c r="B181" s="76"/>
      <c r="C181" s="77"/>
      <c r="D181" s="68" t="s">
        <v>1022</v>
      </c>
    </row>
    <row r="182" spans="1:4" x14ac:dyDescent="0.25">
      <c r="A182" s="87">
        <v>4460</v>
      </c>
      <c r="B182" s="76"/>
      <c r="C182" s="77" t="s">
        <v>4176</v>
      </c>
      <c r="D182" s="68" t="s">
        <v>2765</v>
      </c>
    </row>
    <row r="183" spans="1:4" x14ac:dyDescent="0.25">
      <c r="A183" s="87">
        <v>4461</v>
      </c>
      <c r="B183" s="76"/>
      <c r="C183" s="77"/>
      <c r="D183" s="68" t="s">
        <v>2765</v>
      </c>
    </row>
    <row r="184" spans="1:4" x14ac:dyDescent="0.25">
      <c r="A184" s="87">
        <v>4462</v>
      </c>
      <c r="B184" s="76" t="s">
        <v>3742</v>
      </c>
      <c r="C184" s="77" t="s">
        <v>4177</v>
      </c>
    </row>
    <row r="185" spans="1:4" x14ac:dyDescent="0.25">
      <c r="A185" s="87">
        <v>4463</v>
      </c>
      <c r="B185" s="76" t="s">
        <v>826</v>
      </c>
      <c r="C185" s="77"/>
      <c r="D185" s="68" t="s">
        <v>2756</v>
      </c>
    </row>
    <row r="186" spans="1:4" x14ac:dyDescent="0.25">
      <c r="A186" s="87">
        <v>4464</v>
      </c>
      <c r="B186" s="76" t="s">
        <v>836</v>
      </c>
      <c r="C186" s="77" t="s">
        <v>4178</v>
      </c>
      <c r="D186" s="68" t="s">
        <v>2765</v>
      </c>
    </row>
    <row r="187" spans="1:4" x14ac:dyDescent="0.25">
      <c r="A187" s="87">
        <v>4465</v>
      </c>
      <c r="B187" s="76"/>
      <c r="C187" s="77" t="s">
        <v>4179</v>
      </c>
      <c r="D187" s="68" t="s">
        <v>829</v>
      </c>
    </row>
    <row r="188" spans="1:4" x14ac:dyDescent="0.25">
      <c r="A188" s="87">
        <v>4466</v>
      </c>
      <c r="B188" s="76"/>
      <c r="C188" s="77"/>
      <c r="D188" s="68" t="s">
        <v>829</v>
      </c>
    </row>
    <row r="189" spans="1:4" x14ac:dyDescent="0.25">
      <c r="A189" s="87">
        <v>4467</v>
      </c>
      <c r="B189" s="76" t="s">
        <v>3743</v>
      </c>
      <c r="C189" s="77" t="s">
        <v>4180</v>
      </c>
      <c r="D189" s="68" t="s">
        <v>829</v>
      </c>
    </row>
    <row r="190" spans="1:4" x14ac:dyDescent="0.25">
      <c r="A190" s="87">
        <v>4468</v>
      </c>
      <c r="B190" s="76" t="s">
        <v>3744</v>
      </c>
      <c r="C190" s="77" t="s">
        <v>4181</v>
      </c>
      <c r="D190" s="68" t="s">
        <v>829</v>
      </c>
    </row>
    <row r="191" spans="1:4" x14ac:dyDescent="0.25">
      <c r="A191" s="87">
        <v>4469</v>
      </c>
      <c r="B191" s="76"/>
      <c r="C191" s="77"/>
      <c r="D191" s="68" t="s">
        <v>2765</v>
      </c>
    </row>
    <row r="192" spans="1:4" x14ac:dyDescent="0.25">
      <c r="A192" s="87">
        <v>4470</v>
      </c>
      <c r="B192" s="76" t="s">
        <v>3745</v>
      </c>
      <c r="C192" s="77" t="s">
        <v>4182</v>
      </c>
      <c r="D192" s="68" t="s">
        <v>2765</v>
      </c>
    </row>
    <row r="193" spans="1:4" x14ac:dyDescent="0.25">
      <c r="A193" s="87">
        <v>4471</v>
      </c>
      <c r="B193" s="76"/>
      <c r="C193" s="77"/>
      <c r="D193" s="68" t="s">
        <v>2765</v>
      </c>
    </row>
    <row r="194" spans="1:4" x14ac:dyDescent="0.25">
      <c r="A194" s="87">
        <v>4472</v>
      </c>
      <c r="B194" s="76" t="s">
        <v>3746</v>
      </c>
      <c r="C194" s="77" t="s">
        <v>4183</v>
      </c>
      <c r="D194" s="68" t="s">
        <v>798</v>
      </c>
    </row>
    <row r="195" spans="1:4" x14ac:dyDescent="0.25">
      <c r="A195" s="87">
        <v>4473</v>
      </c>
      <c r="B195" s="76" t="s">
        <v>3747</v>
      </c>
      <c r="C195" s="77" t="s">
        <v>4184</v>
      </c>
      <c r="D195" s="68" t="s">
        <v>798</v>
      </c>
    </row>
    <row r="196" spans="1:4" x14ac:dyDescent="0.25">
      <c r="A196" s="87">
        <v>4474</v>
      </c>
      <c r="B196" s="76" t="s">
        <v>840</v>
      </c>
      <c r="C196" s="77" t="s">
        <v>4185</v>
      </c>
      <c r="D196" s="68" t="s">
        <v>779</v>
      </c>
    </row>
    <row r="197" spans="1:4" x14ac:dyDescent="0.25">
      <c r="A197" s="87">
        <v>4475</v>
      </c>
      <c r="B197" s="76" t="s">
        <v>3748</v>
      </c>
      <c r="C197" s="77" t="s">
        <v>4186</v>
      </c>
      <c r="D197" s="68" t="s">
        <v>779</v>
      </c>
    </row>
    <row r="198" spans="1:4" x14ac:dyDescent="0.25">
      <c r="A198" s="87">
        <v>2340</v>
      </c>
      <c r="B198" s="76"/>
      <c r="C198" s="77"/>
      <c r="D198" s="68" t="s">
        <v>2937</v>
      </c>
    </row>
    <row r="199" spans="1:4" x14ac:dyDescent="0.25">
      <c r="A199" s="87">
        <v>2339</v>
      </c>
      <c r="B199" s="76" t="s">
        <v>896</v>
      </c>
      <c r="C199" s="77" t="s">
        <v>4187</v>
      </c>
      <c r="D199" s="68" t="s">
        <v>4411</v>
      </c>
    </row>
    <row r="200" spans="1:4" x14ac:dyDescent="0.25">
      <c r="A200" s="87">
        <v>4478</v>
      </c>
      <c r="B200" s="76"/>
      <c r="C200" s="77"/>
      <c r="D200" s="68" t="s">
        <v>779</v>
      </c>
    </row>
    <row r="201" spans="1:4" x14ac:dyDescent="0.25">
      <c r="A201" s="87">
        <v>4479</v>
      </c>
      <c r="B201" s="76" t="s">
        <v>3749</v>
      </c>
      <c r="C201" s="77" t="s">
        <v>4188</v>
      </c>
      <c r="D201" s="68" t="s">
        <v>829</v>
      </c>
    </row>
    <row r="202" spans="1:4" x14ac:dyDescent="0.25">
      <c r="A202" s="87">
        <v>4480</v>
      </c>
      <c r="B202" s="76" t="s">
        <v>3750</v>
      </c>
      <c r="C202" s="77" t="s">
        <v>4189</v>
      </c>
      <c r="D202" s="68" t="s">
        <v>829</v>
      </c>
    </row>
    <row r="203" spans="1:4" x14ac:dyDescent="0.25">
      <c r="A203" s="87">
        <v>4481</v>
      </c>
      <c r="B203" s="76"/>
      <c r="C203" s="77"/>
      <c r="D203" s="68" t="s">
        <v>829</v>
      </c>
    </row>
    <row r="204" spans="1:4" x14ac:dyDescent="0.25">
      <c r="A204" s="87">
        <v>4482</v>
      </c>
      <c r="B204" s="76" t="s">
        <v>3751</v>
      </c>
      <c r="C204" s="77" t="s">
        <v>4190</v>
      </c>
      <c r="D204" s="68" t="s">
        <v>829</v>
      </c>
    </row>
    <row r="205" spans="1:4" x14ac:dyDescent="0.25">
      <c r="A205" s="87">
        <v>4483</v>
      </c>
      <c r="B205" s="76" t="s">
        <v>845</v>
      </c>
      <c r="C205" s="77" t="s">
        <v>4191</v>
      </c>
      <c r="D205" s="68" t="s">
        <v>829</v>
      </c>
    </row>
    <row r="206" spans="1:4" x14ac:dyDescent="0.25">
      <c r="A206" s="87">
        <v>4484</v>
      </c>
      <c r="B206" s="76"/>
      <c r="C206" s="77"/>
      <c r="D206" s="68" t="s">
        <v>829</v>
      </c>
    </row>
    <row r="207" spans="1:4" x14ac:dyDescent="0.25">
      <c r="A207" s="87">
        <v>4485</v>
      </c>
      <c r="B207" s="76"/>
      <c r="C207" s="77"/>
      <c r="D207" s="68" t="s">
        <v>779</v>
      </c>
    </row>
    <row r="208" spans="1:4" x14ac:dyDescent="0.25">
      <c r="A208" s="87">
        <v>2341</v>
      </c>
      <c r="B208" s="76" t="s">
        <v>3752</v>
      </c>
      <c r="C208" s="77" t="s">
        <v>4192</v>
      </c>
      <c r="D208" s="68" t="s">
        <v>4411</v>
      </c>
    </row>
    <row r="209" spans="1:4" x14ac:dyDescent="0.25">
      <c r="A209" s="87">
        <v>2342</v>
      </c>
      <c r="B209" s="76"/>
      <c r="C209" s="77"/>
      <c r="D209" s="68" t="s">
        <v>2937</v>
      </c>
    </row>
    <row r="210" spans="1:4" x14ac:dyDescent="0.25">
      <c r="A210" s="87">
        <v>2344</v>
      </c>
      <c r="B210" s="76" t="s">
        <v>777</v>
      </c>
      <c r="C210" s="77"/>
      <c r="D210" s="68" t="s">
        <v>4411</v>
      </c>
    </row>
    <row r="211" spans="1:4" x14ac:dyDescent="0.25">
      <c r="A211" s="87">
        <v>2343</v>
      </c>
      <c r="B211" s="76" t="s">
        <v>3768</v>
      </c>
      <c r="C211" s="77" t="s">
        <v>4193</v>
      </c>
      <c r="D211" s="68" t="s">
        <v>4411</v>
      </c>
    </row>
    <row r="212" spans="1:4" x14ac:dyDescent="0.25">
      <c r="A212" s="87">
        <v>4490</v>
      </c>
      <c r="B212" s="76" t="s">
        <v>1024</v>
      </c>
      <c r="C212" s="77" t="s">
        <v>4194</v>
      </c>
      <c r="D212" s="68" t="s">
        <v>2756</v>
      </c>
    </row>
    <row r="213" spans="1:4" x14ac:dyDescent="0.25">
      <c r="A213" s="87">
        <v>4491</v>
      </c>
      <c r="B213" s="76" t="s">
        <v>3769</v>
      </c>
      <c r="C213" s="77" t="s">
        <v>4195</v>
      </c>
      <c r="D213" s="68" t="s">
        <v>798</v>
      </c>
    </row>
    <row r="214" spans="1:4" x14ac:dyDescent="0.25">
      <c r="A214" s="87">
        <v>4492</v>
      </c>
      <c r="B214" s="76"/>
      <c r="C214" s="77"/>
      <c r="D214" s="68" t="s">
        <v>1022</v>
      </c>
    </row>
    <row r="215" spans="1:4" x14ac:dyDescent="0.25">
      <c r="A215" s="87">
        <v>4493</v>
      </c>
      <c r="B215" s="76" t="s">
        <v>3770</v>
      </c>
      <c r="C215" s="77" t="s">
        <v>4196</v>
      </c>
      <c r="D215" s="71" t="s">
        <v>4412</v>
      </c>
    </row>
    <row r="216" spans="1:4" x14ac:dyDescent="0.25">
      <c r="A216" s="87">
        <v>4494</v>
      </c>
      <c r="B216" s="76"/>
      <c r="C216" s="77"/>
      <c r="D216" s="68" t="s">
        <v>2937</v>
      </c>
    </row>
    <row r="217" spans="1:4" x14ac:dyDescent="0.25">
      <c r="A217" s="87">
        <v>4495</v>
      </c>
      <c r="B217" s="76" t="s">
        <v>2695</v>
      </c>
      <c r="C217" s="77"/>
      <c r="D217" s="68" t="s">
        <v>2937</v>
      </c>
    </row>
    <row r="218" spans="1:4" x14ac:dyDescent="0.25">
      <c r="A218" s="87">
        <v>4496</v>
      </c>
      <c r="B218" s="76" t="s">
        <v>3771</v>
      </c>
      <c r="C218" s="77" t="s">
        <v>4197</v>
      </c>
      <c r="D218" s="68" t="s">
        <v>2937</v>
      </c>
    </row>
    <row r="219" spans="1:4" x14ac:dyDescent="0.25">
      <c r="A219" s="87">
        <v>4497</v>
      </c>
      <c r="B219" s="76"/>
      <c r="C219" s="77"/>
      <c r="D219" s="68" t="s">
        <v>829</v>
      </c>
    </row>
    <row r="220" spans="1:4" x14ac:dyDescent="0.25">
      <c r="A220" s="87">
        <v>4498</v>
      </c>
      <c r="B220" s="76" t="s">
        <v>3772</v>
      </c>
      <c r="C220" s="77" t="s">
        <v>4198</v>
      </c>
      <c r="D220" s="68" t="s">
        <v>829</v>
      </c>
    </row>
    <row r="221" spans="1:4" x14ac:dyDescent="0.25">
      <c r="A221" s="87">
        <v>4499</v>
      </c>
      <c r="B221" s="76" t="s">
        <v>2694</v>
      </c>
      <c r="C221" s="77" t="s">
        <v>4199</v>
      </c>
      <c r="D221" s="68" t="s">
        <v>829</v>
      </c>
    </row>
    <row r="222" spans="1:4" x14ac:dyDescent="0.25">
      <c r="A222" s="88">
        <v>2203</v>
      </c>
      <c r="B222" s="76" t="s">
        <v>2812</v>
      </c>
      <c r="C222" s="77" t="s">
        <v>4200</v>
      </c>
      <c r="D222" s="68" t="s">
        <v>2784</v>
      </c>
    </row>
    <row r="223" spans="1:4" x14ac:dyDescent="0.25">
      <c r="A223" s="88">
        <v>2204</v>
      </c>
      <c r="B223" s="76" t="s">
        <v>878</v>
      </c>
      <c r="C223" s="77" t="s">
        <v>4201</v>
      </c>
      <c r="D223" s="68" t="s">
        <v>2784</v>
      </c>
    </row>
    <row r="224" spans="1:4" x14ac:dyDescent="0.25">
      <c r="A224" s="88">
        <v>2206</v>
      </c>
      <c r="B224" s="76" t="s">
        <v>3759</v>
      </c>
      <c r="C224" s="77" t="s">
        <v>4202</v>
      </c>
      <c r="D224" s="68" t="s">
        <v>2784</v>
      </c>
    </row>
    <row r="225" spans="1:4" x14ac:dyDescent="0.25">
      <c r="A225" s="88">
        <v>2207</v>
      </c>
      <c r="B225" s="76"/>
      <c r="C225" s="77"/>
      <c r="D225" s="68" t="s">
        <v>2784</v>
      </c>
    </row>
    <row r="226" spans="1:4" x14ac:dyDescent="0.25">
      <c r="A226" s="88">
        <v>2208</v>
      </c>
      <c r="B226" s="76" t="s">
        <v>2696</v>
      </c>
      <c r="C226" s="77" t="s">
        <v>4203</v>
      </c>
      <c r="D226" s="71" t="s">
        <v>2784</v>
      </c>
    </row>
    <row r="227" spans="1:4" x14ac:dyDescent="0.25">
      <c r="A227" s="88">
        <v>2209</v>
      </c>
      <c r="B227" s="76"/>
      <c r="C227" s="77"/>
      <c r="D227" s="68" t="s">
        <v>2782</v>
      </c>
    </row>
    <row r="228" spans="1:4" x14ac:dyDescent="0.25">
      <c r="A228" s="88">
        <v>2210</v>
      </c>
      <c r="B228" s="76" t="s">
        <v>2688</v>
      </c>
      <c r="C228" s="77" t="s">
        <v>4204</v>
      </c>
      <c r="D228" s="68" t="s">
        <v>905</v>
      </c>
    </row>
    <row r="229" spans="1:4" x14ac:dyDescent="0.25">
      <c r="A229" s="88">
        <v>2211</v>
      </c>
      <c r="B229" s="76"/>
      <c r="C229" s="77"/>
      <c r="D229" s="68" t="s">
        <v>2784</v>
      </c>
    </row>
    <row r="230" spans="1:4" ht="15.75" thickBot="1" x14ac:dyDescent="0.3">
      <c r="A230" s="88">
        <v>2212</v>
      </c>
      <c r="B230" s="76" t="s">
        <v>3636</v>
      </c>
      <c r="C230" s="77" t="s">
        <v>4205</v>
      </c>
      <c r="D230" s="101" t="s">
        <v>3023</v>
      </c>
    </row>
    <row r="231" spans="1:4" x14ac:dyDescent="0.25">
      <c r="A231" s="88">
        <v>2213</v>
      </c>
      <c r="B231" s="76" t="s">
        <v>2790</v>
      </c>
      <c r="C231" s="77" t="s">
        <v>4206</v>
      </c>
      <c r="D231" s="68" t="s">
        <v>905</v>
      </c>
    </row>
    <row r="232" spans="1:4" ht="15.75" thickBot="1" x14ac:dyDescent="0.3">
      <c r="A232" s="88">
        <v>2214</v>
      </c>
      <c r="B232" s="76" t="s">
        <v>3024</v>
      </c>
      <c r="C232" s="77" t="s">
        <v>4207</v>
      </c>
      <c r="D232" s="101" t="s">
        <v>3022</v>
      </c>
    </row>
    <row r="233" spans="1:4" ht="15.75" thickBot="1" x14ac:dyDescent="0.3">
      <c r="A233" s="88">
        <v>2215</v>
      </c>
      <c r="B233" s="76" t="s">
        <v>2693</v>
      </c>
      <c r="C233" s="77" t="s">
        <v>4207</v>
      </c>
      <c r="D233" s="101" t="s">
        <v>3022</v>
      </c>
    </row>
    <row r="234" spans="1:4" x14ac:dyDescent="0.25">
      <c r="A234" s="88">
        <v>2216</v>
      </c>
      <c r="B234" s="76"/>
      <c r="C234" s="77"/>
      <c r="D234" s="68" t="s">
        <v>2783</v>
      </c>
    </row>
    <row r="235" spans="1:4" x14ac:dyDescent="0.25">
      <c r="A235" s="88">
        <v>2218</v>
      </c>
      <c r="B235" s="76" t="s">
        <v>3637</v>
      </c>
      <c r="C235" s="77" t="s">
        <v>4208</v>
      </c>
      <c r="D235" s="68" t="s">
        <v>2784</v>
      </c>
    </row>
    <row r="236" spans="1:4" x14ac:dyDescent="0.25">
      <c r="A236" s="88">
        <v>2219</v>
      </c>
      <c r="B236" s="76" t="s">
        <v>2836</v>
      </c>
      <c r="C236" s="77" t="s">
        <v>4209</v>
      </c>
      <c r="D236" s="68" t="s">
        <v>905</v>
      </c>
    </row>
    <row r="237" spans="1:4" x14ac:dyDescent="0.25">
      <c r="A237" s="88">
        <v>2220</v>
      </c>
      <c r="B237" s="76" t="s">
        <v>3638</v>
      </c>
      <c r="C237" s="77" t="s">
        <v>4210</v>
      </c>
      <c r="D237" s="68" t="s">
        <v>905</v>
      </c>
    </row>
    <row r="238" spans="1:4" x14ac:dyDescent="0.25">
      <c r="A238" s="128">
        <v>2221</v>
      </c>
      <c r="B238" s="133" t="s">
        <v>964</v>
      </c>
      <c r="C238" s="132" t="s">
        <v>4211</v>
      </c>
      <c r="D238" s="131" t="s">
        <v>4415</v>
      </c>
    </row>
    <row r="239" spans="1:4" ht="15.75" thickBot="1" x14ac:dyDescent="0.3">
      <c r="A239" s="88">
        <v>2222</v>
      </c>
      <c r="B239" s="76" t="s">
        <v>3639</v>
      </c>
      <c r="C239" s="77" t="s">
        <v>4212</v>
      </c>
      <c r="D239" s="101" t="s">
        <v>3022</v>
      </c>
    </row>
    <row r="240" spans="1:4" x14ac:dyDescent="0.25">
      <c r="A240" s="88">
        <v>2223</v>
      </c>
      <c r="B240" s="76"/>
      <c r="C240" s="77" t="s">
        <v>4213</v>
      </c>
      <c r="D240" s="68" t="s">
        <v>955</v>
      </c>
    </row>
    <row r="241" spans="1:4" x14ac:dyDescent="0.25">
      <c r="A241" s="88">
        <v>2224</v>
      </c>
      <c r="B241" s="76" t="s">
        <v>2701</v>
      </c>
      <c r="C241" s="77" t="s">
        <v>4214</v>
      </c>
      <c r="D241" s="68" t="s">
        <v>955</v>
      </c>
    </row>
    <row r="242" spans="1:4" x14ac:dyDescent="0.25">
      <c r="A242" s="88">
        <v>2225</v>
      </c>
      <c r="B242" s="76" t="s">
        <v>973</v>
      </c>
      <c r="C242" s="77" t="s">
        <v>4215</v>
      </c>
      <c r="D242" s="68" t="s">
        <v>955</v>
      </c>
    </row>
    <row r="243" spans="1:4" ht="15.75" thickBot="1" x14ac:dyDescent="0.3">
      <c r="A243" s="88">
        <v>2226</v>
      </c>
      <c r="B243" s="76" t="s">
        <v>3640</v>
      </c>
      <c r="C243" s="77" t="s">
        <v>4216</v>
      </c>
      <c r="D243" s="101" t="s">
        <v>3022</v>
      </c>
    </row>
    <row r="244" spans="1:4" x14ac:dyDescent="0.25">
      <c r="A244" s="128">
        <v>2227</v>
      </c>
      <c r="B244" s="133" t="s">
        <v>971</v>
      </c>
      <c r="C244" s="132" t="s">
        <v>4217</v>
      </c>
      <c r="D244" s="131" t="s">
        <v>4415</v>
      </c>
    </row>
    <row r="245" spans="1:4" x14ac:dyDescent="0.25">
      <c r="A245" s="88">
        <v>2228</v>
      </c>
      <c r="B245" s="76" t="s">
        <v>3641</v>
      </c>
      <c r="C245" s="77" t="s">
        <v>4218</v>
      </c>
      <c r="D245" s="68" t="s">
        <v>977</v>
      </c>
    </row>
    <row r="246" spans="1:4" x14ac:dyDescent="0.25">
      <c r="A246" s="88">
        <v>2229</v>
      </c>
      <c r="B246" s="76" t="s">
        <v>985</v>
      </c>
      <c r="C246" s="77" t="s">
        <v>4219</v>
      </c>
      <c r="D246" s="68" t="s">
        <v>977</v>
      </c>
    </row>
    <row r="247" spans="1:4" x14ac:dyDescent="0.25">
      <c r="A247" s="88">
        <v>2231</v>
      </c>
      <c r="B247" s="76" t="s">
        <v>3642</v>
      </c>
      <c r="C247" s="77" t="s">
        <v>4220</v>
      </c>
      <c r="D247" s="68" t="s">
        <v>977</v>
      </c>
    </row>
    <row r="248" spans="1:4" x14ac:dyDescent="0.25">
      <c r="A248" s="128">
        <v>2232</v>
      </c>
      <c r="B248" s="133" t="s">
        <v>4416</v>
      </c>
      <c r="C248" s="125" t="s">
        <v>4221</v>
      </c>
      <c r="D248" s="131" t="s">
        <v>4415</v>
      </c>
    </row>
    <row r="249" spans="1:4" x14ac:dyDescent="0.25">
      <c r="A249" s="88">
        <v>2234</v>
      </c>
      <c r="B249" s="76" t="s">
        <v>1004</v>
      </c>
      <c r="C249" s="77" t="s">
        <v>4222</v>
      </c>
      <c r="D249" s="68" t="s">
        <v>977</v>
      </c>
    </row>
    <row r="250" spans="1:4" x14ac:dyDescent="0.25">
      <c r="A250" s="128">
        <v>2235</v>
      </c>
      <c r="B250" s="130" t="s">
        <v>3643</v>
      </c>
      <c r="C250" s="132" t="s">
        <v>4223</v>
      </c>
      <c r="D250" s="131" t="s">
        <v>4415</v>
      </c>
    </row>
    <row r="251" spans="1:4" x14ac:dyDescent="0.25">
      <c r="A251" s="88">
        <v>2238</v>
      </c>
      <c r="B251" s="76" t="s">
        <v>2803</v>
      </c>
      <c r="C251" s="77" t="s">
        <v>4224</v>
      </c>
      <c r="D251" s="68" t="s">
        <v>880</v>
      </c>
    </row>
    <row r="252" spans="1:4" x14ac:dyDescent="0.25">
      <c r="A252" s="88">
        <v>2239</v>
      </c>
      <c r="B252" s="76" t="s">
        <v>3644</v>
      </c>
      <c r="C252" s="77" t="s">
        <v>4225</v>
      </c>
      <c r="D252" s="68" t="s">
        <v>880</v>
      </c>
    </row>
    <row r="253" spans="1:4" x14ac:dyDescent="0.25">
      <c r="A253" s="88">
        <v>2240</v>
      </c>
      <c r="B253" s="76" t="s">
        <v>3760</v>
      </c>
      <c r="C253" s="77" t="s">
        <v>4226</v>
      </c>
      <c r="D253" s="68" t="s">
        <v>2784</v>
      </c>
    </row>
    <row r="254" spans="1:4" x14ac:dyDescent="0.25">
      <c r="A254" s="88">
        <v>2242</v>
      </c>
      <c r="B254" s="76" t="s">
        <v>3645</v>
      </c>
      <c r="C254" s="77" t="s">
        <v>4227</v>
      </c>
      <c r="D254" s="68" t="s">
        <v>2784</v>
      </c>
    </row>
    <row r="255" spans="1:4" ht="15.75" thickBot="1" x14ac:dyDescent="0.3">
      <c r="A255" s="88">
        <v>2243</v>
      </c>
      <c r="B255" s="76" t="s">
        <v>910</v>
      </c>
      <c r="C255" s="77" t="s">
        <v>4228</v>
      </c>
      <c r="D255" s="118" t="s">
        <v>2805</v>
      </c>
    </row>
    <row r="256" spans="1:4" x14ac:dyDescent="0.25">
      <c r="A256" s="88">
        <v>2245</v>
      </c>
      <c r="B256" s="76" t="s">
        <v>3646</v>
      </c>
      <c r="C256" s="77" t="s">
        <v>4229</v>
      </c>
      <c r="D256" s="68" t="s">
        <v>2783</v>
      </c>
    </row>
    <row r="257" spans="1:4" x14ac:dyDescent="0.25">
      <c r="A257" s="88">
        <v>2246</v>
      </c>
      <c r="B257" s="76" t="s">
        <v>3647</v>
      </c>
      <c r="C257" s="77" t="s">
        <v>4230</v>
      </c>
      <c r="D257" s="68" t="s">
        <v>2783</v>
      </c>
    </row>
    <row r="258" spans="1:4" x14ac:dyDescent="0.25">
      <c r="A258" s="88">
        <v>2248</v>
      </c>
      <c r="B258" s="76" t="s">
        <v>3648</v>
      </c>
      <c r="C258" s="77" t="s">
        <v>4231</v>
      </c>
      <c r="D258" s="68" t="s">
        <v>2783</v>
      </c>
    </row>
    <row r="259" spans="1:4" x14ac:dyDescent="0.25">
      <c r="A259" s="88">
        <v>2249</v>
      </c>
      <c r="B259" s="76" t="s">
        <v>3649</v>
      </c>
      <c r="C259" s="77" t="s">
        <v>4232</v>
      </c>
      <c r="D259" s="68" t="s">
        <v>905</v>
      </c>
    </row>
    <row r="260" spans="1:4" x14ac:dyDescent="0.25">
      <c r="A260" s="88">
        <v>2251</v>
      </c>
      <c r="B260" s="76" t="s">
        <v>994</v>
      </c>
      <c r="C260" s="71" t="s">
        <v>4413</v>
      </c>
      <c r="D260" s="71" t="s">
        <v>4414</v>
      </c>
    </row>
    <row r="261" spans="1:4" x14ac:dyDescent="0.25">
      <c r="A261" s="88">
        <v>2254</v>
      </c>
      <c r="B261" s="76" t="s">
        <v>2781</v>
      </c>
      <c r="C261" s="77" t="s">
        <v>4233</v>
      </c>
      <c r="D261" s="68" t="s">
        <v>2784</v>
      </c>
    </row>
    <row r="262" spans="1:4" x14ac:dyDescent="0.25">
      <c r="A262" s="88">
        <v>2255</v>
      </c>
      <c r="B262" s="76"/>
      <c r="C262" s="77"/>
      <c r="D262" s="68" t="s">
        <v>918</v>
      </c>
    </row>
    <row r="263" spans="1:4" ht="15.75" thickBot="1" x14ac:dyDescent="0.3">
      <c r="A263" s="88">
        <v>2256</v>
      </c>
      <c r="B263" s="76" t="s">
        <v>3650</v>
      </c>
      <c r="C263" s="77" t="s">
        <v>4234</v>
      </c>
      <c r="D263" s="118" t="s">
        <v>2805</v>
      </c>
    </row>
    <row r="264" spans="1:4" x14ac:dyDescent="0.25">
      <c r="A264" s="88">
        <v>2257</v>
      </c>
      <c r="B264" s="76" t="s">
        <v>3651</v>
      </c>
      <c r="C264" s="77" t="s">
        <v>4235</v>
      </c>
      <c r="D264" s="68" t="s">
        <v>954</v>
      </c>
    </row>
    <row r="265" spans="1:4" ht="15.75" thickBot="1" x14ac:dyDescent="0.3">
      <c r="A265" s="88">
        <v>2258</v>
      </c>
      <c r="B265" s="76" t="s">
        <v>952</v>
      </c>
      <c r="C265" s="77" t="s">
        <v>4236</v>
      </c>
      <c r="D265" s="118" t="s">
        <v>2805</v>
      </c>
    </row>
    <row r="266" spans="1:4" ht="15.75" thickBot="1" x14ac:dyDescent="0.3">
      <c r="A266" s="88">
        <v>2259</v>
      </c>
      <c r="B266" s="76" t="s">
        <v>3652</v>
      </c>
      <c r="C266" s="77" t="s">
        <v>4237</v>
      </c>
      <c r="D266" s="118" t="s">
        <v>2805</v>
      </c>
    </row>
    <row r="267" spans="1:4" x14ac:dyDescent="0.25">
      <c r="A267" s="88">
        <v>2260</v>
      </c>
      <c r="B267" s="76" t="s">
        <v>996</v>
      </c>
      <c r="C267" s="77"/>
      <c r="D267" s="68" t="s">
        <v>905</v>
      </c>
    </row>
    <row r="268" spans="1:4" x14ac:dyDescent="0.25">
      <c r="A268" s="88">
        <v>2262</v>
      </c>
      <c r="B268" s="76" t="s">
        <v>2793</v>
      </c>
      <c r="C268" s="77" t="s">
        <v>4238</v>
      </c>
      <c r="D268" s="68" t="s">
        <v>905</v>
      </c>
    </row>
    <row r="269" spans="1:4" x14ac:dyDescent="0.25">
      <c r="A269" s="88">
        <v>2263</v>
      </c>
      <c r="B269" s="76"/>
      <c r="C269" s="77"/>
      <c r="D269" s="68" t="s">
        <v>2782</v>
      </c>
    </row>
    <row r="270" spans="1:4" x14ac:dyDescent="0.25">
      <c r="A270" s="88">
        <v>2264</v>
      </c>
      <c r="B270" s="76" t="s">
        <v>882</v>
      </c>
      <c r="C270" s="77" t="s">
        <v>4239</v>
      </c>
      <c r="D270" s="68" t="s">
        <v>2782</v>
      </c>
    </row>
    <row r="271" spans="1:4" x14ac:dyDescent="0.25">
      <c r="A271" s="88">
        <v>2265</v>
      </c>
      <c r="B271" s="76" t="s">
        <v>3653</v>
      </c>
      <c r="C271" s="77" t="s">
        <v>4240</v>
      </c>
      <c r="D271" s="68" t="s">
        <v>918</v>
      </c>
    </row>
    <row r="272" spans="1:4" x14ac:dyDescent="0.25">
      <c r="A272" s="88">
        <v>2266</v>
      </c>
      <c r="B272" s="76" t="s">
        <v>3654</v>
      </c>
      <c r="C272" s="77" t="s">
        <v>4241</v>
      </c>
      <c r="D272" s="68" t="s">
        <v>918</v>
      </c>
    </row>
    <row r="273" spans="1:4" x14ac:dyDescent="0.25">
      <c r="A273" s="88">
        <v>2267</v>
      </c>
      <c r="B273" s="76" t="s">
        <v>947</v>
      </c>
      <c r="C273" s="77" t="s">
        <v>4242</v>
      </c>
      <c r="D273" s="68" t="s">
        <v>918</v>
      </c>
    </row>
    <row r="274" spans="1:4" ht="15.75" thickBot="1" x14ac:dyDescent="0.3">
      <c r="A274" s="88">
        <v>2268</v>
      </c>
      <c r="B274" s="76" t="s">
        <v>2815</v>
      </c>
      <c r="C274" s="77" t="s">
        <v>4243</v>
      </c>
      <c r="D274" s="118" t="s">
        <v>907</v>
      </c>
    </row>
    <row r="275" spans="1:4" x14ac:dyDescent="0.25">
      <c r="A275" s="88">
        <v>2269</v>
      </c>
      <c r="B275" s="76" t="s">
        <v>3655</v>
      </c>
      <c r="C275" s="77" t="s">
        <v>4244</v>
      </c>
      <c r="D275" s="68" t="s">
        <v>2783</v>
      </c>
    </row>
    <row r="276" spans="1:4" x14ac:dyDescent="0.25">
      <c r="A276" s="88">
        <v>2273</v>
      </c>
      <c r="B276" s="76" t="s">
        <v>3656</v>
      </c>
      <c r="C276" s="77" t="s">
        <v>4245</v>
      </c>
      <c r="D276" s="68" t="s">
        <v>880</v>
      </c>
    </row>
    <row r="277" spans="1:4" x14ac:dyDescent="0.25">
      <c r="A277" s="88">
        <v>2274</v>
      </c>
      <c r="B277" s="76" t="s">
        <v>2809</v>
      </c>
      <c r="C277" s="77" t="s">
        <v>4246</v>
      </c>
      <c r="D277" s="68" t="s">
        <v>880</v>
      </c>
    </row>
    <row r="278" spans="1:4" ht="15.75" thickBot="1" x14ac:dyDescent="0.3">
      <c r="A278" s="88">
        <v>2275</v>
      </c>
      <c r="B278" s="76" t="s">
        <v>3657</v>
      </c>
      <c r="C278" s="77"/>
      <c r="D278" s="118" t="s">
        <v>907</v>
      </c>
    </row>
    <row r="279" spans="1:4" ht="15.75" thickBot="1" x14ac:dyDescent="0.3">
      <c r="A279" s="88">
        <v>2276</v>
      </c>
      <c r="B279" s="76" t="s">
        <v>3658</v>
      </c>
      <c r="C279" s="77"/>
      <c r="D279" s="118" t="s">
        <v>907</v>
      </c>
    </row>
    <row r="280" spans="1:4" x14ac:dyDescent="0.25">
      <c r="A280" s="88">
        <v>2277</v>
      </c>
      <c r="B280" s="76" t="s">
        <v>2833</v>
      </c>
      <c r="C280" s="77" t="s">
        <v>4247</v>
      </c>
      <c r="D280" s="68" t="s">
        <v>880</v>
      </c>
    </row>
    <row r="281" spans="1:4" x14ac:dyDescent="0.25">
      <c r="A281" s="88">
        <v>2278</v>
      </c>
      <c r="B281" s="76" t="s">
        <v>3659</v>
      </c>
      <c r="C281" s="77" t="s">
        <v>4248</v>
      </c>
      <c r="D281" s="68" t="s">
        <v>880</v>
      </c>
    </row>
    <row r="282" spans="1:4" ht="15.75" thickBot="1" x14ac:dyDescent="0.3">
      <c r="A282" s="88">
        <v>2279</v>
      </c>
      <c r="B282" s="76" t="s">
        <v>2816</v>
      </c>
      <c r="C282" s="77" t="s">
        <v>4249</v>
      </c>
      <c r="D282" s="118" t="s">
        <v>907</v>
      </c>
    </row>
    <row r="283" spans="1:4" x14ac:dyDescent="0.25">
      <c r="A283" s="88">
        <v>2280</v>
      </c>
      <c r="B283" s="76" t="s">
        <v>3660</v>
      </c>
      <c r="C283" s="77" t="s">
        <v>4250</v>
      </c>
      <c r="D283" s="68" t="s">
        <v>880</v>
      </c>
    </row>
    <row r="284" spans="1:4" ht="15.75" thickBot="1" x14ac:dyDescent="0.3">
      <c r="A284" s="88">
        <v>2281</v>
      </c>
      <c r="B284" s="76" t="s">
        <v>3661</v>
      </c>
      <c r="C284" s="77" t="s">
        <v>4251</v>
      </c>
      <c r="D284" s="118" t="s">
        <v>907</v>
      </c>
    </row>
    <row r="285" spans="1:4" ht="15.75" thickBot="1" x14ac:dyDescent="0.3">
      <c r="A285" s="88">
        <v>2282</v>
      </c>
      <c r="B285" s="76"/>
      <c r="C285" s="77"/>
      <c r="D285" s="101" t="s">
        <v>3022</v>
      </c>
    </row>
    <row r="286" spans="1:4" x14ac:dyDescent="0.25">
      <c r="A286" s="88">
        <v>2283</v>
      </c>
      <c r="B286" s="76"/>
      <c r="C286" s="77"/>
      <c r="D286" s="68" t="s">
        <v>977</v>
      </c>
    </row>
    <row r="287" spans="1:4" x14ac:dyDescent="0.25">
      <c r="A287" s="88">
        <v>2284</v>
      </c>
      <c r="B287" s="76" t="s">
        <v>3662</v>
      </c>
      <c r="C287" s="77" t="s">
        <v>4252</v>
      </c>
      <c r="D287" s="68" t="s">
        <v>977</v>
      </c>
    </row>
    <row r="288" spans="1:4" x14ac:dyDescent="0.25">
      <c r="A288" s="88">
        <v>2285</v>
      </c>
      <c r="B288" s="76" t="s">
        <v>2823</v>
      </c>
      <c r="C288" s="77" t="s">
        <v>4253</v>
      </c>
      <c r="D288" s="68" t="s">
        <v>888</v>
      </c>
    </row>
    <row r="289" spans="1:4" x14ac:dyDescent="0.25">
      <c r="A289" s="88">
        <v>2286</v>
      </c>
      <c r="B289" s="76"/>
      <c r="C289" s="77"/>
      <c r="D289" s="68" t="s">
        <v>888</v>
      </c>
    </row>
    <row r="290" spans="1:4" x14ac:dyDescent="0.25">
      <c r="A290" s="88">
        <v>2287</v>
      </c>
      <c r="B290" s="76" t="s">
        <v>3663</v>
      </c>
      <c r="C290" s="77" t="s">
        <v>4254</v>
      </c>
      <c r="D290" s="68" t="s">
        <v>888</v>
      </c>
    </row>
    <row r="291" spans="1:4" x14ac:dyDescent="0.25">
      <c r="A291" s="128">
        <v>2288</v>
      </c>
      <c r="B291" s="130" t="s">
        <v>3664</v>
      </c>
      <c r="C291" s="125" t="s">
        <v>4255</v>
      </c>
      <c r="D291" s="71" t="s">
        <v>4415</v>
      </c>
    </row>
    <row r="292" spans="1:4" x14ac:dyDescent="0.25">
      <c r="A292" s="88">
        <v>2289</v>
      </c>
      <c r="B292" s="76" t="s">
        <v>2700</v>
      </c>
      <c r="C292" s="77" t="s">
        <v>4256</v>
      </c>
      <c r="D292" s="68" t="s">
        <v>880</v>
      </c>
    </row>
    <row r="293" spans="1:4" x14ac:dyDescent="0.25">
      <c r="A293" s="88">
        <v>2290</v>
      </c>
      <c r="B293" s="76" t="s">
        <v>2818</v>
      </c>
      <c r="C293" s="77" t="s">
        <v>4257</v>
      </c>
      <c r="D293" s="68" t="s">
        <v>880</v>
      </c>
    </row>
    <row r="294" spans="1:4" x14ac:dyDescent="0.25">
      <c r="A294" s="88">
        <v>2291</v>
      </c>
      <c r="B294" s="76" t="s">
        <v>931</v>
      </c>
      <c r="C294" s="77" t="s">
        <v>4258</v>
      </c>
      <c r="D294" s="68" t="s">
        <v>880</v>
      </c>
    </row>
    <row r="295" spans="1:4" x14ac:dyDescent="0.25">
      <c r="A295" s="88">
        <v>2292</v>
      </c>
      <c r="B295" s="76"/>
      <c r="C295" s="77"/>
      <c r="D295" s="68" t="s">
        <v>905</v>
      </c>
    </row>
    <row r="296" spans="1:4" x14ac:dyDescent="0.25">
      <c r="A296" s="88">
        <v>2293</v>
      </c>
      <c r="B296" s="76" t="s">
        <v>2827</v>
      </c>
      <c r="C296" s="77" t="s">
        <v>4259</v>
      </c>
      <c r="D296" s="68" t="s">
        <v>880</v>
      </c>
    </row>
    <row r="297" spans="1:4" x14ac:dyDescent="0.25">
      <c r="A297" s="88">
        <v>2294</v>
      </c>
      <c r="B297" s="76" t="s">
        <v>3665</v>
      </c>
      <c r="C297" s="77"/>
      <c r="D297" s="68" t="s">
        <v>880</v>
      </c>
    </row>
    <row r="298" spans="1:4" ht="15.75" thickBot="1" x14ac:dyDescent="0.3">
      <c r="A298" s="88">
        <v>2295</v>
      </c>
      <c r="B298" s="76" t="s">
        <v>2844</v>
      </c>
      <c r="C298" s="77" t="s">
        <v>4260</v>
      </c>
      <c r="D298" s="118" t="s">
        <v>2805</v>
      </c>
    </row>
    <row r="299" spans="1:4" x14ac:dyDescent="0.25">
      <c r="A299" s="88">
        <v>2296</v>
      </c>
      <c r="B299" s="76" t="s">
        <v>3666</v>
      </c>
      <c r="C299" s="77" t="s">
        <v>4261</v>
      </c>
      <c r="D299" s="68" t="s">
        <v>888</v>
      </c>
    </row>
    <row r="300" spans="1:4" x14ac:dyDescent="0.25">
      <c r="A300" s="88">
        <v>2297</v>
      </c>
      <c r="B300" s="76" t="s">
        <v>3667</v>
      </c>
      <c r="C300" s="77" t="s">
        <v>4262</v>
      </c>
      <c r="D300" s="68" t="s">
        <v>888</v>
      </c>
    </row>
    <row r="301" spans="1:4" x14ac:dyDescent="0.25">
      <c r="A301" s="88">
        <v>2298</v>
      </c>
      <c r="B301" s="76" t="s">
        <v>2830</v>
      </c>
      <c r="C301" s="77" t="s">
        <v>3608</v>
      </c>
      <c r="D301" s="68" t="s">
        <v>888</v>
      </c>
    </row>
    <row r="302" spans="1:4" x14ac:dyDescent="0.25">
      <c r="A302" s="88">
        <v>2299</v>
      </c>
      <c r="B302" s="76" t="s">
        <v>3668</v>
      </c>
      <c r="C302" s="77" t="s">
        <v>3202</v>
      </c>
      <c r="D302" s="68" t="s">
        <v>888</v>
      </c>
    </row>
    <row r="303" spans="1:4" ht="15.75" thickBot="1" x14ac:dyDescent="0.3">
      <c r="A303" s="88">
        <v>2300</v>
      </c>
      <c r="B303" s="76" t="s">
        <v>3025</v>
      </c>
      <c r="C303" s="77" t="s">
        <v>4263</v>
      </c>
      <c r="D303" s="101" t="s">
        <v>3022</v>
      </c>
    </row>
    <row r="304" spans="1:4" ht="15.75" thickBot="1" x14ac:dyDescent="0.3">
      <c r="A304" s="88">
        <v>2301</v>
      </c>
      <c r="B304" s="76" t="s">
        <v>2847</v>
      </c>
      <c r="C304" s="77"/>
      <c r="D304" s="118" t="s">
        <v>2805</v>
      </c>
    </row>
    <row r="305" spans="1:4" ht="15.75" thickBot="1" x14ac:dyDescent="0.3">
      <c r="A305" s="88">
        <v>2302</v>
      </c>
      <c r="B305" s="76" t="s">
        <v>3669</v>
      </c>
      <c r="C305" s="77" t="s">
        <v>4264</v>
      </c>
      <c r="D305" s="118" t="s">
        <v>907</v>
      </c>
    </row>
    <row r="306" spans="1:4" ht="15.75" thickBot="1" x14ac:dyDescent="0.3">
      <c r="A306" s="88">
        <v>2303</v>
      </c>
      <c r="B306" s="76" t="s">
        <v>3670</v>
      </c>
      <c r="C306" s="77" t="s">
        <v>4265</v>
      </c>
      <c r="D306" s="118" t="s">
        <v>907</v>
      </c>
    </row>
    <row r="307" spans="1:4" x14ac:dyDescent="0.25">
      <c r="A307" s="88">
        <v>2304</v>
      </c>
      <c r="B307" s="76" t="s">
        <v>3671</v>
      </c>
      <c r="C307" s="77" t="s">
        <v>4266</v>
      </c>
      <c r="D307" s="68" t="s">
        <v>918</v>
      </c>
    </row>
    <row r="308" spans="1:4" x14ac:dyDescent="0.25">
      <c r="A308" s="88">
        <v>2305</v>
      </c>
      <c r="B308" s="76"/>
      <c r="C308" s="77"/>
      <c r="D308" s="68" t="s">
        <v>2783</v>
      </c>
    </row>
    <row r="309" spans="1:4" ht="15.75" thickBot="1" x14ac:dyDescent="0.3">
      <c r="A309" s="88">
        <v>2306</v>
      </c>
      <c r="B309" s="76" t="s">
        <v>2851</v>
      </c>
      <c r="C309" s="77" t="s">
        <v>4267</v>
      </c>
      <c r="D309" s="101" t="s">
        <v>3022</v>
      </c>
    </row>
    <row r="310" spans="1:4" x14ac:dyDescent="0.25">
      <c r="A310" s="88">
        <v>2307</v>
      </c>
      <c r="B310" s="76"/>
      <c r="C310" s="77"/>
      <c r="D310" s="68" t="s">
        <v>954</v>
      </c>
    </row>
    <row r="311" spans="1:4" x14ac:dyDescent="0.25">
      <c r="A311" s="88">
        <v>2308</v>
      </c>
      <c r="B311" s="76" t="s">
        <v>934</v>
      </c>
      <c r="C311" s="77" t="s">
        <v>4268</v>
      </c>
      <c r="D311" s="68" t="s">
        <v>880</v>
      </c>
    </row>
    <row r="312" spans="1:4" x14ac:dyDescent="0.25">
      <c r="A312" s="88">
        <v>2309</v>
      </c>
      <c r="B312" s="76" t="s">
        <v>3672</v>
      </c>
      <c r="C312" s="77" t="s">
        <v>4269</v>
      </c>
      <c r="D312" s="68" t="s">
        <v>905</v>
      </c>
    </row>
    <row r="313" spans="1:4" x14ac:dyDescent="0.25">
      <c r="A313" s="88">
        <v>2311</v>
      </c>
      <c r="B313" s="76" t="s">
        <v>980</v>
      </c>
      <c r="C313" s="77" t="s">
        <v>4270</v>
      </c>
      <c r="D313" s="68" t="s">
        <v>2783</v>
      </c>
    </row>
    <row r="314" spans="1:4" x14ac:dyDescent="0.25">
      <c r="A314" s="88">
        <v>2312</v>
      </c>
      <c r="B314" s="76" t="s">
        <v>2838</v>
      </c>
      <c r="C314" s="77"/>
      <c r="D314" s="68" t="s">
        <v>2783</v>
      </c>
    </row>
    <row r="315" spans="1:4" x14ac:dyDescent="0.25">
      <c r="A315" s="88">
        <v>2313</v>
      </c>
      <c r="B315" s="76" t="s">
        <v>3673</v>
      </c>
      <c r="C315" s="77" t="s">
        <v>4271</v>
      </c>
      <c r="D315" s="68" t="s">
        <v>2782</v>
      </c>
    </row>
    <row r="316" spans="1:4" x14ac:dyDescent="0.25">
      <c r="A316" s="88">
        <v>2314</v>
      </c>
      <c r="B316" s="76"/>
      <c r="C316" s="77"/>
      <c r="D316" s="68" t="s">
        <v>977</v>
      </c>
    </row>
    <row r="317" spans="1:4" x14ac:dyDescent="0.25">
      <c r="A317" s="88">
        <v>2315</v>
      </c>
      <c r="B317" s="76" t="s">
        <v>2841</v>
      </c>
      <c r="C317" s="77"/>
      <c r="D317" s="68" t="s">
        <v>888</v>
      </c>
    </row>
    <row r="318" spans="1:4" x14ac:dyDescent="0.25">
      <c r="A318" s="88">
        <v>2316</v>
      </c>
      <c r="B318" s="76"/>
      <c r="C318" s="77"/>
      <c r="D318" s="68" t="s">
        <v>888</v>
      </c>
    </row>
    <row r="319" spans="1:4" x14ac:dyDescent="0.25">
      <c r="A319" s="88">
        <v>2317</v>
      </c>
      <c r="B319" s="76" t="s">
        <v>3674</v>
      </c>
      <c r="C319" s="77"/>
      <c r="D319" s="68" t="s">
        <v>888</v>
      </c>
    </row>
    <row r="320" spans="1:4" x14ac:dyDescent="0.25">
      <c r="A320" s="88">
        <v>2318</v>
      </c>
      <c r="B320" s="76"/>
      <c r="C320" s="77"/>
      <c r="D320" s="68" t="s">
        <v>954</v>
      </c>
    </row>
    <row r="321" spans="1:4" x14ac:dyDescent="0.25">
      <c r="A321" s="88">
        <v>2319</v>
      </c>
      <c r="B321" s="76" t="s">
        <v>3675</v>
      </c>
      <c r="C321" s="77"/>
    </row>
    <row r="322" spans="1:4" x14ac:dyDescent="0.25">
      <c r="A322" s="88">
        <v>2320</v>
      </c>
      <c r="B322" s="76" t="s">
        <v>2853</v>
      </c>
      <c r="C322" s="77" t="s">
        <v>4272</v>
      </c>
      <c r="D322" s="68" t="s">
        <v>918</v>
      </c>
    </row>
    <row r="323" spans="1:4" x14ac:dyDescent="0.25">
      <c r="A323" s="88">
        <v>2321</v>
      </c>
      <c r="B323" s="76" t="s">
        <v>3676</v>
      </c>
      <c r="C323" s="77" t="s">
        <v>4273</v>
      </c>
      <c r="D323" s="68" t="s">
        <v>888</v>
      </c>
    </row>
    <row r="324" spans="1:4" x14ac:dyDescent="0.25">
      <c r="A324" s="88">
        <v>2322</v>
      </c>
      <c r="B324" s="76" t="s">
        <v>903</v>
      </c>
      <c r="C324" s="77"/>
      <c r="D324" s="68" t="s">
        <v>888</v>
      </c>
    </row>
    <row r="325" spans="1:4" x14ac:dyDescent="0.25">
      <c r="A325" s="88">
        <v>2323</v>
      </c>
      <c r="B325" s="76" t="s">
        <v>3677</v>
      </c>
      <c r="C325" s="77" t="s">
        <v>4274</v>
      </c>
      <c r="D325" s="68" t="s">
        <v>954</v>
      </c>
    </row>
    <row r="326" spans="1:4" x14ac:dyDescent="0.25">
      <c r="A326" s="88">
        <v>2324</v>
      </c>
      <c r="B326" s="76" t="s">
        <v>3678</v>
      </c>
      <c r="C326" s="77"/>
      <c r="D326" s="68" t="s">
        <v>2784</v>
      </c>
    </row>
    <row r="327" spans="1:4" x14ac:dyDescent="0.25">
      <c r="A327" s="88">
        <v>2325</v>
      </c>
      <c r="B327" s="76" t="s">
        <v>3679</v>
      </c>
      <c r="C327" s="77" t="s">
        <v>4275</v>
      </c>
      <c r="D327" s="68" t="s">
        <v>880</v>
      </c>
    </row>
    <row r="328" spans="1:4" x14ac:dyDescent="0.25">
      <c r="A328" s="88">
        <v>2327</v>
      </c>
      <c r="B328" s="76" t="s">
        <v>900</v>
      </c>
      <c r="C328" s="77" t="s">
        <v>4276</v>
      </c>
      <c r="D328" s="68" t="s">
        <v>2783</v>
      </c>
    </row>
    <row r="329" spans="1:4" x14ac:dyDescent="0.25">
      <c r="A329" s="88">
        <v>2328</v>
      </c>
      <c r="B329" s="76"/>
      <c r="C329" s="77"/>
      <c r="D329" s="68" t="s">
        <v>2784</v>
      </c>
    </row>
    <row r="330" spans="1:4" x14ac:dyDescent="0.25">
      <c r="A330" s="88">
        <v>2329</v>
      </c>
      <c r="B330" s="76" t="s">
        <v>2820</v>
      </c>
      <c r="C330" s="77" t="s">
        <v>4277</v>
      </c>
      <c r="D330" s="68" t="s">
        <v>918</v>
      </c>
    </row>
    <row r="331" spans="1:4" x14ac:dyDescent="0.25">
      <c r="A331" s="88">
        <v>2330</v>
      </c>
      <c r="B331" s="76" t="s">
        <v>949</v>
      </c>
      <c r="C331" s="77" t="s">
        <v>4278</v>
      </c>
      <c r="D331" s="68" t="s">
        <v>918</v>
      </c>
    </row>
    <row r="332" spans="1:4" ht="15.75" thickBot="1" x14ac:dyDescent="0.3">
      <c r="A332" s="88">
        <v>2331</v>
      </c>
      <c r="B332" s="76" t="s">
        <v>3680</v>
      </c>
      <c r="C332" s="77" t="s">
        <v>4279</v>
      </c>
      <c r="D332" s="118" t="s">
        <v>907</v>
      </c>
    </row>
    <row r="333" spans="1:4" ht="15.75" thickBot="1" x14ac:dyDescent="0.3">
      <c r="A333" s="88">
        <v>2332</v>
      </c>
      <c r="B333" s="76"/>
      <c r="C333" s="77" t="s">
        <v>4280</v>
      </c>
      <c r="D333" s="118" t="s">
        <v>2805</v>
      </c>
    </row>
    <row r="334" spans="1:4" x14ac:dyDescent="0.25">
      <c r="A334" s="128">
        <v>2333</v>
      </c>
      <c r="B334" s="130" t="s">
        <v>3681</v>
      </c>
      <c r="C334" s="125" t="s">
        <v>4281</v>
      </c>
      <c r="D334" s="71" t="s">
        <v>4415</v>
      </c>
    </row>
    <row r="335" spans="1:4" ht="15.75" thickBot="1" x14ac:dyDescent="0.3">
      <c r="A335" s="88">
        <v>2334</v>
      </c>
      <c r="B335" s="76" t="s">
        <v>3682</v>
      </c>
      <c r="C335" s="77" t="s">
        <v>4282</v>
      </c>
      <c r="D335" s="118" t="s">
        <v>907</v>
      </c>
    </row>
    <row r="336" spans="1:4" x14ac:dyDescent="0.25">
      <c r="A336" s="88">
        <v>2335</v>
      </c>
      <c r="B336" s="76"/>
      <c r="C336" s="77"/>
      <c r="D336" s="68" t="s">
        <v>880</v>
      </c>
    </row>
    <row r="337" spans="1:4" x14ac:dyDescent="0.25">
      <c r="A337" s="88">
        <v>2336</v>
      </c>
      <c r="B337" s="76"/>
      <c r="C337" s="77"/>
      <c r="D337" s="68" t="s">
        <v>880</v>
      </c>
    </row>
    <row r="338" spans="1:4" ht="15.75" thickBot="1" x14ac:dyDescent="0.3">
      <c r="A338" s="88">
        <v>2337</v>
      </c>
      <c r="B338" s="76" t="s">
        <v>2855</v>
      </c>
      <c r="C338" s="77" t="s">
        <v>4283</v>
      </c>
      <c r="D338" s="101" t="s">
        <v>3022</v>
      </c>
    </row>
    <row r="339" spans="1:4" ht="15.75" thickBot="1" x14ac:dyDescent="0.3">
      <c r="A339" s="88">
        <v>2338</v>
      </c>
      <c r="B339" s="76" t="s">
        <v>968</v>
      </c>
      <c r="C339" s="77" t="s">
        <v>4284</v>
      </c>
      <c r="D339" s="101" t="s">
        <v>3022</v>
      </c>
    </row>
    <row r="340" spans="1:4" x14ac:dyDescent="0.25">
      <c r="A340" s="89">
        <v>1102</v>
      </c>
      <c r="B340" s="76" t="s">
        <v>3578</v>
      </c>
      <c r="C340" s="77" t="s">
        <v>4285</v>
      </c>
      <c r="D340" s="68" t="s">
        <v>2859</v>
      </c>
    </row>
    <row r="341" spans="1:4" x14ac:dyDescent="0.25">
      <c r="A341" s="89">
        <v>1103</v>
      </c>
      <c r="B341" s="76" t="s">
        <v>3579</v>
      </c>
      <c r="C341" s="77" t="s">
        <v>4286</v>
      </c>
      <c r="D341" s="68" t="s">
        <v>414</v>
      </c>
    </row>
    <row r="342" spans="1:4" x14ac:dyDescent="0.25">
      <c r="A342" s="89">
        <v>1105</v>
      </c>
      <c r="B342" s="76" t="s">
        <v>3580</v>
      </c>
      <c r="C342" s="77" t="s">
        <v>4287</v>
      </c>
      <c r="D342" s="68" t="s">
        <v>414</v>
      </c>
    </row>
    <row r="343" spans="1:4" x14ac:dyDescent="0.25">
      <c r="A343" s="89">
        <v>1106</v>
      </c>
      <c r="B343" s="76" t="s">
        <v>413</v>
      </c>
      <c r="C343" s="77" t="s">
        <v>3608</v>
      </c>
      <c r="D343" s="68" t="s">
        <v>414</v>
      </c>
    </row>
    <row r="344" spans="1:4" x14ac:dyDescent="0.25">
      <c r="A344" s="89">
        <v>1107</v>
      </c>
      <c r="B344" s="76" t="s">
        <v>416</v>
      </c>
      <c r="C344" s="77" t="s">
        <v>4288</v>
      </c>
      <c r="D344" s="68" t="s">
        <v>414</v>
      </c>
    </row>
    <row r="345" spans="1:4" x14ac:dyDescent="0.25">
      <c r="A345" s="89">
        <v>1108</v>
      </c>
      <c r="B345" s="76" t="s">
        <v>411</v>
      </c>
      <c r="C345" s="77"/>
      <c r="D345" s="68" t="s">
        <v>2859</v>
      </c>
    </row>
    <row r="346" spans="1:4" x14ac:dyDescent="0.25">
      <c r="A346" s="89">
        <v>1109</v>
      </c>
      <c r="B346" s="76" t="s">
        <v>3581</v>
      </c>
      <c r="C346" s="77" t="s">
        <v>4289</v>
      </c>
      <c r="D346" s="68" t="s">
        <v>414</v>
      </c>
    </row>
    <row r="347" spans="1:4" x14ac:dyDescent="0.25">
      <c r="A347" s="89">
        <v>1110</v>
      </c>
      <c r="B347" s="76" t="s">
        <v>432</v>
      </c>
      <c r="C347" s="77" t="s">
        <v>4290</v>
      </c>
      <c r="D347" s="68" t="s">
        <v>2859</v>
      </c>
    </row>
    <row r="348" spans="1:4" x14ac:dyDescent="0.25">
      <c r="A348" s="89">
        <v>1111</v>
      </c>
      <c r="B348" s="76" t="s">
        <v>3582</v>
      </c>
      <c r="C348" s="77" t="s">
        <v>4291</v>
      </c>
      <c r="D348" s="68" t="s">
        <v>2859</v>
      </c>
    </row>
    <row r="349" spans="1:4" x14ac:dyDescent="0.25">
      <c r="A349" s="89">
        <v>1112</v>
      </c>
      <c r="B349" s="76" t="s">
        <v>3583</v>
      </c>
      <c r="C349" s="77" t="s">
        <v>3608</v>
      </c>
      <c r="D349" s="68" t="s">
        <v>414</v>
      </c>
    </row>
    <row r="350" spans="1:4" x14ac:dyDescent="0.25">
      <c r="A350" s="89">
        <v>1113</v>
      </c>
      <c r="B350" s="76" t="s">
        <v>420</v>
      </c>
      <c r="C350" s="77" t="s">
        <v>4292</v>
      </c>
      <c r="D350" s="68" t="s">
        <v>2859</v>
      </c>
    </row>
    <row r="351" spans="1:4" x14ac:dyDescent="0.25">
      <c r="A351" s="89">
        <v>1114</v>
      </c>
      <c r="B351" s="76" t="s">
        <v>426</v>
      </c>
      <c r="C351" s="77" t="s">
        <v>4293</v>
      </c>
      <c r="D351" s="68" t="s">
        <v>466</v>
      </c>
    </row>
    <row r="352" spans="1:4" x14ac:dyDescent="0.25">
      <c r="A352" s="89">
        <v>1115</v>
      </c>
      <c r="B352" s="76" t="s">
        <v>429</v>
      </c>
      <c r="C352" s="77" t="s">
        <v>4294</v>
      </c>
      <c r="D352" s="68" t="s">
        <v>414</v>
      </c>
    </row>
    <row r="353" spans="1:4" x14ac:dyDescent="0.25">
      <c r="A353" s="89">
        <v>1116</v>
      </c>
      <c r="B353" s="76" t="s">
        <v>2868</v>
      </c>
      <c r="C353" s="77" t="s">
        <v>4295</v>
      </c>
      <c r="D353" s="68" t="s">
        <v>2859</v>
      </c>
    </row>
    <row r="354" spans="1:4" x14ac:dyDescent="0.25">
      <c r="A354" s="89">
        <v>1117</v>
      </c>
      <c r="B354" s="76" t="s">
        <v>434</v>
      </c>
      <c r="C354" s="77" t="s">
        <v>418</v>
      </c>
      <c r="D354" s="68" t="s">
        <v>466</v>
      </c>
    </row>
    <row r="355" spans="1:4" x14ac:dyDescent="0.25">
      <c r="A355" s="89">
        <v>1118</v>
      </c>
      <c r="B355" s="76" t="s">
        <v>3584</v>
      </c>
      <c r="C355" s="77" t="s">
        <v>4296</v>
      </c>
      <c r="D355" s="68" t="s">
        <v>414</v>
      </c>
    </row>
    <row r="356" spans="1:4" x14ac:dyDescent="0.25">
      <c r="A356" s="89">
        <v>1119</v>
      </c>
      <c r="B356" s="76" t="s">
        <v>438</v>
      </c>
      <c r="C356" s="77" t="s">
        <v>4297</v>
      </c>
      <c r="D356" s="68" t="s">
        <v>414</v>
      </c>
    </row>
    <row r="357" spans="1:4" x14ac:dyDescent="0.25">
      <c r="A357" s="89">
        <v>1120</v>
      </c>
      <c r="B357" s="76" t="s">
        <v>3585</v>
      </c>
      <c r="C357" s="77" t="s">
        <v>4298</v>
      </c>
      <c r="D357" s="68" t="s">
        <v>466</v>
      </c>
    </row>
    <row r="358" spans="1:4" x14ac:dyDescent="0.25">
      <c r="A358" s="89">
        <v>1121</v>
      </c>
      <c r="B358" s="76" t="s">
        <v>456</v>
      </c>
      <c r="C358" s="77" t="s">
        <v>4299</v>
      </c>
      <c r="D358" s="68" t="s">
        <v>466</v>
      </c>
    </row>
    <row r="359" spans="1:4" x14ac:dyDescent="0.25">
      <c r="A359" s="89">
        <v>1122</v>
      </c>
      <c r="B359" s="76" t="s">
        <v>2872</v>
      </c>
      <c r="C359" s="77" t="s">
        <v>4300</v>
      </c>
      <c r="D359" s="68" t="s">
        <v>2859</v>
      </c>
    </row>
    <row r="360" spans="1:4" x14ac:dyDescent="0.25">
      <c r="A360" s="89">
        <v>1123</v>
      </c>
      <c r="B360" s="76" t="s">
        <v>3586</v>
      </c>
      <c r="C360" s="77" t="s">
        <v>4301</v>
      </c>
      <c r="D360" s="68" t="s">
        <v>3039</v>
      </c>
    </row>
    <row r="361" spans="1:4" x14ac:dyDescent="0.25">
      <c r="A361" s="89">
        <v>1124</v>
      </c>
      <c r="B361" s="76" t="s">
        <v>446</v>
      </c>
      <c r="C361" s="77" t="s">
        <v>4302</v>
      </c>
      <c r="D361" s="68" t="s">
        <v>473</v>
      </c>
    </row>
    <row r="362" spans="1:4" x14ac:dyDescent="0.25">
      <c r="A362" s="89">
        <v>1126</v>
      </c>
      <c r="B362" s="76" t="s">
        <v>3753</v>
      </c>
      <c r="C362" s="77" t="s">
        <v>4303</v>
      </c>
      <c r="D362" s="68" t="s">
        <v>3039</v>
      </c>
    </row>
    <row r="363" spans="1:4" x14ac:dyDescent="0.25">
      <c r="A363" s="89">
        <v>1128</v>
      </c>
      <c r="B363" s="76" t="s">
        <v>3587</v>
      </c>
      <c r="C363" s="77" t="s">
        <v>4304</v>
      </c>
      <c r="D363" s="71" t="s">
        <v>3040</v>
      </c>
    </row>
    <row r="364" spans="1:4" x14ac:dyDescent="0.25">
      <c r="A364" s="89">
        <v>1130</v>
      </c>
      <c r="B364" s="76" t="s">
        <v>3588</v>
      </c>
      <c r="C364" s="77" t="s">
        <v>4305</v>
      </c>
      <c r="D364" s="68" t="s">
        <v>473</v>
      </c>
    </row>
    <row r="365" spans="1:4" x14ac:dyDescent="0.25">
      <c r="A365" s="89">
        <v>1131</v>
      </c>
      <c r="B365" s="76" t="s">
        <v>471</v>
      </c>
      <c r="C365" s="77" t="s">
        <v>4306</v>
      </c>
      <c r="D365" s="68" t="s">
        <v>443</v>
      </c>
    </row>
    <row r="366" spans="1:4" x14ac:dyDescent="0.25">
      <c r="A366" s="89">
        <v>1132</v>
      </c>
      <c r="B366" s="76" t="s">
        <v>3589</v>
      </c>
      <c r="C366" s="77" t="s">
        <v>4307</v>
      </c>
      <c r="D366" s="71" t="s">
        <v>443</v>
      </c>
    </row>
    <row r="367" spans="1:4" x14ac:dyDescent="0.25">
      <c r="A367" s="89">
        <v>1133</v>
      </c>
      <c r="B367" s="76" t="s">
        <v>453</v>
      </c>
      <c r="C367" s="77" t="s">
        <v>4308</v>
      </c>
      <c r="D367" s="68" t="s">
        <v>443</v>
      </c>
    </row>
    <row r="368" spans="1:4" x14ac:dyDescent="0.25">
      <c r="A368" s="89">
        <v>1134</v>
      </c>
      <c r="B368" s="76" t="s">
        <v>3590</v>
      </c>
      <c r="C368" s="77" t="s">
        <v>4309</v>
      </c>
      <c r="D368" s="68" t="s">
        <v>443</v>
      </c>
    </row>
    <row r="369" spans="1:4" x14ac:dyDescent="0.25">
      <c r="A369" s="89">
        <v>1135</v>
      </c>
      <c r="B369" s="76" t="s">
        <v>3591</v>
      </c>
      <c r="C369" s="77" t="s">
        <v>4310</v>
      </c>
      <c r="D369" s="71" t="s">
        <v>3197</v>
      </c>
    </row>
    <row r="370" spans="1:4" x14ac:dyDescent="0.25">
      <c r="A370" s="89">
        <v>1138</v>
      </c>
      <c r="B370" s="76" t="s">
        <v>459</v>
      </c>
      <c r="C370" s="77" t="s">
        <v>4311</v>
      </c>
      <c r="D370" s="68" t="s">
        <v>466</v>
      </c>
    </row>
    <row r="371" spans="1:4" x14ac:dyDescent="0.25">
      <c r="A371" s="89">
        <v>1139</v>
      </c>
      <c r="B371" s="76" t="s">
        <v>461</v>
      </c>
      <c r="C371" s="77" t="s">
        <v>4312</v>
      </c>
      <c r="D371" s="68" t="s">
        <v>443</v>
      </c>
    </row>
    <row r="372" spans="1:4" x14ac:dyDescent="0.25">
      <c r="A372" s="89">
        <v>1141</v>
      </c>
      <c r="B372" s="76" t="s">
        <v>3035</v>
      </c>
      <c r="C372" s="77" t="s">
        <v>4313</v>
      </c>
      <c r="D372" s="68" t="s">
        <v>443</v>
      </c>
    </row>
    <row r="373" spans="1:4" x14ac:dyDescent="0.25">
      <c r="A373" s="89">
        <v>1142</v>
      </c>
      <c r="B373" s="76" t="s">
        <v>465</v>
      </c>
      <c r="C373" s="77" t="s">
        <v>4314</v>
      </c>
      <c r="D373" s="68" t="s">
        <v>2937</v>
      </c>
    </row>
    <row r="374" spans="1:4" x14ac:dyDescent="0.25">
      <c r="A374" s="89">
        <v>1143</v>
      </c>
      <c r="B374" s="76" t="s">
        <v>3592</v>
      </c>
      <c r="C374" s="77" t="s">
        <v>4315</v>
      </c>
      <c r="D374" s="68" t="s">
        <v>443</v>
      </c>
    </row>
    <row r="375" spans="1:4" x14ac:dyDescent="0.25">
      <c r="A375" s="89">
        <v>1144</v>
      </c>
      <c r="B375" s="76" t="s">
        <v>450</v>
      </c>
      <c r="C375" s="77" t="s">
        <v>4316</v>
      </c>
      <c r="D375" s="68" t="s">
        <v>443</v>
      </c>
    </row>
    <row r="376" spans="1:4" x14ac:dyDescent="0.25">
      <c r="A376" s="89">
        <v>1145</v>
      </c>
      <c r="B376" s="76" t="s">
        <v>487</v>
      </c>
      <c r="C376" s="77"/>
      <c r="D376" s="68" t="s">
        <v>3039</v>
      </c>
    </row>
    <row r="377" spans="1:4" x14ac:dyDescent="0.25">
      <c r="A377" s="89">
        <v>1146</v>
      </c>
      <c r="B377" s="76" t="s">
        <v>3593</v>
      </c>
      <c r="C377" s="77" t="s">
        <v>4317</v>
      </c>
      <c r="D377" s="68" t="s">
        <v>473</v>
      </c>
    </row>
    <row r="378" spans="1:4" x14ac:dyDescent="0.25">
      <c r="A378" s="89">
        <v>1147</v>
      </c>
      <c r="B378" s="76" t="s">
        <v>476</v>
      </c>
      <c r="C378" s="77" t="s">
        <v>4318</v>
      </c>
      <c r="D378" s="68" t="s">
        <v>466</v>
      </c>
    </row>
    <row r="379" spans="1:4" x14ac:dyDescent="0.25">
      <c r="A379" s="89">
        <v>1150</v>
      </c>
      <c r="B379" s="76" t="s">
        <v>3594</v>
      </c>
      <c r="C379" s="77" t="s">
        <v>4319</v>
      </c>
      <c r="D379" s="68" t="s">
        <v>414</v>
      </c>
    </row>
    <row r="380" spans="1:4" x14ac:dyDescent="0.25">
      <c r="A380" s="89">
        <v>1151</v>
      </c>
      <c r="B380" s="76" t="s">
        <v>3595</v>
      </c>
      <c r="C380" s="77" t="s">
        <v>4320</v>
      </c>
      <c r="D380" s="68" t="s">
        <v>443</v>
      </c>
    </row>
    <row r="381" spans="1:4" x14ac:dyDescent="0.25">
      <c r="A381" s="89">
        <v>1152</v>
      </c>
      <c r="B381" s="76" t="s">
        <v>3596</v>
      </c>
      <c r="C381" s="77" t="s">
        <v>4321</v>
      </c>
      <c r="D381" s="71" t="s">
        <v>3197</v>
      </c>
    </row>
    <row r="382" spans="1:4" x14ac:dyDescent="0.25">
      <c r="A382" s="89">
        <v>1153</v>
      </c>
      <c r="B382" s="76" t="s">
        <v>554</v>
      </c>
      <c r="C382" s="77" t="s">
        <v>4322</v>
      </c>
      <c r="D382" s="68" t="s">
        <v>2937</v>
      </c>
    </row>
    <row r="383" spans="1:4" x14ac:dyDescent="0.25">
      <c r="A383" s="89">
        <v>1155</v>
      </c>
      <c r="B383" s="76" t="s">
        <v>3597</v>
      </c>
      <c r="C383" s="77" t="s">
        <v>4323</v>
      </c>
      <c r="D383" s="68" t="s">
        <v>473</v>
      </c>
    </row>
    <row r="384" spans="1:4" x14ac:dyDescent="0.25">
      <c r="A384" s="89">
        <v>1156</v>
      </c>
      <c r="B384" s="76" t="s">
        <v>484</v>
      </c>
      <c r="C384" s="77" t="s">
        <v>4324</v>
      </c>
      <c r="D384" s="68" t="s">
        <v>443</v>
      </c>
    </row>
    <row r="385" spans="1:4" x14ac:dyDescent="0.25">
      <c r="A385" s="89">
        <v>1160</v>
      </c>
      <c r="B385" s="76" t="s">
        <v>3598</v>
      </c>
      <c r="C385" s="77" t="s">
        <v>4325</v>
      </c>
      <c r="D385" s="68" t="s">
        <v>2859</v>
      </c>
    </row>
    <row r="386" spans="1:4" x14ac:dyDescent="0.25">
      <c r="A386" s="89">
        <v>1161</v>
      </c>
      <c r="B386" s="76" t="s">
        <v>3599</v>
      </c>
      <c r="C386" s="77" t="s">
        <v>4326</v>
      </c>
      <c r="D386" s="68" t="s">
        <v>3039</v>
      </c>
    </row>
    <row r="387" spans="1:4" x14ac:dyDescent="0.25">
      <c r="A387" s="89">
        <v>1162</v>
      </c>
      <c r="B387" s="76" t="s">
        <v>3600</v>
      </c>
      <c r="C387" s="77" t="s">
        <v>4327</v>
      </c>
      <c r="D387" s="68" t="s">
        <v>3039</v>
      </c>
    </row>
    <row r="388" spans="1:4" x14ac:dyDescent="0.25">
      <c r="A388" s="89">
        <v>1164</v>
      </c>
      <c r="B388" s="76" t="s">
        <v>3754</v>
      </c>
      <c r="C388" s="77" t="s">
        <v>4328</v>
      </c>
      <c r="D388" s="71" t="s">
        <v>3197</v>
      </c>
    </row>
    <row r="389" spans="1:4" x14ac:dyDescent="0.25">
      <c r="A389" s="89">
        <v>1165</v>
      </c>
      <c r="B389" s="76" t="s">
        <v>852</v>
      </c>
      <c r="C389" s="77" t="s">
        <v>4329</v>
      </c>
      <c r="D389" s="68" t="s">
        <v>3039</v>
      </c>
    </row>
    <row r="390" spans="1:4" x14ac:dyDescent="0.25">
      <c r="A390" s="89">
        <v>1167</v>
      </c>
      <c r="B390" s="76" t="s">
        <v>2699</v>
      </c>
      <c r="C390" s="77" t="s">
        <v>4330</v>
      </c>
      <c r="D390" s="71" t="s">
        <v>3197</v>
      </c>
    </row>
    <row r="391" spans="1:4" x14ac:dyDescent="0.25">
      <c r="A391" s="89">
        <v>1168</v>
      </c>
      <c r="B391" s="76" t="s">
        <v>3601</v>
      </c>
      <c r="C391" s="77" t="s">
        <v>4331</v>
      </c>
      <c r="D391" s="68" t="s">
        <v>414</v>
      </c>
    </row>
    <row r="392" spans="1:4" x14ac:dyDescent="0.25">
      <c r="A392" s="89">
        <v>1169</v>
      </c>
      <c r="B392" s="76" t="s">
        <v>3602</v>
      </c>
      <c r="C392" s="77" t="s">
        <v>4332</v>
      </c>
      <c r="D392" s="68" t="s">
        <v>473</v>
      </c>
    </row>
    <row r="393" spans="1:4" x14ac:dyDescent="0.25">
      <c r="A393" s="89">
        <v>1170</v>
      </c>
      <c r="B393" s="76" t="s">
        <v>3603</v>
      </c>
      <c r="C393" s="77" t="s">
        <v>4333</v>
      </c>
      <c r="D393" s="71" t="s">
        <v>3197</v>
      </c>
    </row>
    <row r="394" spans="1:4" x14ac:dyDescent="0.25">
      <c r="A394" s="89">
        <v>1171</v>
      </c>
      <c r="B394" s="76" t="s">
        <v>2687</v>
      </c>
      <c r="C394" s="77" t="s">
        <v>4334</v>
      </c>
      <c r="D394" s="68" t="s">
        <v>2904</v>
      </c>
    </row>
    <row r="395" spans="1:4" x14ac:dyDescent="0.25">
      <c r="A395" s="89">
        <v>1172</v>
      </c>
      <c r="B395" s="76" t="s">
        <v>3604</v>
      </c>
      <c r="C395" s="77" t="s">
        <v>4335</v>
      </c>
      <c r="D395" s="68" t="s">
        <v>473</v>
      </c>
    </row>
    <row r="396" spans="1:4" x14ac:dyDescent="0.25">
      <c r="A396" s="89">
        <v>1173</v>
      </c>
      <c r="B396" s="76" t="s">
        <v>501</v>
      </c>
      <c r="C396" s="77" t="s">
        <v>4336</v>
      </c>
      <c r="D396" s="68" t="s">
        <v>466</v>
      </c>
    </row>
    <row r="397" spans="1:4" x14ac:dyDescent="0.25">
      <c r="A397" s="89">
        <v>1174</v>
      </c>
      <c r="B397" s="76" t="s">
        <v>504</v>
      </c>
      <c r="C397" s="77" t="s">
        <v>4337</v>
      </c>
      <c r="D397" s="68" t="s">
        <v>3039</v>
      </c>
    </row>
    <row r="398" spans="1:4" x14ac:dyDescent="0.25">
      <c r="A398" s="89">
        <v>1176</v>
      </c>
      <c r="B398" s="76" t="s">
        <v>2890</v>
      </c>
      <c r="C398" s="77" t="s">
        <v>4338</v>
      </c>
      <c r="D398" s="71" t="s">
        <v>3197</v>
      </c>
    </row>
    <row r="399" spans="1:4" x14ac:dyDescent="0.25">
      <c r="A399" s="89">
        <v>1179</v>
      </c>
      <c r="B399" s="76" t="s">
        <v>3605</v>
      </c>
      <c r="C399" s="77" t="s">
        <v>4339</v>
      </c>
      <c r="D399" s="68" t="s">
        <v>473</v>
      </c>
    </row>
    <row r="400" spans="1:4" x14ac:dyDescent="0.25">
      <c r="A400" s="89">
        <v>1181</v>
      </c>
      <c r="B400" s="76" t="s">
        <v>3606</v>
      </c>
      <c r="C400" s="77" t="s">
        <v>4340</v>
      </c>
      <c r="D400" s="68" t="s">
        <v>473</v>
      </c>
    </row>
    <row r="401" spans="1:4" x14ac:dyDescent="0.25">
      <c r="A401" s="89">
        <v>1182</v>
      </c>
      <c r="B401" s="76" t="s">
        <v>3607</v>
      </c>
      <c r="C401" s="77" t="s">
        <v>4341</v>
      </c>
      <c r="D401" s="68" t="s">
        <v>473</v>
      </c>
    </row>
    <row r="402" spans="1:4" x14ac:dyDescent="0.25">
      <c r="A402" s="89">
        <v>1183</v>
      </c>
      <c r="B402" s="76" t="s">
        <v>3608</v>
      </c>
      <c r="C402" s="77" t="s">
        <v>4342</v>
      </c>
      <c r="D402" s="68" t="s">
        <v>473</v>
      </c>
    </row>
    <row r="403" spans="1:4" x14ac:dyDescent="0.25">
      <c r="A403" s="89">
        <v>1184</v>
      </c>
      <c r="B403" s="76" t="s">
        <v>496</v>
      </c>
      <c r="C403" s="77" t="s">
        <v>4343</v>
      </c>
      <c r="D403" s="68" t="s">
        <v>3036</v>
      </c>
    </row>
    <row r="404" spans="1:4" x14ac:dyDescent="0.25">
      <c r="A404" s="89">
        <v>1186</v>
      </c>
      <c r="B404" s="76" t="s">
        <v>3609</v>
      </c>
      <c r="C404" s="77" t="s">
        <v>4344</v>
      </c>
      <c r="D404" s="71" t="s">
        <v>3036</v>
      </c>
    </row>
    <row r="405" spans="1:4" x14ac:dyDescent="0.25">
      <c r="A405" s="89">
        <v>1188</v>
      </c>
      <c r="B405" s="76" t="s">
        <v>3610</v>
      </c>
      <c r="C405" s="77" t="s">
        <v>3608</v>
      </c>
      <c r="D405" s="68" t="s">
        <v>2904</v>
      </c>
    </row>
    <row r="406" spans="1:4" x14ac:dyDescent="0.25">
      <c r="A406" s="89">
        <v>1189</v>
      </c>
      <c r="B406" s="76" t="s">
        <v>493</v>
      </c>
      <c r="C406" s="77" t="s">
        <v>4345</v>
      </c>
      <c r="D406" s="68" t="s">
        <v>3036</v>
      </c>
    </row>
    <row r="407" spans="1:4" x14ac:dyDescent="0.25">
      <c r="A407" s="89">
        <v>1191</v>
      </c>
      <c r="B407" s="76" t="s">
        <v>3611</v>
      </c>
      <c r="C407" s="77" t="s">
        <v>4346</v>
      </c>
      <c r="D407" s="68" t="s">
        <v>3036</v>
      </c>
    </row>
    <row r="408" spans="1:4" x14ac:dyDescent="0.25">
      <c r="A408" s="89">
        <v>1193</v>
      </c>
      <c r="B408" s="76" t="s">
        <v>521</v>
      </c>
      <c r="C408" s="77" t="s">
        <v>4347</v>
      </c>
      <c r="D408" s="68" t="s">
        <v>522</v>
      </c>
    </row>
    <row r="409" spans="1:4" x14ac:dyDescent="0.25">
      <c r="A409" s="89">
        <v>1194</v>
      </c>
      <c r="B409" s="76" t="s">
        <v>3612</v>
      </c>
      <c r="C409" s="77" t="s">
        <v>4348</v>
      </c>
      <c r="D409" s="68" t="s">
        <v>522</v>
      </c>
    </row>
    <row r="410" spans="1:4" x14ac:dyDescent="0.25">
      <c r="A410" s="89">
        <v>1195</v>
      </c>
      <c r="B410" s="76" t="s">
        <v>2896</v>
      </c>
      <c r="C410" s="77" t="s">
        <v>4349</v>
      </c>
      <c r="D410" s="68" t="s">
        <v>489</v>
      </c>
    </row>
    <row r="411" spans="1:4" x14ac:dyDescent="0.25">
      <c r="A411" s="89">
        <v>1197</v>
      </c>
      <c r="B411" s="76" t="s">
        <v>3613</v>
      </c>
      <c r="C411" s="77" t="s">
        <v>4350</v>
      </c>
      <c r="D411" s="71" t="s">
        <v>3197</v>
      </c>
    </row>
    <row r="412" spans="1:4" x14ac:dyDescent="0.25">
      <c r="A412" s="89">
        <v>1198</v>
      </c>
      <c r="B412" s="76" t="s">
        <v>514</v>
      </c>
      <c r="C412" s="77" t="s">
        <v>4351</v>
      </c>
      <c r="D412" s="71" t="s">
        <v>3036</v>
      </c>
    </row>
    <row r="413" spans="1:4" x14ac:dyDescent="0.25">
      <c r="A413" s="89">
        <v>1602</v>
      </c>
      <c r="B413" s="76" t="s">
        <v>3614</v>
      </c>
      <c r="C413" s="77" t="s">
        <v>4352</v>
      </c>
      <c r="D413" s="68" t="s">
        <v>489</v>
      </c>
    </row>
    <row r="414" spans="1:4" x14ac:dyDescent="0.25">
      <c r="A414" s="89">
        <v>1603</v>
      </c>
      <c r="B414" s="76" t="s">
        <v>544</v>
      </c>
      <c r="C414" s="77"/>
      <c r="D414" s="68" t="s">
        <v>522</v>
      </c>
    </row>
    <row r="415" spans="1:4" x14ac:dyDescent="0.25">
      <c r="A415" s="89">
        <v>1605</v>
      </c>
      <c r="B415" s="76" t="s">
        <v>1439</v>
      </c>
      <c r="C415" s="77" t="s">
        <v>4353</v>
      </c>
      <c r="D415" s="68" t="s">
        <v>522</v>
      </c>
    </row>
    <row r="416" spans="1:4" x14ac:dyDescent="0.25">
      <c r="A416" s="89">
        <v>1606</v>
      </c>
      <c r="B416" s="76" t="s">
        <v>3615</v>
      </c>
      <c r="C416" s="77" t="s">
        <v>4354</v>
      </c>
      <c r="D416" s="68" t="s">
        <v>522</v>
      </c>
    </row>
    <row r="417" spans="1:4" x14ac:dyDescent="0.25">
      <c r="A417" s="89">
        <v>1607</v>
      </c>
      <c r="B417" s="76" t="s">
        <v>518</v>
      </c>
      <c r="C417" s="77" t="s">
        <v>4355</v>
      </c>
      <c r="D417" s="68" t="s">
        <v>489</v>
      </c>
    </row>
    <row r="418" spans="1:4" x14ac:dyDescent="0.25">
      <c r="A418" s="89">
        <v>1608</v>
      </c>
      <c r="B418" s="76" t="s">
        <v>3616</v>
      </c>
      <c r="C418" s="77" t="s">
        <v>4356</v>
      </c>
      <c r="D418" s="68" t="s">
        <v>2902</v>
      </c>
    </row>
    <row r="419" spans="1:4" x14ac:dyDescent="0.25">
      <c r="A419" s="89">
        <v>1609</v>
      </c>
      <c r="B419" s="76" t="s">
        <v>3617</v>
      </c>
      <c r="C419" s="77" t="s">
        <v>4357</v>
      </c>
      <c r="D419" s="68" t="s">
        <v>2902</v>
      </c>
    </row>
    <row r="420" spans="1:4" x14ac:dyDescent="0.25">
      <c r="A420" s="89">
        <v>1610</v>
      </c>
      <c r="B420" s="76" t="s">
        <v>531</v>
      </c>
      <c r="C420" s="77" t="s">
        <v>4358</v>
      </c>
      <c r="D420" s="68" t="s">
        <v>2902</v>
      </c>
    </row>
    <row r="421" spans="1:4" x14ac:dyDescent="0.25">
      <c r="A421" s="89">
        <v>1611</v>
      </c>
      <c r="B421" s="76" t="s">
        <v>535</v>
      </c>
      <c r="C421" s="77" t="s">
        <v>4359</v>
      </c>
      <c r="D421" s="68" t="s">
        <v>3036</v>
      </c>
    </row>
    <row r="422" spans="1:4" x14ac:dyDescent="0.25">
      <c r="A422" s="89">
        <v>1612</v>
      </c>
      <c r="B422" s="76" t="s">
        <v>3618</v>
      </c>
      <c r="C422" s="77" t="s">
        <v>4360</v>
      </c>
      <c r="D422" s="68" t="s">
        <v>3036</v>
      </c>
    </row>
    <row r="423" spans="1:4" x14ac:dyDescent="0.25">
      <c r="A423" s="89">
        <v>1613</v>
      </c>
      <c r="B423" s="76" t="s">
        <v>3619</v>
      </c>
      <c r="C423" s="77" t="s">
        <v>4361</v>
      </c>
      <c r="D423" s="68" t="s">
        <v>3036</v>
      </c>
    </row>
    <row r="424" spans="1:4" x14ac:dyDescent="0.25">
      <c r="A424" s="89">
        <v>1615</v>
      </c>
      <c r="B424" s="76" t="s">
        <v>3620</v>
      </c>
      <c r="C424" s="77" t="s">
        <v>4362</v>
      </c>
      <c r="D424" s="68" t="s">
        <v>522</v>
      </c>
    </row>
    <row r="425" spans="1:4" x14ac:dyDescent="0.25">
      <c r="A425" s="89">
        <v>1616</v>
      </c>
      <c r="B425" s="76" t="s">
        <v>3755</v>
      </c>
      <c r="C425" s="77" t="s">
        <v>4363</v>
      </c>
      <c r="D425" s="68" t="s">
        <v>522</v>
      </c>
    </row>
    <row r="426" spans="1:4" x14ac:dyDescent="0.25">
      <c r="A426" s="89">
        <v>1618</v>
      </c>
      <c r="B426" s="76" t="s">
        <v>2908</v>
      </c>
      <c r="C426" s="77" t="s">
        <v>4364</v>
      </c>
      <c r="D426" s="68" t="s">
        <v>3036</v>
      </c>
    </row>
    <row r="427" spans="1:4" x14ac:dyDescent="0.25">
      <c r="A427" s="89">
        <v>1619</v>
      </c>
      <c r="B427" s="76" t="s">
        <v>541</v>
      </c>
      <c r="C427" s="77"/>
      <c r="D427" s="71" t="s">
        <v>3040</v>
      </c>
    </row>
    <row r="428" spans="1:4" x14ac:dyDescent="0.25">
      <c r="A428" s="89">
        <v>1622</v>
      </c>
      <c r="B428" s="76" t="s">
        <v>568</v>
      </c>
      <c r="C428" s="77"/>
      <c r="D428" s="68" t="s">
        <v>522</v>
      </c>
    </row>
    <row r="429" spans="1:4" x14ac:dyDescent="0.25">
      <c r="A429" s="89">
        <v>1623</v>
      </c>
      <c r="B429" s="76" t="s">
        <v>2911</v>
      </c>
      <c r="C429" s="77" t="s">
        <v>4365</v>
      </c>
      <c r="D429" s="68" t="s">
        <v>522</v>
      </c>
    </row>
    <row r="430" spans="1:4" x14ac:dyDescent="0.25">
      <c r="A430" s="89">
        <v>1624</v>
      </c>
      <c r="B430" s="76" t="s">
        <v>3621</v>
      </c>
      <c r="C430" s="77"/>
      <c r="D430" s="68" t="s">
        <v>522</v>
      </c>
    </row>
    <row r="431" spans="1:4" x14ac:dyDescent="0.25">
      <c r="A431" s="89">
        <v>1625</v>
      </c>
      <c r="B431" s="76" t="s">
        <v>3622</v>
      </c>
      <c r="C431" s="77" t="s">
        <v>4366</v>
      </c>
      <c r="D431" s="68" t="s">
        <v>466</v>
      </c>
    </row>
    <row r="432" spans="1:4" x14ac:dyDescent="0.25">
      <c r="A432" s="89">
        <v>1626</v>
      </c>
      <c r="B432" s="76" t="s">
        <v>548</v>
      </c>
      <c r="C432" s="77" t="s">
        <v>4367</v>
      </c>
      <c r="D432" s="71" t="s">
        <v>3021</v>
      </c>
    </row>
    <row r="433" spans="1:4" x14ac:dyDescent="0.25">
      <c r="A433" s="89">
        <v>1627</v>
      </c>
      <c r="B433" s="76" t="s">
        <v>3623</v>
      </c>
      <c r="C433" s="77" t="s">
        <v>4368</v>
      </c>
      <c r="D433" s="68" t="s">
        <v>2902</v>
      </c>
    </row>
    <row r="434" spans="1:4" x14ac:dyDescent="0.25">
      <c r="A434" s="89">
        <v>1628</v>
      </c>
      <c r="B434" s="76" t="s">
        <v>552</v>
      </c>
      <c r="C434" s="77" t="s">
        <v>4369</v>
      </c>
      <c r="D434" s="68" t="s">
        <v>2902</v>
      </c>
    </row>
    <row r="435" spans="1:4" x14ac:dyDescent="0.25">
      <c r="A435" s="89">
        <v>1629</v>
      </c>
      <c r="B435" s="76" t="s">
        <v>480</v>
      </c>
      <c r="C435" s="77" t="s">
        <v>4370</v>
      </c>
      <c r="D435" s="68" t="s">
        <v>2937</v>
      </c>
    </row>
    <row r="436" spans="1:4" x14ac:dyDescent="0.25">
      <c r="A436" s="89">
        <v>1630</v>
      </c>
      <c r="B436" s="76" t="s">
        <v>556</v>
      </c>
      <c r="C436" s="77" t="s">
        <v>4371</v>
      </c>
      <c r="D436" s="68" t="s">
        <v>2937</v>
      </c>
    </row>
    <row r="437" spans="1:4" x14ac:dyDescent="0.25">
      <c r="A437" s="89">
        <v>1631</v>
      </c>
      <c r="B437" s="76" t="s">
        <v>508</v>
      </c>
      <c r="C437" s="77" t="s">
        <v>3608</v>
      </c>
      <c r="D437" s="68" t="s">
        <v>2902</v>
      </c>
    </row>
    <row r="438" spans="1:4" x14ac:dyDescent="0.25">
      <c r="A438" s="89">
        <v>1632</v>
      </c>
      <c r="B438" s="76" t="s">
        <v>560</v>
      </c>
      <c r="C438" s="77" t="s">
        <v>4372</v>
      </c>
      <c r="D438" s="68" t="s">
        <v>2937</v>
      </c>
    </row>
    <row r="439" spans="1:4" x14ac:dyDescent="0.25">
      <c r="A439" s="89">
        <v>1633</v>
      </c>
      <c r="B439" s="76" t="s">
        <v>562</v>
      </c>
      <c r="C439" s="77" t="s">
        <v>4373</v>
      </c>
      <c r="D439" s="68" t="s">
        <v>2859</v>
      </c>
    </row>
    <row r="440" spans="1:4" x14ac:dyDescent="0.25">
      <c r="A440" s="89">
        <v>1634</v>
      </c>
      <c r="B440" s="76" t="s">
        <v>3624</v>
      </c>
      <c r="C440" s="77" t="s">
        <v>3608</v>
      </c>
      <c r="D440" s="68" t="s">
        <v>2902</v>
      </c>
    </row>
    <row r="441" spans="1:4" x14ac:dyDescent="0.25">
      <c r="A441" s="89">
        <v>1635</v>
      </c>
      <c r="B441" s="76" t="s">
        <v>565</v>
      </c>
      <c r="C441" s="77" t="s">
        <v>4374</v>
      </c>
      <c r="D441" s="68" t="s">
        <v>2859</v>
      </c>
    </row>
    <row r="442" spans="1:4" x14ac:dyDescent="0.25">
      <c r="A442" s="89">
        <v>1636</v>
      </c>
      <c r="B442" s="76" t="s">
        <v>3625</v>
      </c>
      <c r="C442" s="77" t="s">
        <v>4375</v>
      </c>
      <c r="D442" s="68" t="s">
        <v>522</v>
      </c>
    </row>
    <row r="443" spans="1:4" x14ac:dyDescent="0.25">
      <c r="A443" s="89">
        <v>1637</v>
      </c>
      <c r="B443" s="76" t="s">
        <v>3207</v>
      </c>
      <c r="C443" s="77"/>
      <c r="D443" s="68" t="s">
        <v>3039</v>
      </c>
    </row>
    <row r="444" spans="1:4" x14ac:dyDescent="0.25">
      <c r="A444" s="89">
        <v>1638</v>
      </c>
      <c r="B444" s="76" t="s">
        <v>3626</v>
      </c>
      <c r="C444" s="77" t="s">
        <v>4376</v>
      </c>
      <c r="D444" s="68" t="s">
        <v>2902</v>
      </c>
    </row>
    <row r="445" spans="1:4" x14ac:dyDescent="0.25">
      <c r="A445" s="89">
        <v>1639</v>
      </c>
      <c r="B445" s="76" t="s">
        <v>856</v>
      </c>
      <c r="C445" s="77" t="s">
        <v>4377</v>
      </c>
      <c r="D445" s="68" t="s">
        <v>2902</v>
      </c>
    </row>
    <row r="446" spans="1:4" x14ac:dyDescent="0.25">
      <c r="A446" s="89">
        <v>1640</v>
      </c>
      <c r="B446" s="76" t="s">
        <v>573</v>
      </c>
      <c r="C446" s="77" t="s">
        <v>4378</v>
      </c>
      <c r="D446" s="68" t="s">
        <v>2937</v>
      </c>
    </row>
    <row r="447" spans="1:4" x14ac:dyDescent="0.25">
      <c r="A447" s="89">
        <v>1641</v>
      </c>
      <c r="B447" s="76" t="s">
        <v>575</v>
      </c>
      <c r="C447" s="77" t="s">
        <v>4379</v>
      </c>
      <c r="D447" s="68" t="s">
        <v>522</v>
      </c>
    </row>
    <row r="448" spans="1:4" x14ac:dyDescent="0.25">
      <c r="A448" s="89">
        <v>1642</v>
      </c>
      <c r="B448" s="76" t="s">
        <v>577</v>
      </c>
      <c r="C448" s="77" t="s">
        <v>4380</v>
      </c>
      <c r="D448" s="68" t="s">
        <v>2902</v>
      </c>
    </row>
    <row r="449" spans="1:4" x14ac:dyDescent="0.25">
      <c r="A449" s="89">
        <v>1643</v>
      </c>
      <c r="B449" s="76" t="s">
        <v>2927</v>
      </c>
      <c r="C449" s="77" t="s">
        <v>4381</v>
      </c>
      <c r="D449" s="68" t="s">
        <v>2937</v>
      </c>
    </row>
    <row r="450" spans="1:4" x14ac:dyDescent="0.25">
      <c r="A450" s="89">
        <v>1644</v>
      </c>
      <c r="B450" s="76" t="s">
        <v>862</v>
      </c>
      <c r="C450" s="77" t="s">
        <v>3608</v>
      </c>
      <c r="D450" s="68" t="s">
        <v>2937</v>
      </c>
    </row>
    <row r="451" spans="1:4" x14ac:dyDescent="0.25">
      <c r="A451" s="89">
        <v>1645</v>
      </c>
      <c r="B451" s="76" t="s">
        <v>587</v>
      </c>
      <c r="C451" s="77" t="s">
        <v>4382</v>
      </c>
      <c r="D451" s="68" t="s">
        <v>489</v>
      </c>
    </row>
    <row r="452" spans="1:4" x14ac:dyDescent="0.25">
      <c r="A452" s="89">
        <v>1646</v>
      </c>
      <c r="B452" s="76" t="s">
        <v>3627</v>
      </c>
      <c r="C452" s="77" t="s">
        <v>4383</v>
      </c>
      <c r="D452" s="68" t="s">
        <v>466</v>
      </c>
    </row>
    <row r="453" spans="1:4" x14ac:dyDescent="0.25">
      <c r="A453" s="89">
        <v>1647</v>
      </c>
      <c r="B453" s="76" t="s">
        <v>3628</v>
      </c>
      <c r="C453" s="77" t="s">
        <v>4384</v>
      </c>
      <c r="D453" s="71" t="s">
        <v>3197</v>
      </c>
    </row>
    <row r="454" spans="1:4" x14ac:dyDescent="0.25">
      <c r="A454" s="89">
        <v>1648</v>
      </c>
      <c r="B454" s="76" t="s">
        <v>3629</v>
      </c>
      <c r="C454" s="77" t="s">
        <v>4385</v>
      </c>
      <c r="D454" s="68" t="s">
        <v>489</v>
      </c>
    </row>
    <row r="455" spans="1:4" x14ac:dyDescent="0.25">
      <c r="A455" s="89">
        <v>1649</v>
      </c>
      <c r="B455" s="76" t="s">
        <v>3630</v>
      </c>
      <c r="C455" s="77" t="s">
        <v>4386</v>
      </c>
      <c r="D455" s="68" t="s">
        <v>489</v>
      </c>
    </row>
    <row r="456" spans="1:4" x14ac:dyDescent="0.25">
      <c r="A456" s="89">
        <v>1650</v>
      </c>
      <c r="B456" s="76" t="s">
        <v>1441</v>
      </c>
      <c r="C456" s="77" t="s">
        <v>4387</v>
      </c>
      <c r="D456" s="68" t="s">
        <v>473</v>
      </c>
    </row>
    <row r="457" spans="1:4" x14ac:dyDescent="0.25">
      <c r="A457" s="89">
        <v>1651</v>
      </c>
      <c r="B457" s="76" t="s">
        <v>3631</v>
      </c>
      <c r="C457" s="77" t="s">
        <v>4388</v>
      </c>
      <c r="D457" s="68" t="s">
        <v>414</v>
      </c>
    </row>
    <row r="458" spans="1:4" x14ac:dyDescent="0.25">
      <c r="A458" s="89">
        <v>1652</v>
      </c>
      <c r="B458" s="76" t="s">
        <v>3632</v>
      </c>
      <c r="C458" s="77" t="s">
        <v>4389</v>
      </c>
      <c r="D458" s="68" t="s">
        <v>489</v>
      </c>
    </row>
    <row r="459" spans="1:4" x14ac:dyDescent="0.25">
      <c r="A459" s="89">
        <v>1653</v>
      </c>
      <c r="B459" s="76" t="s">
        <v>3633</v>
      </c>
      <c r="C459" s="77" t="s">
        <v>4390</v>
      </c>
      <c r="D459" s="68" t="s">
        <v>489</v>
      </c>
    </row>
    <row r="460" spans="1:4" x14ac:dyDescent="0.25">
      <c r="A460" s="89">
        <v>1654</v>
      </c>
      <c r="B460" s="76" t="s">
        <v>3634</v>
      </c>
      <c r="C460" s="77" t="s">
        <v>4391</v>
      </c>
      <c r="D460" s="68" t="s">
        <v>489</v>
      </c>
    </row>
    <row r="461" spans="1:4" x14ac:dyDescent="0.25">
      <c r="A461" s="89">
        <v>1655</v>
      </c>
      <c r="B461" s="76" t="s">
        <v>590</v>
      </c>
      <c r="C461" s="77" t="s">
        <v>4392</v>
      </c>
      <c r="D461" s="68" t="s">
        <v>489</v>
      </c>
    </row>
    <row r="462" spans="1:4" x14ac:dyDescent="0.25">
      <c r="A462" s="89">
        <v>1656</v>
      </c>
      <c r="B462" s="76"/>
      <c r="C462" s="77"/>
      <c r="D462" s="68" t="s">
        <v>489</v>
      </c>
    </row>
    <row r="463" spans="1:4" x14ac:dyDescent="0.25">
      <c r="A463" s="89">
        <v>1657</v>
      </c>
      <c r="B463" s="76" t="s">
        <v>3635</v>
      </c>
      <c r="C463" s="77" t="s">
        <v>4393</v>
      </c>
      <c r="D463" s="68" t="s">
        <v>489</v>
      </c>
    </row>
    <row r="464" spans="1:4" x14ac:dyDescent="0.25">
      <c r="A464" s="89">
        <v>1658</v>
      </c>
      <c r="B464" s="76" t="s">
        <v>859</v>
      </c>
      <c r="C464" s="77" t="s">
        <v>4394</v>
      </c>
      <c r="D464" s="68" t="s">
        <v>489</v>
      </c>
    </row>
    <row r="465" spans="1:4" x14ac:dyDescent="0.25">
      <c r="A465" s="89">
        <v>1659</v>
      </c>
      <c r="B465" s="76" t="s">
        <v>583</v>
      </c>
      <c r="C465" s="77" t="s">
        <v>4395</v>
      </c>
      <c r="D465" s="68" t="s">
        <v>466</v>
      </c>
    </row>
    <row r="466" spans="1:4" x14ac:dyDescent="0.25">
      <c r="A466" s="89">
        <v>1660</v>
      </c>
      <c r="B466" s="76" t="s">
        <v>596</v>
      </c>
      <c r="C466" s="77" t="s">
        <v>4396</v>
      </c>
      <c r="D466" s="68" t="s">
        <v>489</v>
      </c>
    </row>
    <row r="467" spans="1:4" x14ac:dyDescent="0.25">
      <c r="A467" s="89">
        <v>1661</v>
      </c>
      <c r="B467" s="76" t="s">
        <v>3756</v>
      </c>
      <c r="C467" s="77" t="s">
        <v>4397</v>
      </c>
      <c r="D467" s="71" t="s">
        <v>3197</v>
      </c>
    </row>
    <row r="468" spans="1:4" x14ac:dyDescent="0.25">
      <c r="A468" s="89">
        <v>1662</v>
      </c>
      <c r="B468" s="76" t="s">
        <v>3757</v>
      </c>
      <c r="C468" s="77"/>
      <c r="D468" s="68" t="s">
        <v>3036</v>
      </c>
    </row>
    <row r="469" spans="1:4" x14ac:dyDescent="0.25">
      <c r="A469" s="89">
        <v>1663</v>
      </c>
      <c r="B469" s="76" t="s">
        <v>3758</v>
      </c>
      <c r="C469" s="77" t="s">
        <v>3608</v>
      </c>
      <c r="D469" s="71" t="s">
        <v>3197</v>
      </c>
    </row>
    <row r="470" spans="1:4" x14ac:dyDescent="0.25">
      <c r="A470" s="89">
        <v>1664</v>
      </c>
      <c r="B470" s="76"/>
      <c r="C470" s="77"/>
      <c r="D470" s="68" t="s">
        <v>2937</v>
      </c>
    </row>
    <row r="471" spans="1:4" x14ac:dyDescent="0.25">
      <c r="A471" s="134">
        <v>3571</v>
      </c>
      <c r="B471" s="68" t="s">
        <v>4417</v>
      </c>
      <c r="C471" s="77"/>
    </row>
    <row r="472" spans="1:4" x14ac:dyDescent="0.25">
      <c r="A472" s="135">
        <v>2349</v>
      </c>
      <c r="B472" s="68" t="s">
        <v>4418</v>
      </c>
      <c r="C472" s="77"/>
    </row>
    <row r="473" spans="1:4" x14ac:dyDescent="0.25">
      <c r="A473" s="135">
        <v>2347</v>
      </c>
      <c r="B473" s="71" t="s">
        <v>4419</v>
      </c>
      <c r="C473" s="77"/>
    </row>
    <row r="474" spans="1:4" x14ac:dyDescent="0.25">
      <c r="A474" s="134">
        <v>1674</v>
      </c>
      <c r="B474" s="68" t="s">
        <v>4420</v>
      </c>
      <c r="C474" s="77"/>
    </row>
    <row r="475" spans="1:4" x14ac:dyDescent="0.25">
      <c r="A475" s="136">
        <v>1681</v>
      </c>
      <c r="B475" s="68" t="s">
        <v>4421</v>
      </c>
      <c r="C475" s="77"/>
    </row>
    <row r="476" spans="1:4" x14ac:dyDescent="0.25">
      <c r="A476" s="136">
        <v>1682</v>
      </c>
      <c r="B476" s="68" t="s">
        <v>4422</v>
      </c>
      <c r="C476" s="77"/>
    </row>
    <row r="477" spans="1:4" x14ac:dyDescent="0.25">
      <c r="A477" s="136">
        <v>1694</v>
      </c>
      <c r="B477" s="68" t="s">
        <v>4423</v>
      </c>
      <c r="C477" s="77"/>
    </row>
    <row r="478" spans="1:4" x14ac:dyDescent="0.25">
      <c r="A478" s="136">
        <v>4505</v>
      </c>
      <c r="B478" s="68" t="s">
        <v>4424</v>
      </c>
      <c r="C478" s="77"/>
    </row>
    <row r="479" spans="1:4" x14ac:dyDescent="0.25">
      <c r="A479" s="122"/>
      <c r="B479" s="76"/>
      <c r="C479" s="77"/>
    </row>
    <row r="480" spans="1:4" x14ac:dyDescent="0.25">
      <c r="A480" s="122"/>
      <c r="B480" s="76"/>
      <c r="C480" s="77"/>
    </row>
    <row r="481" spans="1:3" x14ac:dyDescent="0.25">
      <c r="A481" s="122"/>
      <c r="B481" s="76"/>
      <c r="C481" s="77"/>
    </row>
    <row r="482" spans="1:3" x14ac:dyDescent="0.25">
      <c r="A482" s="122"/>
      <c r="B482" s="76"/>
      <c r="C482" s="77"/>
    </row>
    <row r="483" spans="1:3" x14ac:dyDescent="0.25">
      <c r="A483" s="122"/>
      <c r="B483" s="76"/>
      <c r="C483" s="77"/>
    </row>
    <row r="484" spans="1:3" x14ac:dyDescent="0.25">
      <c r="A484" s="122"/>
      <c r="B484" s="76"/>
      <c r="C484" s="77"/>
    </row>
    <row r="485" spans="1:3" x14ac:dyDescent="0.25">
      <c r="A485" s="122"/>
      <c r="B485" s="76"/>
      <c r="C485" s="77"/>
    </row>
    <row r="486" spans="1:3" x14ac:dyDescent="0.25">
      <c r="A486" s="122"/>
      <c r="B486" s="76"/>
      <c r="C486" s="77"/>
    </row>
    <row r="487" spans="1:3" x14ac:dyDescent="0.25">
      <c r="A487" s="122"/>
      <c r="B487" s="76"/>
      <c r="C487" s="77"/>
    </row>
    <row r="488" spans="1:3" x14ac:dyDescent="0.25">
      <c r="A488" s="122"/>
      <c r="B488" s="76"/>
      <c r="C488" s="77"/>
    </row>
    <row r="489" spans="1:3" x14ac:dyDescent="0.25">
      <c r="A489" s="122"/>
      <c r="B489" s="76"/>
      <c r="C489" s="77"/>
    </row>
    <row r="490" spans="1:3" x14ac:dyDescent="0.25">
      <c r="A490" s="122"/>
      <c r="B490" s="76"/>
      <c r="C490" s="77"/>
    </row>
    <row r="491" spans="1:3" x14ac:dyDescent="0.25">
      <c r="A491" s="122"/>
      <c r="B491" s="76"/>
      <c r="C491" s="77"/>
    </row>
    <row r="492" spans="1:3" x14ac:dyDescent="0.25">
      <c r="A492" s="122"/>
      <c r="B492" s="76"/>
      <c r="C492" s="77"/>
    </row>
    <row r="493" spans="1:3" x14ac:dyDescent="0.25">
      <c r="A493" s="122"/>
      <c r="B493" s="76"/>
      <c r="C493" s="77"/>
    </row>
    <row r="494" spans="1:3" x14ac:dyDescent="0.25">
      <c r="A494" s="122"/>
      <c r="B494" s="76"/>
      <c r="C494" s="77"/>
    </row>
    <row r="495" spans="1:3" x14ac:dyDescent="0.25">
      <c r="A495" s="122"/>
      <c r="B495" s="76"/>
      <c r="C495" s="77"/>
    </row>
    <row r="496" spans="1:3" x14ac:dyDescent="0.25">
      <c r="A496" s="122"/>
      <c r="B496" s="76"/>
      <c r="C496" s="77"/>
    </row>
    <row r="497" spans="1:3" x14ac:dyDescent="0.25">
      <c r="A497" s="122"/>
      <c r="B497" s="76"/>
      <c r="C497" s="77"/>
    </row>
    <row r="498" spans="1:3" x14ac:dyDescent="0.25">
      <c r="A498" s="122"/>
      <c r="B498" s="76"/>
      <c r="C498" s="77"/>
    </row>
    <row r="499" spans="1:3" x14ac:dyDescent="0.25">
      <c r="A499" s="122"/>
      <c r="B499" s="76"/>
      <c r="C499" s="77"/>
    </row>
    <row r="500" spans="1:3" x14ac:dyDescent="0.25">
      <c r="A500" s="122"/>
      <c r="B500" s="76"/>
      <c r="C500" s="77"/>
    </row>
    <row r="501" spans="1:3" x14ac:dyDescent="0.25">
      <c r="A501" s="122"/>
      <c r="B501" s="76"/>
      <c r="C501" s="77"/>
    </row>
    <row r="502" spans="1:3" x14ac:dyDescent="0.25">
      <c r="A502" s="122"/>
      <c r="B502" s="76"/>
      <c r="C502" s="77"/>
    </row>
    <row r="503" spans="1:3" x14ac:dyDescent="0.25">
      <c r="A503" s="122"/>
      <c r="B503" s="76"/>
      <c r="C503" s="77"/>
    </row>
    <row r="504" spans="1:3" x14ac:dyDescent="0.25">
      <c r="A504" s="122"/>
      <c r="B504" s="76"/>
      <c r="C504" s="77"/>
    </row>
    <row r="505" spans="1:3" x14ac:dyDescent="0.25">
      <c r="A505" s="122"/>
      <c r="B505" s="76"/>
      <c r="C505" s="77"/>
    </row>
    <row r="506" spans="1:3" x14ac:dyDescent="0.25">
      <c r="A506" s="122"/>
      <c r="B506" s="76"/>
      <c r="C506" s="77"/>
    </row>
    <row r="507" spans="1:3" x14ac:dyDescent="0.25">
      <c r="A507" s="122"/>
      <c r="B507" s="76"/>
      <c r="C507" s="77"/>
    </row>
    <row r="508" spans="1:3" x14ac:dyDescent="0.25">
      <c r="A508" s="122"/>
      <c r="B508" s="76"/>
      <c r="C508" s="77"/>
    </row>
    <row r="509" spans="1:3" x14ac:dyDescent="0.25">
      <c r="A509" s="122"/>
      <c r="B509" s="76"/>
      <c r="C509" s="77"/>
    </row>
    <row r="510" spans="1:3" x14ac:dyDescent="0.25">
      <c r="A510" s="122"/>
      <c r="B510" s="76"/>
      <c r="C510" s="77"/>
    </row>
    <row r="511" spans="1:3" x14ac:dyDescent="0.25">
      <c r="A511" s="122"/>
      <c r="B511" s="76"/>
      <c r="C511" s="77"/>
    </row>
    <row r="512" spans="1:3" x14ac:dyDescent="0.25">
      <c r="A512" s="122"/>
      <c r="B512" s="76"/>
      <c r="C512" s="77"/>
    </row>
    <row r="513" spans="1:3" x14ac:dyDescent="0.25">
      <c r="A513" s="122"/>
      <c r="B513" s="76"/>
      <c r="C513" s="77"/>
    </row>
    <row r="514" spans="1:3" x14ac:dyDescent="0.25">
      <c r="A514" s="122"/>
      <c r="B514" s="76"/>
      <c r="C514" s="77"/>
    </row>
    <row r="515" spans="1:3" x14ac:dyDescent="0.25">
      <c r="A515" s="122"/>
      <c r="B515" s="76"/>
      <c r="C515" s="77"/>
    </row>
    <row r="516" spans="1:3" x14ac:dyDescent="0.25">
      <c r="A516" s="122"/>
      <c r="B516" s="76"/>
      <c r="C516" s="77"/>
    </row>
    <row r="517" spans="1:3" x14ac:dyDescent="0.25">
      <c r="A517" s="122"/>
      <c r="B517" s="76"/>
      <c r="C517" s="77"/>
    </row>
    <row r="518" spans="1:3" x14ac:dyDescent="0.25">
      <c r="A518" s="122"/>
      <c r="B518" s="76"/>
      <c r="C518" s="77"/>
    </row>
    <row r="519" spans="1:3" x14ac:dyDescent="0.25">
      <c r="A519" s="122"/>
      <c r="B519" s="76"/>
      <c r="C519" s="77"/>
    </row>
    <row r="520" spans="1:3" x14ac:dyDescent="0.25">
      <c r="A520" s="122"/>
      <c r="B520" s="76"/>
      <c r="C520" s="77"/>
    </row>
    <row r="521" spans="1:3" x14ac:dyDescent="0.25">
      <c r="A521" s="122"/>
      <c r="B521" s="76"/>
      <c r="C521" s="77"/>
    </row>
    <row r="522" spans="1:3" x14ac:dyDescent="0.25">
      <c r="A522" s="122"/>
      <c r="B522" s="76"/>
      <c r="C522" s="77"/>
    </row>
    <row r="523" spans="1:3" x14ac:dyDescent="0.25">
      <c r="A523" s="122"/>
      <c r="B523" s="76"/>
      <c r="C523" s="77"/>
    </row>
    <row r="524" spans="1:3" x14ac:dyDescent="0.25">
      <c r="A524" s="122"/>
      <c r="B524" s="76"/>
      <c r="C524" s="77"/>
    </row>
    <row r="525" spans="1:3" x14ac:dyDescent="0.25">
      <c r="A525" s="122"/>
      <c r="B525" s="76"/>
      <c r="C525" s="77"/>
    </row>
    <row r="526" spans="1:3" x14ac:dyDescent="0.25">
      <c r="A526" s="122"/>
      <c r="B526" s="76"/>
      <c r="C526" s="77"/>
    </row>
    <row r="527" spans="1:3" x14ac:dyDescent="0.25">
      <c r="A527" s="122"/>
      <c r="B527" s="76"/>
      <c r="C527" s="77"/>
    </row>
    <row r="528" spans="1:3" x14ac:dyDescent="0.25">
      <c r="A528" s="122"/>
      <c r="B528" s="76"/>
      <c r="C528" s="77"/>
    </row>
    <row r="529" spans="1:3" x14ac:dyDescent="0.25">
      <c r="A529" s="122"/>
      <c r="B529" s="76"/>
      <c r="C529" s="77"/>
    </row>
    <row r="530" spans="1:3" x14ac:dyDescent="0.25">
      <c r="A530" s="122"/>
      <c r="B530" s="76"/>
      <c r="C530" s="77"/>
    </row>
    <row r="531" spans="1:3" x14ac:dyDescent="0.25">
      <c r="A531" s="122"/>
      <c r="B531" s="76"/>
      <c r="C531" s="77"/>
    </row>
    <row r="532" spans="1:3" x14ac:dyDescent="0.25">
      <c r="A532" s="122"/>
      <c r="B532" s="76"/>
      <c r="C532" s="77"/>
    </row>
    <row r="533" spans="1:3" x14ac:dyDescent="0.25">
      <c r="A533" s="122"/>
      <c r="B533" s="76"/>
      <c r="C533" s="77"/>
    </row>
    <row r="534" spans="1:3" x14ac:dyDescent="0.25">
      <c r="A534" s="122"/>
      <c r="B534" s="76"/>
      <c r="C534" s="77"/>
    </row>
    <row r="535" spans="1:3" x14ac:dyDescent="0.25">
      <c r="A535" s="122"/>
      <c r="B535" s="76"/>
      <c r="C535" s="77"/>
    </row>
    <row r="536" spans="1:3" x14ac:dyDescent="0.25">
      <c r="A536" s="122"/>
      <c r="B536" s="76"/>
      <c r="C536" s="77"/>
    </row>
    <row r="537" spans="1:3" x14ac:dyDescent="0.25">
      <c r="A537" s="122"/>
      <c r="B537" s="76"/>
      <c r="C537" s="77"/>
    </row>
    <row r="538" spans="1:3" x14ac:dyDescent="0.25">
      <c r="A538" s="122"/>
      <c r="B538" s="76"/>
      <c r="C538" s="77"/>
    </row>
    <row r="539" spans="1:3" x14ac:dyDescent="0.25">
      <c r="A539" s="122"/>
      <c r="B539" s="76"/>
      <c r="C539" s="77"/>
    </row>
    <row r="540" spans="1:3" x14ac:dyDescent="0.25">
      <c r="A540" s="122"/>
      <c r="B540" s="76"/>
      <c r="C540" s="77"/>
    </row>
    <row r="541" spans="1:3" x14ac:dyDescent="0.25">
      <c r="A541" s="122"/>
      <c r="B541" s="76"/>
      <c r="C541" s="77"/>
    </row>
    <row r="542" spans="1:3" x14ac:dyDescent="0.25">
      <c r="A542" s="122"/>
      <c r="B542" s="76"/>
      <c r="C542" s="77"/>
    </row>
    <row r="543" spans="1:3" x14ac:dyDescent="0.25">
      <c r="A543" s="122"/>
      <c r="B543" s="76"/>
      <c r="C543" s="77"/>
    </row>
    <row r="544" spans="1:3" x14ac:dyDescent="0.25">
      <c r="A544" s="122"/>
      <c r="B544" s="76"/>
      <c r="C544" s="77"/>
    </row>
    <row r="545" spans="1:3" x14ac:dyDescent="0.25">
      <c r="A545" s="122"/>
      <c r="B545" s="76"/>
      <c r="C545" s="77"/>
    </row>
    <row r="546" spans="1:3" x14ac:dyDescent="0.25">
      <c r="A546" s="122"/>
      <c r="B546" s="76"/>
      <c r="C546" s="77"/>
    </row>
    <row r="547" spans="1:3" x14ac:dyDescent="0.25">
      <c r="A547" s="122"/>
      <c r="B547" s="76"/>
      <c r="C547" s="77"/>
    </row>
    <row r="548" spans="1:3" x14ac:dyDescent="0.25">
      <c r="A548" s="122"/>
      <c r="B548" s="76"/>
      <c r="C548" s="77"/>
    </row>
    <row r="549" spans="1:3" x14ac:dyDescent="0.25">
      <c r="A549" s="122"/>
      <c r="B549" s="76"/>
      <c r="C549" s="77"/>
    </row>
    <row r="550" spans="1:3" x14ac:dyDescent="0.25">
      <c r="A550" s="122"/>
      <c r="B550" s="76"/>
      <c r="C550" s="77"/>
    </row>
    <row r="551" spans="1:3" x14ac:dyDescent="0.25">
      <c r="A551" s="122"/>
      <c r="B551" s="76"/>
      <c r="C551" s="77"/>
    </row>
    <row r="552" spans="1:3" x14ac:dyDescent="0.25">
      <c r="A552" s="122"/>
      <c r="B552" s="76"/>
      <c r="C552" s="77"/>
    </row>
    <row r="553" spans="1:3" x14ac:dyDescent="0.25">
      <c r="A553" s="122"/>
      <c r="B553" s="76"/>
      <c r="C553" s="77"/>
    </row>
    <row r="554" spans="1:3" x14ac:dyDescent="0.25">
      <c r="A554" s="122"/>
      <c r="B554" s="76"/>
      <c r="C554" s="77"/>
    </row>
    <row r="555" spans="1:3" x14ac:dyDescent="0.25">
      <c r="A555" s="122"/>
      <c r="B555" s="76"/>
      <c r="C555" s="77"/>
    </row>
    <row r="556" spans="1:3" x14ac:dyDescent="0.25">
      <c r="A556" s="122"/>
      <c r="B556" s="76"/>
      <c r="C556" s="77"/>
    </row>
    <row r="557" spans="1:3" x14ac:dyDescent="0.25">
      <c r="A557" s="122"/>
      <c r="B557" s="76"/>
      <c r="C557" s="77"/>
    </row>
    <row r="558" spans="1:3" x14ac:dyDescent="0.25">
      <c r="A558" s="122"/>
      <c r="B558" s="76"/>
      <c r="C558" s="77"/>
    </row>
    <row r="559" spans="1:3" x14ac:dyDescent="0.25">
      <c r="A559" s="122"/>
      <c r="B559" s="76"/>
      <c r="C559" s="77"/>
    </row>
    <row r="560" spans="1:3" x14ac:dyDescent="0.25">
      <c r="A560" s="122"/>
      <c r="B560" s="76"/>
      <c r="C560" s="77"/>
    </row>
    <row r="561" spans="1:3" x14ac:dyDescent="0.25">
      <c r="A561" s="122"/>
      <c r="B561" s="76"/>
      <c r="C561" s="77"/>
    </row>
    <row r="562" spans="1:3" x14ac:dyDescent="0.25">
      <c r="A562" s="122"/>
      <c r="B562" s="76"/>
      <c r="C562" s="77"/>
    </row>
    <row r="563" spans="1:3" x14ac:dyDescent="0.25">
      <c r="A563" s="122"/>
      <c r="B563" s="76"/>
      <c r="C563" s="77"/>
    </row>
    <row r="564" spans="1:3" x14ac:dyDescent="0.25">
      <c r="A564" s="122"/>
      <c r="B564" s="76"/>
      <c r="C564" s="77"/>
    </row>
    <row r="565" spans="1:3" x14ac:dyDescent="0.25">
      <c r="A565" s="122"/>
      <c r="B565" s="76"/>
      <c r="C565" s="77"/>
    </row>
    <row r="566" spans="1:3" x14ac:dyDescent="0.25">
      <c r="A566" s="122"/>
      <c r="B566" s="76"/>
      <c r="C566" s="77"/>
    </row>
    <row r="567" spans="1:3" x14ac:dyDescent="0.25">
      <c r="A567" s="122"/>
      <c r="B567" s="76"/>
      <c r="C567" s="77"/>
    </row>
    <row r="568" spans="1:3" x14ac:dyDescent="0.25">
      <c r="A568" s="122"/>
      <c r="B568" s="76"/>
      <c r="C568" s="77"/>
    </row>
    <row r="569" spans="1:3" x14ac:dyDescent="0.25">
      <c r="A569" s="122"/>
      <c r="B569" s="76"/>
      <c r="C569" s="77"/>
    </row>
    <row r="570" spans="1:3" x14ac:dyDescent="0.25">
      <c r="A570" s="122"/>
      <c r="B570" s="76"/>
      <c r="C570" s="77"/>
    </row>
    <row r="571" spans="1:3" x14ac:dyDescent="0.25">
      <c r="A571" s="122"/>
      <c r="B571" s="76"/>
      <c r="C571" s="77"/>
    </row>
  </sheetData>
  <conditionalFormatting sqref="A471:A478">
    <cfRule type="duplicateValues" dxfId="15" priority="1"/>
  </conditionalFormatting>
  <hyperlinks>
    <hyperlink ref="B81" display="surajkumar.gupta@ujjivan.com" xr:uid="{00000000-0004-0000-0800-000000000000}"/>
    <hyperlink ref="B67" display="kumar.abinash@ujjivan.com" xr:uid="{00000000-0004-0000-0800-000001000000}"/>
    <hyperlink ref="B238" display="gordhan.choudhary@ujjivan.com" xr:uid="{00000000-0004-0000-0800-000002000000}"/>
    <hyperlink ref="B244" display="madhuram.jat@ujjivan.com" xr:uid="{00000000-0004-0000-0800-000003000000}"/>
    <hyperlink ref="B248" display="mahendra.panchariya@ujjivan.com" xr:uid="{00000000-0004-0000-0800-000004000000}"/>
    <hyperlink ref="C50" display="tarique.aziz@ujjivan.com" xr:uid="{00000000-0004-0000-0800-000005000000}"/>
    <hyperlink ref="C260" display="shiv.kumar971@ujjivan.com" xr:uid="{00000000-0004-0000-0800-000006000000}"/>
    <hyperlink ref="C238" display="bhagwan.rawat@ujjivan.com" xr:uid="{00000000-0004-0000-0800-000007000000}"/>
    <hyperlink ref="C244" display="deepak.magavanshi@ujjivan.com" xr:uid="{00000000-0004-0000-0800-000008000000}"/>
    <hyperlink ref="C250" display="deepakbhati@ujjivan.com" xr:uid="{00000000-0004-0000-0800-000009000000}"/>
    <hyperlink ref="D432" display="murali.mohan@ujjivan.com ;" xr:uid="{00000000-0004-0000-0800-00000A000000}"/>
    <hyperlink ref="D427" display="sunilkumar.shantinath@ujjivan.com;santosh.haradi@ujjivan.com" xr:uid="{00000000-0004-0000-0800-00000B000000}"/>
    <hyperlink ref="D363" display="sunilkumar.shantinath@ujjivan.com;santosh.haradi@ujjivan.com" xr:uid="{00000000-0004-0000-0800-00000C000000}"/>
    <hyperlink ref="D230" display="deepak.duttatrey@ujjivan.com" xr:uid="{00000000-0004-0000-0800-00000D000000}"/>
    <hyperlink ref="D232" display=" deepak.duttatrey@ujjivan.com" xr:uid="{00000000-0004-0000-0800-00000E000000}"/>
    <hyperlink ref="D233" display=" deepak.duttatrey@ujjivan.com" xr:uid="{00000000-0004-0000-0800-00000F000000}"/>
    <hyperlink ref="D239" display=" deepak.duttatrey@ujjivan.com" xr:uid="{00000000-0004-0000-0800-000010000000}"/>
    <hyperlink ref="D243" display=" deepak.duttatrey@ujjivan.com" xr:uid="{00000000-0004-0000-0800-000011000000}"/>
    <hyperlink ref="D285" display=" deepak.duttatrey@ujjivan.com" xr:uid="{00000000-0004-0000-0800-000012000000}"/>
    <hyperlink ref="D303" display=" deepak.duttatrey@ujjivan.com" xr:uid="{00000000-0004-0000-0800-000013000000}"/>
    <hyperlink ref="D309" display=" deepak.duttatrey@ujjivan.com" xr:uid="{00000000-0004-0000-0800-000014000000}"/>
    <hyperlink ref="D338" display=" deepak.duttatrey@ujjivan.com" xr:uid="{00000000-0004-0000-0800-000015000000}"/>
    <hyperlink ref="D339" display=" deepak.duttatrey@ujjivan.com" xr:uid="{00000000-0004-0000-0800-000016000000}"/>
    <hyperlink ref="D226" display="kumar.vivek@ujjivan.com" xr:uid="{00000000-0004-0000-0800-000017000000}"/>
    <hyperlink ref="D412" display="bharath.m@ujjivan.com;sivakumar.h@ujjivan.com" xr:uid="{00000000-0004-0000-0800-000018000000}"/>
    <hyperlink ref="D51" display="subhankar.chakraborty@ujjivan.com;krishna.basumatary@ujjivan.com;mantu.kalita@ujjivan.com" xr:uid="{00000000-0004-0000-0800-000019000000}"/>
    <hyperlink ref="D369" display="thiyagu.basavaraj@ujjivan.com;bharath.m@ujjivan.com" xr:uid="{00000000-0004-0000-0800-00001A000000}"/>
    <hyperlink ref="D381" display="thiyagu.basavaraj@ujjivan.com;bharath.m@ujjivan.com" xr:uid="{00000000-0004-0000-0800-00001B000000}"/>
    <hyperlink ref="D388" display="thiyagu.basavaraj@ujjivan.com;bharath.m@ujjivan.com" xr:uid="{00000000-0004-0000-0800-00001C000000}"/>
    <hyperlink ref="D390" display="thiyagu.basavaraj@ujjivan.com;bharath.m@ujjivan.com" xr:uid="{00000000-0004-0000-0800-00001D000000}"/>
    <hyperlink ref="D393" display="thiyagu.basavaraj@ujjivan.com;bharath.m@ujjivan.com" xr:uid="{00000000-0004-0000-0800-00001E000000}"/>
    <hyperlink ref="D398" display="thiyagu.basavaraj@ujjivan.com;bharath.m@ujjivan.com" xr:uid="{00000000-0004-0000-0800-00001F000000}"/>
    <hyperlink ref="D411" display="thiyagu.basavaraj@ujjivan.com;bharath.m@ujjivan.com" xr:uid="{00000000-0004-0000-0800-000020000000}"/>
    <hyperlink ref="D453" display="thiyagu.basavaraj@ujjivan.com;bharath.m@ujjivan.com" xr:uid="{00000000-0004-0000-0800-000021000000}"/>
    <hyperlink ref="D467" display="thiyagu.basavaraj@ujjivan.com;bharath.m@ujjivan.com" xr:uid="{00000000-0004-0000-0800-000022000000}"/>
    <hyperlink ref="D469" display="thiyagu.basavaraj@ujjivan.com;bharath.m@ujjivan.com" xr:uid="{00000000-0004-0000-0800-000023000000}"/>
    <hyperlink ref="D274" display="prakharkumar.pandey@ujjivan.com" xr:uid="{00000000-0004-0000-0800-000024000000}"/>
    <hyperlink ref="D278" display="prakharkumar.pandey@ujjivan.com" xr:uid="{00000000-0004-0000-0800-000025000000}"/>
    <hyperlink ref="D279" display="prakharkumar.pandey@ujjivan.com" xr:uid="{00000000-0004-0000-0800-000026000000}"/>
    <hyperlink ref="D282" display="prakharkumar.pandey@ujjivan.com" xr:uid="{00000000-0004-0000-0800-000027000000}"/>
    <hyperlink ref="D284" display="prakharkumar.pandey@ujjivan.com" xr:uid="{00000000-0004-0000-0800-000028000000}"/>
    <hyperlink ref="D305" display="prakharkumar.pandey@ujjivan.com" xr:uid="{00000000-0004-0000-0800-000029000000}"/>
    <hyperlink ref="D306" display="prakharkumar.pandey@ujjivan.com" xr:uid="{00000000-0004-0000-0800-00002A000000}"/>
    <hyperlink ref="D332" display="prakharkumar.pandey@ujjivan.com" xr:uid="{00000000-0004-0000-0800-00002B000000}"/>
    <hyperlink ref="D335" display="prakharkumar.pandey@ujjivan.com" xr:uid="{00000000-0004-0000-0800-00002C000000}"/>
    <hyperlink ref="D255" display="shanta.bhardwaj@ujjivan.com" xr:uid="{00000000-0004-0000-0800-00002D000000}"/>
    <hyperlink ref="D263" display="shanta.bhardwaj@ujjivan.com" xr:uid="{00000000-0004-0000-0800-00002E000000}"/>
    <hyperlink ref="D265" display="shanta.bhardwaj@ujjivan.com" xr:uid="{00000000-0004-0000-0800-00002F000000}"/>
    <hyperlink ref="D266" display="shanta.bhardwaj@ujjivan.com" xr:uid="{00000000-0004-0000-0800-000030000000}"/>
    <hyperlink ref="D298" display="shanta.bhardwaj@ujjivan.com" xr:uid="{00000000-0004-0000-0800-000031000000}"/>
    <hyperlink ref="D304" display="shanta.bhardwaj@ujjivan.com" xr:uid="{00000000-0004-0000-0800-000032000000}"/>
    <hyperlink ref="D333" display="shanta.bhardwaj@ujjivan.com" xr:uid="{00000000-0004-0000-0800-000033000000}"/>
    <hyperlink ref="D49" display="prashanta.thakur@ujjivan.com" xr:uid="{00000000-0004-0000-0800-000034000000}"/>
    <hyperlink ref="D366" display="moinuddin.m@ujjivan.com" xr:uid="{00000000-0004-0000-0800-000035000000}"/>
    <hyperlink ref="D215" display="himanshu.mittal@ujjivan.com;vaibhav.dudhekar@ujjivan.com" xr:uid="{00000000-0004-0000-0800-000036000000}"/>
    <hyperlink ref="D260" display="sarveshpratap.singh@ujjivan.com " xr:uid="{00000000-0004-0000-0800-000037000000}"/>
    <hyperlink ref="D238" display="rajesh.kr@ujjivan.com" xr:uid="{00000000-0004-0000-0800-000038000000}"/>
    <hyperlink ref="D244" display="rajesh.kr@ujjivan.com" xr:uid="{00000000-0004-0000-0800-000039000000}"/>
    <hyperlink ref="D248" display="rajesh.kr@ujjivan.com" xr:uid="{00000000-0004-0000-0800-00003A000000}"/>
    <hyperlink ref="D250" display="rajesh.kr@ujjivan.com" xr:uid="{00000000-0004-0000-0800-00003B000000}"/>
    <hyperlink ref="D291" display="rajesh.kr@ujjivan.com" xr:uid="{00000000-0004-0000-0800-00003C000000}"/>
    <hyperlink ref="D334" display="rajesh.kr@ujjivan.com" xr:uid="{00000000-0004-0000-0800-00003D000000}"/>
    <hyperlink ref="B473" display="adityakumar.mishra@ujjivan.com" xr:uid="{00000000-0004-0000-0800-00003E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I444"/>
  <sheetViews>
    <sheetView tabSelected="1" topLeftCell="A45" workbookViewId="0">
      <selection activeCell="A55" sqref="A55:XFD55"/>
    </sheetView>
  </sheetViews>
  <sheetFormatPr defaultRowHeight="15" x14ac:dyDescent="0.25"/>
  <cols>
    <col min="1" max="1" width="9.28515625" bestFit="1" customWidth="1"/>
    <col min="2" max="2" width="31.7109375" bestFit="1" customWidth="1"/>
    <col min="3" max="3" width="23.5703125" bestFit="1" customWidth="1"/>
    <col min="4" max="4" width="69.7109375" bestFit="1" customWidth="1"/>
    <col min="5" max="5" width="52.140625" bestFit="1" customWidth="1"/>
    <col min="6" max="6" width="49.140625" bestFit="1" customWidth="1"/>
    <col min="7" max="7" width="36.28515625" bestFit="1" customWidth="1"/>
    <col min="8" max="9" width="32.7109375" bestFit="1" customWidth="1"/>
  </cols>
  <sheetData>
    <row r="1" spans="1:9" x14ac:dyDescent="0.25">
      <c r="A1" s="185" t="s">
        <v>2705</v>
      </c>
      <c r="B1" s="154" t="s">
        <v>4563</v>
      </c>
      <c r="C1" s="154" t="s">
        <v>4564</v>
      </c>
      <c r="D1" s="154" t="s">
        <v>4565</v>
      </c>
      <c r="E1" s="154" t="s">
        <v>4566</v>
      </c>
      <c r="F1" s="154" t="s">
        <v>4567</v>
      </c>
      <c r="G1" s="154" t="s">
        <v>4568</v>
      </c>
      <c r="H1" s="154" t="s">
        <v>4569</v>
      </c>
      <c r="I1" s="154" t="s">
        <v>4570</v>
      </c>
    </row>
    <row r="2" spans="1:9" x14ac:dyDescent="0.25">
      <c r="A2" s="186" t="s">
        <v>404</v>
      </c>
      <c r="B2" s="54" t="s">
        <v>3578</v>
      </c>
      <c r="C2" s="54"/>
      <c r="D2" s="54"/>
      <c r="E2" s="54" t="s">
        <v>4285</v>
      </c>
      <c r="F2" s="54"/>
      <c r="G2" s="54"/>
      <c r="H2" s="54" t="s">
        <v>2859</v>
      </c>
      <c r="I2" s="54" t="s">
        <v>405</v>
      </c>
    </row>
    <row r="3" spans="1:9" x14ac:dyDescent="0.25">
      <c r="A3" s="187" t="s">
        <v>408</v>
      </c>
      <c r="B3" s="54" t="s">
        <v>4388</v>
      </c>
      <c r="C3" s="54"/>
      <c r="D3" s="54"/>
      <c r="E3" s="54" t="s">
        <v>4918</v>
      </c>
      <c r="F3" s="54"/>
      <c r="G3" s="54"/>
      <c r="H3" s="54" t="s">
        <v>414</v>
      </c>
      <c r="I3" s="54" t="s">
        <v>405</v>
      </c>
    </row>
    <row r="4" spans="1:9" x14ac:dyDescent="0.25">
      <c r="A4" s="186" t="s">
        <v>410</v>
      </c>
      <c r="B4" s="54" t="s">
        <v>3601</v>
      </c>
      <c r="C4" s="54"/>
      <c r="D4" s="54"/>
      <c r="E4" s="54" t="s">
        <v>4287</v>
      </c>
      <c r="F4" s="54" t="s">
        <v>4694</v>
      </c>
      <c r="G4" s="54"/>
      <c r="H4" s="54" t="s">
        <v>4521</v>
      </c>
      <c r="I4" s="54" t="s">
        <v>405</v>
      </c>
    </row>
    <row r="5" spans="1:9" x14ac:dyDescent="0.25">
      <c r="A5" s="186" t="s">
        <v>412</v>
      </c>
      <c r="B5" s="54" t="s">
        <v>413</v>
      </c>
      <c r="C5" s="54"/>
      <c r="D5" s="54"/>
      <c r="E5" s="54" t="s">
        <v>4919</v>
      </c>
      <c r="F5" s="54"/>
      <c r="G5" s="54"/>
      <c r="H5" s="54" t="s">
        <v>414</v>
      </c>
      <c r="I5" s="54" t="s">
        <v>405</v>
      </c>
    </row>
    <row r="6" spans="1:9" x14ac:dyDescent="0.25">
      <c r="A6" s="186" t="s">
        <v>415</v>
      </c>
      <c r="B6" s="54" t="s">
        <v>4695</v>
      </c>
      <c r="C6" s="54"/>
      <c r="D6" s="54"/>
      <c r="E6" s="54" t="s">
        <v>4427</v>
      </c>
      <c r="F6" s="54"/>
      <c r="G6" s="54"/>
      <c r="H6" s="54" t="s">
        <v>2859</v>
      </c>
      <c r="I6" s="54" t="s">
        <v>405</v>
      </c>
    </row>
    <row r="7" spans="1:9" x14ac:dyDescent="0.25">
      <c r="A7" s="186" t="s">
        <v>417</v>
      </c>
      <c r="B7" s="54" t="s">
        <v>411</v>
      </c>
      <c r="C7" s="54"/>
      <c r="D7" s="54"/>
      <c r="E7" s="54" t="s">
        <v>4288</v>
      </c>
      <c r="F7" s="54"/>
      <c r="G7" s="54"/>
      <c r="H7" s="54" t="s">
        <v>4521</v>
      </c>
      <c r="I7" s="54" t="s">
        <v>405</v>
      </c>
    </row>
    <row r="8" spans="1:9" x14ac:dyDescent="0.25">
      <c r="A8" s="186" t="s">
        <v>419</v>
      </c>
      <c r="B8" s="54" t="s">
        <v>3581</v>
      </c>
      <c r="C8" s="54"/>
      <c r="D8" s="54"/>
      <c r="E8" s="54" t="s">
        <v>4920</v>
      </c>
      <c r="F8" s="54" t="s">
        <v>4921</v>
      </c>
      <c r="G8" s="54"/>
      <c r="H8" s="54" t="s">
        <v>414</v>
      </c>
      <c r="I8" s="54" t="s">
        <v>405</v>
      </c>
    </row>
    <row r="9" spans="1:9" x14ac:dyDescent="0.25">
      <c r="A9" s="186" t="s">
        <v>421</v>
      </c>
      <c r="B9" s="54" t="s">
        <v>4696</v>
      </c>
      <c r="C9" s="54"/>
      <c r="D9" s="54"/>
      <c r="E9" s="54" t="s">
        <v>4290</v>
      </c>
      <c r="F9" s="54"/>
      <c r="G9" s="54"/>
      <c r="H9" s="54" t="s">
        <v>2859</v>
      </c>
      <c r="I9" s="54" t="s">
        <v>405</v>
      </c>
    </row>
    <row r="10" spans="1:9" x14ac:dyDescent="0.25">
      <c r="A10" s="186" t="s">
        <v>422</v>
      </c>
      <c r="B10" s="54" t="s">
        <v>4697</v>
      </c>
      <c r="C10" s="54"/>
      <c r="D10" s="54"/>
      <c r="E10" s="54" t="s">
        <v>4291</v>
      </c>
      <c r="F10" s="54"/>
      <c r="G10" s="54"/>
      <c r="H10" s="54" t="s">
        <v>2859</v>
      </c>
      <c r="I10" s="54" t="s">
        <v>405</v>
      </c>
    </row>
    <row r="11" spans="1:9" x14ac:dyDescent="0.25">
      <c r="A11" s="186" t="s">
        <v>423</v>
      </c>
      <c r="B11" s="54" t="s">
        <v>3583</v>
      </c>
      <c r="C11" s="54"/>
      <c r="D11" s="54"/>
      <c r="E11" s="54" t="s">
        <v>4428</v>
      </c>
      <c r="F11" s="54"/>
      <c r="G11" s="54"/>
      <c r="H11" s="54" t="s">
        <v>4521</v>
      </c>
      <c r="I11" s="54" t="s">
        <v>405</v>
      </c>
    </row>
    <row r="12" spans="1:9" x14ac:dyDescent="0.25">
      <c r="A12" s="186" t="s">
        <v>424</v>
      </c>
      <c r="B12" s="54" t="s">
        <v>4289</v>
      </c>
      <c r="C12" s="54"/>
      <c r="D12" s="54"/>
      <c r="E12" s="54" t="s">
        <v>4698</v>
      </c>
      <c r="F12" s="54"/>
      <c r="G12" s="54"/>
      <c r="H12" s="54" t="s">
        <v>414</v>
      </c>
      <c r="I12" s="54" t="s">
        <v>405</v>
      </c>
    </row>
    <row r="13" spans="1:9" x14ac:dyDescent="0.25">
      <c r="A13" s="186" t="s">
        <v>425</v>
      </c>
      <c r="B13" s="54" t="s">
        <v>426</v>
      </c>
      <c r="C13" s="54"/>
      <c r="D13" s="54"/>
      <c r="E13" s="54" t="s">
        <v>4293</v>
      </c>
      <c r="F13" s="54"/>
      <c r="G13" s="54"/>
      <c r="H13" s="54" t="s">
        <v>4699</v>
      </c>
      <c r="I13" s="54" t="s">
        <v>427</v>
      </c>
    </row>
    <row r="14" spans="1:9" x14ac:dyDescent="0.25">
      <c r="A14" s="186" t="s">
        <v>428</v>
      </c>
      <c r="B14" s="54" t="s">
        <v>4700</v>
      </c>
      <c r="C14" s="54"/>
      <c r="D14" s="54"/>
      <c r="E14" s="54" t="s">
        <v>4701</v>
      </c>
      <c r="F14" s="54"/>
      <c r="G14" s="54"/>
      <c r="H14" s="54" t="s">
        <v>4521</v>
      </c>
      <c r="I14" s="54" t="s">
        <v>405</v>
      </c>
    </row>
    <row r="15" spans="1:9" x14ac:dyDescent="0.25">
      <c r="A15" s="186" t="s">
        <v>430</v>
      </c>
      <c r="B15" s="54" t="s">
        <v>4702</v>
      </c>
      <c r="C15" s="54"/>
      <c r="D15" s="54"/>
      <c r="E15" s="54" t="s">
        <v>4295</v>
      </c>
      <c r="F15" s="54"/>
      <c r="G15" s="54"/>
      <c r="H15" s="54" t="s">
        <v>2859</v>
      </c>
      <c r="I15" s="54" t="s">
        <v>405</v>
      </c>
    </row>
    <row r="16" spans="1:9" x14ac:dyDescent="0.25">
      <c r="A16" s="186" t="s">
        <v>433</v>
      </c>
      <c r="B16" s="54" t="s">
        <v>434</v>
      </c>
      <c r="C16" s="54"/>
      <c r="D16" s="54"/>
      <c r="E16" s="54" t="s">
        <v>4703</v>
      </c>
      <c r="F16" s="54" t="s">
        <v>418</v>
      </c>
      <c r="G16" s="54"/>
      <c r="H16" s="54" t="s">
        <v>4522</v>
      </c>
      <c r="I16" s="54" t="s">
        <v>427</v>
      </c>
    </row>
    <row r="17" spans="1:9" x14ac:dyDescent="0.25">
      <c r="A17" s="186" t="s">
        <v>435</v>
      </c>
      <c r="B17" s="54" t="s">
        <v>3584</v>
      </c>
      <c r="C17" s="54"/>
      <c r="D17" s="54"/>
      <c r="E17" s="19" t="s">
        <v>4286</v>
      </c>
      <c r="F17" s="54" t="s">
        <v>4373</v>
      </c>
      <c r="G17" s="54"/>
      <c r="H17" s="54" t="s">
        <v>414</v>
      </c>
      <c r="I17" s="54" t="s">
        <v>405</v>
      </c>
    </row>
    <row r="18" spans="1:9" x14ac:dyDescent="0.25">
      <c r="A18" s="186" t="s">
        <v>436</v>
      </c>
      <c r="B18" s="54" t="s">
        <v>438</v>
      </c>
      <c r="C18" s="54"/>
      <c r="D18" s="54"/>
      <c r="E18" s="54" t="s">
        <v>4429</v>
      </c>
      <c r="F18" s="54"/>
      <c r="G18" s="54"/>
      <c r="H18" s="54" t="s">
        <v>414</v>
      </c>
      <c r="I18" s="54" t="s">
        <v>405</v>
      </c>
    </row>
    <row r="19" spans="1:9" x14ac:dyDescent="0.25">
      <c r="A19" s="186" t="s">
        <v>439</v>
      </c>
      <c r="B19" s="54" t="s">
        <v>4704</v>
      </c>
      <c r="C19" s="54"/>
      <c r="D19" s="54"/>
      <c r="E19" s="54" t="s">
        <v>4298</v>
      </c>
      <c r="F19" s="54"/>
      <c r="G19" s="54"/>
      <c r="H19" s="54" t="s">
        <v>4699</v>
      </c>
      <c r="I19" s="54" t="s">
        <v>427</v>
      </c>
    </row>
    <row r="20" spans="1:9" x14ac:dyDescent="0.25">
      <c r="A20" s="186" t="s">
        <v>440</v>
      </c>
      <c r="B20" s="54" t="s">
        <v>456</v>
      </c>
      <c r="C20" s="54"/>
      <c r="D20" s="54"/>
      <c r="E20" s="54" t="s">
        <v>4299</v>
      </c>
      <c r="F20" s="54" t="s">
        <v>4705</v>
      </c>
      <c r="G20" s="54"/>
      <c r="H20" s="54" t="s">
        <v>4699</v>
      </c>
      <c r="I20" s="54" t="s">
        <v>427</v>
      </c>
    </row>
    <row r="21" spans="1:9" x14ac:dyDescent="0.25">
      <c r="A21" s="186" t="s">
        <v>441</v>
      </c>
      <c r="B21" s="54" t="s">
        <v>2872</v>
      </c>
      <c r="C21" s="54"/>
      <c r="D21" s="54"/>
      <c r="E21" s="54" t="s">
        <v>4300</v>
      </c>
      <c r="F21" s="54"/>
      <c r="G21" s="54"/>
      <c r="H21" s="54" t="s">
        <v>2859</v>
      </c>
      <c r="I21" s="54" t="s">
        <v>405</v>
      </c>
    </row>
    <row r="22" spans="1:9" x14ac:dyDescent="0.25">
      <c r="A22" s="186" t="s">
        <v>442</v>
      </c>
      <c r="B22" s="54" t="s">
        <v>3586</v>
      </c>
      <c r="C22" s="54"/>
      <c r="D22" s="54"/>
      <c r="E22" s="54" t="s">
        <v>4706</v>
      </c>
      <c r="F22" s="54"/>
      <c r="G22" s="54"/>
      <c r="H22" s="54" t="s">
        <v>443</v>
      </c>
      <c r="I22" s="54" t="s">
        <v>466</v>
      </c>
    </row>
    <row r="23" spans="1:9" x14ac:dyDescent="0.25">
      <c r="A23" s="186" t="s">
        <v>444</v>
      </c>
      <c r="B23" s="54" t="s">
        <v>2868</v>
      </c>
      <c r="C23" s="54"/>
      <c r="D23" s="54"/>
      <c r="E23" s="54" t="s">
        <v>4302</v>
      </c>
      <c r="F23" s="54"/>
      <c r="G23" s="54"/>
      <c r="H23" s="54" t="s">
        <v>473</v>
      </c>
      <c r="I23" s="54" t="s">
        <v>447</v>
      </c>
    </row>
    <row r="24" spans="1:9" x14ac:dyDescent="0.25">
      <c r="A24" s="186" t="s">
        <v>1494</v>
      </c>
      <c r="B24" s="54" t="s">
        <v>3753</v>
      </c>
      <c r="C24" s="54"/>
      <c r="D24" s="54"/>
      <c r="E24" s="54" t="s">
        <v>4303</v>
      </c>
      <c r="F24" s="54"/>
      <c r="G24" s="54"/>
      <c r="H24" s="54" t="s">
        <v>443</v>
      </c>
      <c r="I24" s="54" t="s">
        <v>466</v>
      </c>
    </row>
    <row r="25" spans="1:9" x14ac:dyDescent="0.25">
      <c r="A25" s="186" t="s">
        <v>849</v>
      </c>
      <c r="B25" s="54" t="s">
        <v>3587</v>
      </c>
      <c r="C25" s="54"/>
      <c r="D25" s="54"/>
      <c r="E25" s="54" t="s">
        <v>4430</v>
      </c>
      <c r="F25" s="54"/>
      <c r="G25" s="54"/>
      <c r="H25" s="54" t="s">
        <v>4707</v>
      </c>
      <c r="I25" s="54" t="s">
        <v>466</v>
      </c>
    </row>
    <row r="26" spans="1:9" x14ac:dyDescent="0.25">
      <c r="A26" s="186" t="s">
        <v>448</v>
      </c>
      <c r="B26" s="54" t="s">
        <v>446</v>
      </c>
      <c r="C26" s="54"/>
      <c r="D26" s="54"/>
      <c r="E26" s="54" t="s">
        <v>4708</v>
      </c>
      <c r="F26" s="54"/>
      <c r="G26" s="54"/>
      <c r="H26" s="54" t="s">
        <v>473</v>
      </c>
      <c r="I26" s="54" t="s">
        <v>447</v>
      </c>
    </row>
    <row r="27" spans="1:9" x14ac:dyDescent="0.25">
      <c r="A27" s="186" t="s">
        <v>449</v>
      </c>
      <c r="B27" s="54" t="s">
        <v>471</v>
      </c>
      <c r="C27" s="54"/>
      <c r="D27" s="54"/>
      <c r="E27" s="54" t="s">
        <v>4315</v>
      </c>
      <c r="F27" s="54"/>
      <c r="G27" s="54"/>
      <c r="H27" s="54" t="s">
        <v>443</v>
      </c>
      <c r="I27" s="54" t="s">
        <v>466</v>
      </c>
    </row>
    <row r="28" spans="1:9" x14ac:dyDescent="0.25">
      <c r="A28" s="186" t="s">
        <v>451</v>
      </c>
      <c r="B28" s="54" t="s">
        <v>3589</v>
      </c>
      <c r="C28" s="54"/>
      <c r="D28" s="54"/>
      <c r="E28" s="54" t="s">
        <v>4307</v>
      </c>
      <c r="F28" s="54"/>
      <c r="G28" s="54"/>
      <c r="H28" s="54" t="s">
        <v>443</v>
      </c>
      <c r="I28" s="54" t="s">
        <v>466</v>
      </c>
    </row>
    <row r="29" spans="1:9" x14ac:dyDescent="0.25">
      <c r="A29" s="186" t="s">
        <v>452</v>
      </c>
      <c r="B29" s="54" t="s">
        <v>453</v>
      </c>
      <c r="C29" s="54"/>
      <c r="D29" s="54"/>
      <c r="E29" s="54" t="s">
        <v>4308</v>
      </c>
      <c r="F29" s="54"/>
      <c r="G29" s="54"/>
      <c r="H29" s="54" t="s">
        <v>4709</v>
      </c>
      <c r="I29" s="54" t="s">
        <v>466</v>
      </c>
    </row>
    <row r="30" spans="1:9" x14ac:dyDescent="0.25">
      <c r="A30" s="186" t="s">
        <v>454</v>
      </c>
      <c r="B30" s="54" t="s">
        <v>4371</v>
      </c>
      <c r="C30" s="54"/>
      <c r="D30" s="54"/>
      <c r="E30" s="54" t="s">
        <v>4309</v>
      </c>
      <c r="F30" s="54"/>
      <c r="G30" s="54"/>
      <c r="H30" s="54" t="s">
        <v>4709</v>
      </c>
      <c r="I30" s="54" t="s">
        <v>466</v>
      </c>
    </row>
    <row r="31" spans="1:9" x14ac:dyDescent="0.25">
      <c r="A31" s="186" t="s">
        <v>457</v>
      </c>
      <c r="B31" s="54" t="s">
        <v>3591</v>
      </c>
      <c r="C31" s="54"/>
      <c r="D31" s="54"/>
      <c r="E31" s="54" t="s">
        <v>4710</v>
      </c>
      <c r="F31" s="54" t="s">
        <v>4328</v>
      </c>
      <c r="G31" s="54"/>
      <c r="H31" s="54" t="s">
        <v>4523</v>
      </c>
      <c r="I31" s="54" t="s">
        <v>447</v>
      </c>
    </row>
    <row r="32" spans="1:9" x14ac:dyDescent="0.25">
      <c r="A32" s="186" t="s">
        <v>458</v>
      </c>
      <c r="B32" s="54" t="s">
        <v>459</v>
      </c>
      <c r="C32" s="54"/>
      <c r="D32" s="54"/>
      <c r="E32" s="54" t="s">
        <v>4711</v>
      </c>
      <c r="F32" s="54"/>
      <c r="G32" s="54"/>
      <c r="H32" s="54" t="s">
        <v>4699</v>
      </c>
      <c r="I32" s="54" t="s">
        <v>427</v>
      </c>
    </row>
    <row r="33" spans="1:9" x14ac:dyDescent="0.25">
      <c r="A33" s="186" t="s">
        <v>460</v>
      </c>
      <c r="B33" s="54" t="s">
        <v>4712</v>
      </c>
      <c r="C33" s="54"/>
      <c r="D33" s="54"/>
      <c r="E33" s="54" t="s">
        <v>4431</v>
      </c>
      <c r="F33" s="54" t="s">
        <v>4713</v>
      </c>
      <c r="G33" s="54"/>
      <c r="H33" s="54" t="s">
        <v>4709</v>
      </c>
      <c r="I33" s="54" t="s">
        <v>466</v>
      </c>
    </row>
    <row r="34" spans="1:9" x14ac:dyDescent="0.25">
      <c r="A34" s="186" t="s">
        <v>462</v>
      </c>
      <c r="B34" s="54" t="s">
        <v>3035</v>
      </c>
      <c r="C34" s="54"/>
      <c r="D34" s="54"/>
      <c r="E34" s="54" t="s">
        <v>4313</v>
      </c>
      <c r="F34" s="54" t="s">
        <v>4714</v>
      </c>
      <c r="G34" s="54"/>
      <c r="H34" s="54" t="s">
        <v>443</v>
      </c>
      <c r="I34" s="54" t="s">
        <v>466</v>
      </c>
    </row>
    <row r="35" spans="1:9" x14ac:dyDescent="0.25">
      <c r="A35" s="186" t="s">
        <v>463</v>
      </c>
      <c r="B35" s="54" t="s">
        <v>4395</v>
      </c>
      <c r="C35" s="54"/>
      <c r="D35" s="54"/>
      <c r="E35" s="54" t="s">
        <v>4314</v>
      </c>
      <c r="F35" s="54" t="s">
        <v>4715</v>
      </c>
      <c r="G35" s="54"/>
      <c r="H35" s="54" t="s">
        <v>4524</v>
      </c>
      <c r="I35" s="54" t="s">
        <v>427</v>
      </c>
    </row>
    <row r="36" spans="1:9" x14ac:dyDescent="0.25">
      <c r="A36" s="186" t="s">
        <v>467</v>
      </c>
      <c r="B36" s="54" t="s">
        <v>3592</v>
      </c>
      <c r="C36" s="54"/>
      <c r="D36" s="54"/>
      <c r="E36" s="54" t="s">
        <v>4306</v>
      </c>
      <c r="F36" s="54"/>
      <c r="G36" s="54"/>
      <c r="H36" s="54" t="s">
        <v>4709</v>
      </c>
      <c r="I36" s="54" t="s">
        <v>466</v>
      </c>
    </row>
    <row r="37" spans="1:9" x14ac:dyDescent="0.25">
      <c r="A37" s="186" t="s">
        <v>468</v>
      </c>
      <c r="B37" s="54" t="s">
        <v>4716</v>
      </c>
      <c r="C37" s="54"/>
      <c r="D37" s="54"/>
      <c r="E37" s="54" t="s">
        <v>4316</v>
      </c>
      <c r="F37" s="54"/>
      <c r="G37" s="54"/>
      <c r="H37" s="54" t="s">
        <v>4709</v>
      </c>
      <c r="I37" s="54" t="s">
        <v>466</v>
      </c>
    </row>
    <row r="38" spans="1:9" x14ac:dyDescent="0.25">
      <c r="A38" s="186" t="s">
        <v>469</v>
      </c>
      <c r="B38" s="54" t="s">
        <v>487</v>
      </c>
      <c r="C38" s="54"/>
      <c r="D38" s="54"/>
      <c r="E38" s="54" t="s">
        <v>4432</v>
      </c>
      <c r="F38" s="54"/>
      <c r="G38" s="54"/>
      <c r="H38" s="54" t="s">
        <v>443</v>
      </c>
      <c r="I38" s="54" t="s">
        <v>466</v>
      </c>
    </row>
    <row r="39" spans="1:9" x14ac:dyDescent="0.25">
      <c r="A39" s="186" t="s">
        <v>472</v>
      </c>
      <c r="B39" s="54" t="s">
        <v>3593</v>
      </c>
      <c r="C39" s="54"/>
      <c r="D39" s="54"/>
      <c r="E39" s="54" t="s">
        <v>4317</v>
      </c>
      <c r="F39" s="54"/>
      <c r="G39" s="54"/>
      <c r="H39" s="54" t="s">
        <v>473</v>
      </c>
      <c r="I39" s="54" t="s">
        <v>447</v>
      </c>
    </row>
    <row r="40" spans="1:9" x14ac:dyDescent="0.25">
      <c r="A40" s="186" t="s">
        <v>474</v>
      </c>
      <c r="B40" s="91" t="s">
        <v>476</v>
      </c>
      <c r="C40" s="91"/>
      <c r="D40" s="91"/>
      <c r="E40" s="54" t="s">
        <v>4318</v>
      </c>
      <c r="F40" s="54"/>
      <c r="G40" s="54"/>
      <c r="H40" s="54" t="s">
        <v>4699</v>
      </c>
      <c r="I40" s="54" t="s">
        <v>427</v>
      </c>
    </row>
    <row r="41" spans="1:9" x14ac:dyDescent="0.25">
      <c r="A41" s="186" t="s">
        <v>477</v>
      </c>
      <c r="B41" s="54" t="s">
        <v>3594</v>
      </c>
      <c r="C41" s="54"/>
      <c r="D41" s="54"/>
      <c r="E41" s="54" t="s">
        <v>4433</v>
      </c>
      <c r="F41" s="54" t="s">
        <v>4717</v>
      </c>
      <c r="G41" s="54"/>
      <c r="H41" s="54" t="s">
        <v>4521</v>
      </c>
      <c r="I41" s="54" t="s">
        <v>405</v>
      </c>
    </row>
    <row r="42" spans="1:9" x14ac:dyDescent="0.25">
      <c r="A42" s="186" t="s">
        <v>478</v>
      </c>
      <c r="B42" s="54" t="s">
        <v>4718</v>
      </c>
      <c r="C42" s="54"/>
      <c r="D42" s="54"/>
      <c r="E42" s="54" t="s">
        <v>4320</v>
      </c>
      <c r="F42" s="54"/>
      <c r="G42" s="54"/>
      <c r="H42" s="54" t="s">
        <v>4709</v>
      </c>
      <c r="I42" s="54" t="s">
        <v>466</v>
      </c>
    </row>
    <row r="43" spans="1:9" x14ac:dyDescent="0.25">
      <c r="A43" s="186" t="s">
        <v>850</v>
      </c>
      <c r="B43" s="54" t="s">
        <v>4310</v>
      </c>
      <c r="C43" s="54"/>
      <c r="D43" s="54"/>
      <c r="E43" s="91" t="s">
        <v>4384</v>
      </c>
      <c r="F43" s="54" t="s">
        <v>4321</v>
      </c>
      <c r="G43" s="54"/>
      <c r="H43" s="54" t="s">
        <v>4523</v>
      </c>
      <c r="I43" s="54" t="s">
        <v>447</v>
      </c>
    </row>
    <row r="44" spans="1:9" x14ac:dyDescent="0.25">
      <c r="A44" s="186" t="s">
        <v>479</v>
      </c>
      <c r="B44" s="54" t="s">
        <v>554</v>
      </c>
      <c r="C44" s="54"/>
      <c r="D44" s="54"/>
      <c r="E44" s="54" t="s">
        <v>4370</v>
      </c>
      <c r="F44" s="54"/>
      <c r="G44" s="54"/>
      <c r="H44" s="54" t="s">
        <v>4524</v>
      </c>
      <c r="I44" s="54" t="s">
        <v>427</v>
      </c>
    </row>
    <row r="45" spans="1:9" x14ac:dyDescent="0.25">
      <c r="A45" s="186" t="s">
        <v>481</v>
      </c>
      <c r="B45" s="54" t="s">
        <v>4335</v>
      </c>
      <c r="C45" s="54"/>
      <c r="D45" s="54"/>
      <c r="E45" s="54" t="s">
        <v>4323</v>
      </c>
      <c r="F45" s="54"/>
      <c r="G45" s="54"/>
      <c r="H45" s="54" t="s">
        <v>473</v>
      </c>
      <c r="I45" s="54" t="s">
        <v>447</v>
      </c>
    </row>
    <row r="46" spans="1:9" x14ac:dyDescent="0.25">
      <c r="A46" s="186" t="s">
        <v>482</v>
      </c>
      <c r="B46" s="54" t="s">
        <v>484</v>
      </c>
      <c r="C46" s="54"/>
      <c r="D46" s="54"/>
      <c r="E46" s="54" t="s">
        <v>4324</v>
      </c>
      <c r="F46" s="54"/>
      <c r="G46" s="54"/>
      <c r="H46" s="54" t="s">
        <v>4709</v>
      </c>
      <c r="I46" s="54" t="s">
        <v>466</v>
      </c>
    </row>
    <row r="47" spans="1:9" x14ac:dyDescent="0.25">
      <c r="A47" s="186" t="s">
        <v>485</v>
      </c>
      <c r="B47" s="54" t="s">
        <v>4719</v>
      </c>
      <c r="C47" s="54"/>
      <c r="D47" s="54"/>
      <c r="E47" s="54" t="s">
        <v>4325</v>
      </c>
      <c r="F47" s="54"/>
      <c r="G47" s="54"/>
      <c r="H47" s="54" t="s">
        <v>2859</v>
      </c>
      <c r="I47" s="54" t="s">
        <v>405</v>
      </c>
    </row>
    <row r="48" spans="1:9" x14ac:dyDescent="0.25">
      <c r="A48" s="186" t="s">
        <v>486</v>
      </c>
      <c r="B48" s="54" t="s">
        <v>3599</v>
      </c>
      <c r="C48" s="54"/>
      <c r="D48" s="54"/>
      <c r="E48" s="54" t="s">
        <v>4434</v>
      </c>
      <c r="F48" s="54"/>
      <c r="G48" s="54"/>
      <c r="H48" s="54" t="s">
        <v>4707</v>
      </c>
      <c r="I48" s="54" t="s">
        <v>466</v>
      </c>
    </row>
    <row r="49" spans="1:9" x14ac:dyDescent="0.25">
      <c r="A49" s="186" t="s">
        <v>488</v>
      </c>
      <c r="B49" s="54" t="s">
        <v>3600</v>
      </c>
      <c r="C49" s="54"/>
      <c r="D49" s="54"/>
      <c r="E49" s="54" t="s">
        <v>4327</v>
      </c>
      <c r="F49" s="54"/>
      <c r="G49" s="54"/>
      <c r="H49" s="54" t="s">
        <v>4707</v>
      </c>
      <c r="I49" s="54" t="s">
        <v>466</v>
      </c>
    </row>
    <row r="50" spans="1:9" x14ac:dyDescent="0.25">
      <c r="A50" s="186" t="s">
        <v>1584</v>
      </c>
      <c r="B50" s="54" t="s">
        <v>3754</v>
      </c>
      <c r="C50" s="54"/>
      <c r="D50" s="54"/>
      <c r="E50" s="54" t="s">
        <v>4720</v>
      </c>
      <c r="F50" s="54"/>
      <c r="G50" s="54"/>
      <c r="H50" s="54" t="s">
        <v>4523</v>
      </c>
      <c r="I50" s="54" t="s">
        <v>447</v>
      </c>
    </row>
    <row r="51" spans="1:9" x14ac:dyDescent="0.25">
      <c r="A51" s="186" t="s">
        <v>490</v>
      </c>
      <c r="B51" s="54" t="s">
        <v>852</v>
      </c>
      <c r="C51" s="54"/>
      <c r="D51" s="54"/>
      <c r="E51" s="54" t="s">
        <v>4329</v>
      </c>
      <c r="F51" s="54"/>
      <c r="G51" s="54"/>
      <c r="H51" s="54" t="s">
        <v>4707</v>
      </c>
      <c r="I51" s="54" t="s">
        <v>466</v>
      </c>
    </row>
    <row r="52" spans="1:9" x14ac:dyDescent="0.25">
      <c r="A52" s="186" t="s">
        <v>1592</v>
      </c>
      <c r="B52" s="54" t="s">
        <v>2699</v>
      </c>
      <c r="C52" s="54"/>
      <c r="D52" s="54"/>
      <c r="E52" s="54" t="s">
        <v>4330</v>
      </c>
      <c r="F52" s="54" t="s">
        <v>4721</v>
      </c>
      <c r="G52" s="54"/>
      <c r="H52" s="54" t="s">
        <v>4523</v>
      </c>
      <c r="I52" s="54" t="s">
        <v>447</v>
      </c>
    </row>
    <row r="53" spans="1:9" x14ac:dyDescent="0.25">
      <c r="A53" s="186" t="s">
        <v>491</v>
      </c>
      <c r="B53" s="54" t="s">
        <v>4319</v>
      </c>
      <c r="C53" s="54"/>
      <c r="D53" s="54"/>
      <c r="E53" s="54" t="s">
        <v>4331</v>
      </c>
      <c r="F53" s="54"/>
      <c r="G53" s="54"/>
      <c r="H53" s="54" t="s">
        <v>4521</v>
      </c>
      <c r="I53" s="54" t="s">
        <v>405</v>
      </c>
    </row>
    <row r="54" spans="1:9" x14ac:dyDescent="0.25">
      <c r="A54" s="186" t="s">
        <v>492</v>
      </c>
      <c r="B54" s="54" t="s">
        <v>3602</v>
      </c>
      <c r="C54" s="54"/>
      <c r="D54" s="54"/>
      <c r="E54" s="54" t="s">
        <v>4435</v>
      </c>
      <c r="F54" s="54"/>
      <c r="G54" s="54"/>
      <c r="H54" s="54" t="s">
        <v>473</v>
      </c>
      <c r="I54" s="54" t="s">
        <v>447</v>
      </c>
    </row>
    <row r="55" spans="1:9" x14ac:dyDescent="0.25">
      <c r="A55" s="186" t="s">
        <v>494</v>
      </c>
      <c r="B55" s="54" t="s">
        <v>3603</v>
      </c>
      <c r="C55" s="54"/>
      <c r="D55" s="54"/>
      <c r="E55" s="54" t="s">
        <v>4333</v>
      </c>
      <c r="F55" s="54"/>
      <c r="G55" s="54"/>
      <c r="H55" s="54" t="s">
        <v>4523</v>
      </c>
      <c r="I55" s="54" t="s">
        <v>447</v>
      </c>
    </row>
    <row r="56" spans="1:9" x14ac:dyDescent="0.25">
      <c r="A56" s="186" t="s">
        <v>495</v>
      </c>
      <c r="B56" s="54" t="s">
        <v>2687</v>
      </c>
      <c r="C56" s="54"/>
      <c r="D56" s="54"/>
      <c r="E56" s="54" t="s">
        <v>4436</v>
      </c>
      <c r="F56" s="54" t="s">
        <v>4334</v>
      </c>
      <c r="G56" s="54"/>
      <c r="H56" s="54" t="s">
        <v>2904</v>
      </c>
      <c r="I56" s="54" t="s">
        <v>497</v>
      </c>
    </row>
    <row r="57" spans="1:9" x14ac:dyDescent="0.25">
      <c r="A57" s="186" t="s">
        <v>499</v>
      </c>
      <c r="B57" s="54" t="s">
        <v>3604</v>
      </c>
      <c r="C57" s="54"/>
      <c r="D57" s="54"/>
      <c r="E57" s="54" t="s">
        <v>4722</v>
      </c>
      <c r="F57" s="54" t="s">
        <v>4723</v>
      </c>
      <c r="G57" s="54"/>
      <c r="H57" s="54" t="s">
        <v>473</v>
      </c>
      <c r="I57" s="54" t="s">
        <v>447</v>
      </c>
    </row>
    <row r="58" spans="1:9" x14ac:dyDescent="0.25">
      <c r="A58" s="186" t="s">
        <v>500</v>
      </c>
      <c r="B58" s="54" t="s">
        <v>501</v>
      </c>
      <c r="C58" s="54"/>
      <c r="D58" s="54"/>
      <c r="E58" s="54" t="s">
        <v>4724</v>
      </c>
      <c r="F58" s="54"/>
      <c r="G58" s="54"/>
      <c r="H58" s="54" t="s">
        <v>4699</v>
      </c>
      <c r="I58" s="54" t="s">
        <v>427</v>
      </c>
    </row>
    <row r="59" spans="1:9" x14ac:dyDescent="0.25">
      <c r="A59" s="186" t="s">
        <v>502</v>
      </c>
      <c r="B59" s="54" t="s">
        <v>504</v>
      </c>
      <c r="C59" s="54"/>
      <c r="D59" s="54"/>
      <c r="E59" s="54" t="s">
        <v>4337</v>
      </c>
      <c r="F59" s="54"/>
      <c r="G59" s="54"/>
      <c r="H59" s="54" t="s">
        <v>4707</v>
      </c>
      <c r="I59" s="54" t="s">
        <v>466</v>
      </c>
    </row>
    <row r="60" spans="1:9" x14ac:dyDescent="0.25">
      <c r="A60" s="186" t="s">
        <v>505</v>
      </c>
      <c r="B60" s="54" t="s">
        <v>2890</v>
      </c>
      <c r="C60" s="54"/>
      <c r="D60" s="54"/>
      <c r="E60" s="54" t="s">
        <v>4437</v>
      </c>
      <c r="F60" s="54" t="s">
        <v>4725</v>
      </c>
      <c r="G60" s="54"/>
      <c r="H60" s="54" t="s">
        <v>4523</v>
      </c>
      <c r="I60" s="54" t="s">
        <v>447</v>
      </c>
    </row>
    <row r="61" spans="1:9" x14ac:dyDescent="0.25">
      <c r="A61" s="186" t="s">
        <v>506</v>
      </c>
      <c r="B61" s="54" t="s">
        <v>3605</v>
      </c>
      <c r="C61" s="54"/>
      <c r="D61" s="54"/>
      <c r="E61" s="54" t="s">
        <v>4339</v>
      </c>
      <c r="F61" s="54"/>
      <c r="G61" s="54"/>
      <c r="H61" s="54" t="s">
        <v>473</v>
      </c>
      <c r="I61" s="54" t="s">
        <v>447</v>
      </c>
    </row>
    <row r="62" spans="1:9" x14ac:dyDescent="0.25">
      <c r="A62" s="186" t="s">
        <v>507</v>
      </c>
      <c r="B62" s="54" t="s">
        <v>3606</v>
      </c>
      <c r="C62" s="54"/>
      <c r="D62" s="54"/>
      <c r="E62" s="54" t="s">
        <v>4340</v>
      </c>
      <c r="F62" s="54"/>
      <c r="G62" s="54"/>
      <c r="H62" s="54" t="s">
        <v>473</v>
      </c>
      <c r="I62" s="54" t="s">
        <v>447</v>
      </c>
    </row>
    <row r="63" spans="1:9" x14ac:dyDescent="0.25">
      <c r="A63" s="186" t="s">
        <v>509</v>
      </c>
      <c r="B63" s="54" t="s">
        <v>3607</v>
      </c>
      <c r="C63" s="54"/>
      <c r="D63" s="54"/>
      <c r="E63" s="54" t="s">
        <v>4341</v>
      </c>
      <c r="F63" s="54"/>
      <c r="G63" s="54"/>
      <c r="H63" s="54" t="s">
        <v>473</v>
      </c>
      <c r="I63" s="54" t="s">
        <v>447</v>
      </c>
    </row>
    <row r="64" spans="1:9" x14ac:dyDescent="0.25">
      <c r="A64" s="186" t="s">
        <v>510</v>
      </c>
      <c r="B64" s="91" t="s">
        <v>4726</v>
      </c>
      <c r="C64" s="91"/>
      <c r="D64" s="91"/>
      <c r="E64" s="54" t="s">
        <v>4727</v>
      </c>
      <c r="F64" s="54"/>
      <c r="G64" s="54"/>
      <c r="H64" s="54" t="s">
        <v>4525</v>
      </c>
      <c r="I64" s="54" t="s">
        <v>4555</v>
      </c>
    </row>
    <row r="65" spans="1:9" x14ac:dyDescent="0.25">
      <c r="A65" s="186" t="s">
        <v>511</v>
      </c>
      <c r="B65" s="54" t="s">
        <v>496</v>
      </c>
      <c r="C65" s="54"/>
      <c r="D65" s="54"/>
      <c r="E65" s="54" t="s">
        <v>4343</v>
      </c>
      <c r="F65" s="54"/>
      <c r="G65" s="54"/>
      <c r="H65" s="54" t="s">
        <v>2904</v>
      </c>
      <c r="I65" s="54" t="s">
        <v>497</v>
      </c>
    </row>
    <row r="66" spans="1:9" x14ac:dyDescent="0.25">
      <c r="A66" s="186" t="s">
        <v>512</v>
      </c>
      <c r="B66" s="54" t="s">
        <v>3609</v>
      </c>
      <c r="C66" s="54"/>
      <c r="D66" s="54"/>
      <c r="E66" s="54" t="s">
        <v>4728</v>
      </c>
      <c r="F66" s="54" t="s">
        <v>4729</v>
      </c>
      <c r="G66" s="54"/>
      <c r="H66" s="54" t="s">
        <v>2904</v>
      </c>
      <c r="I66" s="54" t="s">
        <v>497</v>
      </c>
    </row>
    <row r="67" spans="1:9" x14ac:dyDescent="0.25">
      <c r="A67" s="186" t="s">
        <v>515</v>
      </c>
      <c r="B67" s="54" t="s">
        <v>4359</v>
      </c>
      <c r="C67" s="54"/>
      <c r="D67" s="54"/>
      <c r="E67" s="54" t="s">
        <v>4730</v>
      </c>
      <c r="F67" s="54"/>
      <c r="G67" s="54"/>
      <c r="H67" s="54" t="s">
        <v>2904</v>
      </c>
      <c r="I67" s="54" t="s">
        <v>497</v>
      </c>
    </row>
    <row r="68" spans="1:9" x14ac:dyDescent="0.25">
      <c r="A68" s="186" t="s">
        <v>516</v>
      </c>
      <c r="B68" s="91" t="s">
        <v>493</v>
      </c>
      <c r="C68" s="91"/>
      <c r="D68" s="91"/>
      <c r="E68" s="71" t="s">
        <v>4731</v>
      </c>
      <c r="F68" s="54"/>
      <c r="G68" s="54"/>
      <c r="H68" s="54" t="s">
        <v>4526</v>
      </c>
      <c r="I68" s="54" t="s">
        <v>4555</v>
      </c>
    </row>
    <row r="69" spans="1:9" x14ac:dyDescent="0.25">
      <c r="A69" s="186" t="s">
        <v>517</v>
      </c>
      <c r="B69" s="54" t="s">
        <v>3611</v>
      </c>
      <c r="C69" s="54"/>
      <c r="D69" s="54"/>
      <c r="E69" s="54" t="s">
        <v>4732</v>
      </c>
      <c r="F69" s="54"/>
      <c r="G69" s="54"/>
      <c r="H69" s="54" t="s">
        <v>4526</v>
      </c>
      <c r="I69" s="54" t="s">
        <v>4555</v>
      </c>
    </row>
    <row r="70" spans="1:9" x14ac:dyDescent="0.25">
      <c r="A70" s="186" t="s">
        <v>519</v>
      </c>
      <c r="B70" s="54" t="s">
        <v>3755</v>
      </c>
      <c r="C70" s="54"/>
      <c r="D70" s="54"/>
      <c r="E70" s="54" t="s">
        <v>4347</v>
      </c>
      <c r="F70" s="54"/>
      <c r="G70" s="54"/>
      <c r="H70" s="54" t="s">
        <v>4527</v>
      </c>
      <c r="I70" s="54" t="s">
        <v>497</v>
      </c>
    </row>
    <row r="71" spans="1:9" x14ac:dyDescent="0.25">
      <c r="A71" s="186" t="s">
        <v>523</v>
      </c>
      <c r="B71" s="54" t="s">
        <v>3612</v>
      </c>
      <c r="C71" s="54"/>
      <c r="D71" s="54"/>
      <c r="E71" s="54" t="s">
        <v>4733</v>
      </c>
      <c r="F71" s="54"/>
      <c r="G71" s="54"/>
      <c r="H71" s="54" t="s">
        <v>4527</v>
      </c>
      <c r="I71" s="54" t="s">
        <v>497</v>
      </c>
    </row>
    <row r="72" spans="1:9" x14ac:dyDescent="0.25">
      <c r="A72" s="186" t="s">
        <v>524</v>
      </c>
      <c r="B72" s="54" t="s">
        <v>4349</v>
      </c>
      <c r="C72" s="54"/>
      <c r="D72" s="54"/>
      <c r="E72" s="54" t="s">
        <v>4334</v>
      </c>
      <c r="F72" s="54"/>
      <c r="G72" s="54"/>
      <c r="H72" s="54" t="s">
        <v>4526</v>
      </c>
      <c r="I72" s="54" t="s">
        <v>4555</v>
      </c>
    </row>
    <row r="73" spans="1:9" x14ac:dyDescent="0.25">
      <c r="A73" s="186" t="s">
        <v>525</v>
      </c>
      <c r="B73" s="54" t="s">
        <v>4734</v>
      </c>
      <c r="C73" s="54"/>
      <c r="D73" s="54"/>
      <c r="E73" s="54" t="s">
        <v>4735</v>
      </c>
      <c r="F73" s="54" t="s">
        <v>4736</v>
      </c>
      <c r="G73" s="91" t="s">
        <v>4737</v>
      </c>
      <c r="H73" s="54" t="s">
        <v>2902</v>
      </c>
      <c r="I73" s="54" t="s">
        <v>447</v>
      </c>
    </row>
    <row r="74" spans="1:9" x14ac:dyDescent="0.25">
      <c r="A74" s="186" t="s">
        <v>1665</v>
      </c>
      <c r="B74" s="54" t="s">
        <v>514</v>
      </c>
      <c r="C74" s="54"/>
      <c r="D74" s="54"/>
      <c r="E74" s="54" t="s">
        <v>4351</v>
      </c>
      <c r="F74" s="54" t="s">
        <v>4738</v>
      </c>
      <c r="G74" s="54"/>
      <c r="H74" s="54" t="s">
        <v>2904</v>
      </c>
      <c r="I74" s="54" t="s">
        <v>497</v>
      </c>
    </row>
    <row r="75" spans="1:9" x14ac:dyDescent="0.25">
      <c r="A75" s="186" t="s">
        <v>526</v>
      </c>
      <c r="B75" s="54" t="s">
        <v>3614</v>
      </c>
      <c r="C75" s="54"/>
      <c r="D75" s="54"/>
      <c r="E75" s="54" t="s">
        <v>4739</v>
      </c>
      <c r="F75" s="54" t="s">
        <v>4740</v>
      </c>
      <c r="G75" s="54"/>
      <c r="H75" s="54" t="s">
        <v>4526</v>
      </c>
      <c r="I75" s="54" t="s">
        <v>4555</v>
      </c>
    </row>
    <row r="76" spans="1:9" ht="15.75" thickBot="1" x14ac:dyDescent="0.3">
      <c r="A76" s="186" t="s">
        <v>527</v>
      </c>
      <c r="B76" s="54" t="s">
        <v>544</v>
      </c>
      <c r="C76" s="19"/>
      <c r="D76" s="54"/>
      <c r="E76" s="179" t="s">
        <v>4762</v>
      </c>
      <c r="F76" s="54"/>
      <c r="G76" s="54"/>
      <c r="H76" s="54" t="s">
        <v>4527</v>
      </c>
      <c r="I76" s="54" t="s">
        <v>497</v>
      </c>
    </row>
    <row r="77" spans="1:9" x14ac:dyDescent="0.25">
      <c r="A77" s="186" t="s">
        <v>528</v>
      </c>
      <c r="B77" s="54" t="s">
        <v>4741</v>
      </c>
      <c r="C77" s="54"/>
      <c r="D77" s="54"/>
      <c r="E77" s="54" t="s">
        <v>4353</v>
      </c>
      <c r="F77" s="54"/>
      <c r="G77" s="54"/>
      <c r="H77" s="54" t="s">
        <v>4528</v>
      </c>
      <c r="I77" s="54" t="s">
        <v>497</v>
      </c>
    </row>
    <row r="78" spans="1:9" x14ac:dyDescent="0.25">
      <c r="A78" s="186" t="s">
        <v>853</v>
      </c>
      <c r="B78" s="54" t="s">
        <v>3615</v>
      </c>
      <c r="C78" s="54"/>
      <c r="D78" s="54"/>
      <c r="E78" s="54" t="s">
        <v>4354</v>
      </c>
      <c r="F78" s="54"/>
      <c r="G78" s="54"/>
      <c r="H78" s="54" t="s">
        <v>4528</v>
      </c>
      <c r="I78" s="54" t="s">
        <v>497</v>
      </c>
    </row>
    <row r="79" spans="1:9" x14ac:dyDescent="0.25">
      <c r="A79" s="186" t="s">
        <v>529</v>
      </c>
      <c r="B79" s="54" t="s">
        <v>4742</v>
      </c>
      <c r="C79" s="54"/>
      <c r="D79" s="54"/>
      <c r="E79" s="54" t="s">
        <v>4743</v>
      </c>
      <c r="F79" s="54"/>
      <c r="G79" s="54"/>
      <c r="H79" s="54" t="s">
        <v>4525</v>
      </c>
      <c r="I79" s="54" t="s">
        <v>4555</v>
      </c>
    </row>
    <row r="80" spans="1:9" x14ac:dyDescent="0.25">
      <c r="A80" s="186" t="s">
        <v>530</v>
      </c>
      <c r="B80" s="54" t="s">
        <v>4744</v>
      </c>
      <c r="C80" s="54"/>
      <c r="D80" s="54"/>
      <c r="E80" s="54" t="s">
        <v>4745</v>
      </c>
      <c r="F80" s="54" t="s">
        <v>4746</v>
      </c>
      <c r="G80" s="54" t="s">
        <v>4747</v>
      </c>
      <c r="H80" s="54" t="s">
        <v>2902</v>
      </c>
      <c r="I80" s="54" t="s">
        <v>447</v>
      </c>
    </row>
    <row r="81" spans="1:9" x14ac:dyDescent="0.25">
      <c r="A81" s="186" t="s">
        <v>532</v>
      </c>
      <c r="B81" s="54" t="s">
        <v>4748</v>
      </c>
      <c r="C81" s="54"/>
      <c r="D81" s="54"/>
      <c r="E81" s="54" t="s">
        <v>4749</v>
      </c>
      <c r="F81" s="159" t="s">
        <v>4750</v>
      </c>
      <c r="G81" s="54" t="s">
        <v>4751</v>
      </c>
      <c r="H81" s="54" t="s">
        <v>2902</v>
      </c>
      <c r="I81" s="54" t="s">
        <v>447</v>
      </c>
    </row>
    <row r="82" spans="1:9" x14ac:dyDescent="0.25">
      <c r="A82" s="186" t="s">
        <v>533</v>
      </c>
      <c r="B82" s="54" t="s">
        <v>4752</v>
      </c>
      <c r="C82" s="54"/>
      <c r="D82" s="54"/>
      <c r="E82" s="54" t="s">
        <v>4753</v>
      </c>
      <c r="F82" s="54" t="s">
        <v>4754</v>
      </c>
      <c r="G82" s="54"/>
      <c r="H82" s="54" t="s">
        <v>2902</v>
      </c>
      <c r="I82" s="54" t="s">
        <v>447</v>
      </c>
    </row>
    <row r="83" spans="1:9" x14ac:dyDescent="0.25">
      <c r="A83" s="186" t="s">
        <v>534</v>
      </c>
      <c r="B83" s="54" t="s">
        <v>3619</v>
      </c>
      <c r="C83" s="54"/>
      <c r="D83" s="54"/>
      <c r="E83" s="54" t="s">
        <v>4359</v>
      </c>
      <c r="F83" s="54"/>
      <c r="G83" s="54"/>
      <c r="H83" s="54" t="s">
        <v>2904</v>
      </c>
      <c r="I83" s="54" t="s">
        <v>497</v>
      </c>
    </row>
    <row r="84" spans="1:9" x14ac:dyDescent="0.25">
      <c r="A84" s="186" t="s">
        <v>854</v>
      </c>
      <c r="B84" s="54" t="s">
        <v>3618</v>
      </c>
      <c r="C84" s="54"/>
      <c r="D84" s="54"/>
      <c r="E84" s="54" t="s">
        <v>4443</v>
      </c>
      <c r="F84" s="54" t="s">
        <v>4360</v>
      </c>
      <c r="G84" s="54"/>
      <c r="H84" s="54" t="s">
        <v>2904</v>
      </c>
      <c r="I84" s="54" t="s">
        <v>497</v>
      </c>
    </row>
    <row r="85" spans="1:9" x14ac:dyDescent="0.25">
      <c r="A85" s="186" t="s">
        <v>536</v>
      </c>
      <c r="B85" s="54" t="s">
        <v>535</v>
      </c>
      <c r="C85" s="54"/>
      <c r="D85" s="54"/>
      <c r="E85" s="54" t="s">
        <v>4361</v>
      </c>
      <c r="F85" s="54" t="s">
        <v>4755</v>
      </c>
      <c r="G85" s="54"/>
      <c r="H85" s="54" t="s">
        <v>2904</v>
      </c>
      <c r="I85" s="54" t="s">
        <v>497</v>
      </c>
    </row>
    <row r="86" spans="1:9" x14ac:dyDescent="0.25">
      <c r="A86" s="186" t="s">
        <v>537</v>
      </c>
      <c r="B86" s="54" t="s">
        <v>568</v>
      </c>
      <c r="C86" s="54"/>
      <c r="D86" s="54"/>
      <c r="E86" s="54" t="s">
        <v>4756</v>
      </c>
      <c r="F86" s="54"/>
      <c r="G86" s="54"/>
      <c r="H86" s="54" t="s">
        <v>4528</v>
      </c>
      <c r="I86" s="54" t="s">
        <v>497</v>
      </c>
    </row>
    <row r="87" spans="1:9" x14ac:dyDescent="0.25">
      <c r="A87" s="186" t="s">
        <v>1698</v>
      </c>
      <c r="B87" s="54" t="s">
        <v>4757</v>
      </c>
      <c r="C87" s="54"/>
      <c r="D87" s="54"/>
      <c r="E87" s="54" t="s">
        <v>4363</v>
      </c>
      <c r="F87" s="54"/>
      <c r="G87" s="54"/>
      <c r="H87" s="54" t="s">
        <v>4527</v>
      </c>
      <c r="I87" s="54" t="s">
        <v>497</v>
      </c>
    </row>
    <row r="88" spans="1:9" x14ac:dyDescent="0.25">
      <c r="A88" s="186" t="s">
        <v>538</v>
      </c>
      <c r="B88" s="54" t="s">
        <v>2908</v>
      </c>
      <c r="C88" s="54"/>
      <c r="D88" s="54"/>
      <c r="E88" s="54" t="s">
        <v>4758</v>
      </c>
      <c r="F88" s="54"/>
      <c r="G88" s="54"/>
      <c r="H88" s="54" t="s">
        <v>4526</v>
      </c>
      <c r="I88" s="54" t="s">
        <v>4555</v>
      </c>
    </row>
    <row r="89" spans="1:9" x14ac:dyDescent="0.25">
      <c r="A89" s="186" t="s">
        <v>539</v>
      </c>
      <c r="B89" s="54" t="s">
        <v>541</v>
      </c>
      <c r="C89" s="54"/>
      <c r="D89" s="54"/>
      <c r="E89" s="54"/>
      <c r="F89" s="54"/>
      <c r="G89" s="54"/>
      <c r="H89" s="54" t="s">
        <v>4707</v>
      </c>
      <c r="I89" s="54" t="s">
        <v>466</v>
      </c>
    </row>
    <row r="90" spans="1:9" x14ac:dyDescent="0.25">
      <c r="A90" s="186" t="s">
        <v>542</v>
      </c>
      <c r="B90" s="54" t="s">
        <v>3620</v>
      </c>
      <c r="C90" s="54"/>
      <c r="D90" s="54"/>
      <c r="E90" s="54" t="s">
        <v>4759</v>
      </c>
      <c r="F90" s="54"/>
      <c r="G90" s="54"/>
      <c r="H90" s="54" t="s">
        <v>4527</v>
      </c>
      <c r="I90" s="54" t="s">
        <v>497</v>
      </c>
    </row>
    <row r="91" spans="1:9" x14ac:dyDescent="0.25">
      <c r="A91" s="186" t="s">
        <v>855</v>
      </c>
      <c r="B91" s="54" t="s">
        <v>2911</v>
      </c>
      <c r="C91" s="54"/>
      <c r="D91" s="54"/>
      <c r="E91" s="54" t="s">
        <v>4760</v>
      </c>
      <c r="F91" s="54"/>
      <c r="G91" s="54"/>
      <c r="H91" s="54" t="s">
        <v>4528</v>
      </c>
      <c r="I91" s="54" t="s">
        <v>497</v>
      </c>
    </row>
    <row r="92" spans="1:9" x14ac:dyDescent="0.25">
      <c r="A92" s="186" t="s">
        <v>545</v>
      </c>
      <c r="B92" s="54" t="s">
        <v>4761</v>
      </c>
      <c r="C92" s="54"/>
      <c r="D92" s="54"/>
      <c r="E92" s="54" t="s">
        <v>4762</v>
      </c>
      <c r="F92" s="54"/>
      <c r="G92" s="54"/>
      <c r="H92" s="54" t="s">
        <v>4527</v>
      </c>
      <c r="I92" s="54" t="s">
        <v>497</v>
      </c>
    </row>
    <row r="93" spans="1:9" x14ac:dyDescent="0.25">
      <c r="A93" s="186" t="s">
        <v>546</v>
      </c>
      <c r="B93" s="54" t="s">
        <v>3622</v>
      </c>
      <c r="C93" s="54"/>
      <c r="D93" s="54"/>
      <c r="E93" s="54" t="s">
        <v>4366</v>
      </c>
      <c r="F93" s="54" t="s">
        <v>4763</v>
      </c>
      <c r="G93" s="54"/>
      <c r="H93" s="54" t="s">
        <v>4522</v>
      </c>
      <c r="I93" s="54" t="s">
        <v>427</v>
      </c>
    </row>
    <row r="94" spans="1:9" x14ac:dyDescent="0.25">
      <c r="A94" s="186" t="s">
        <v>549</v>
      </c>
      <c r="B94" s="54" t="s">
        <v>548</v>
      </c>
      <c r="C94" s="54"/>
      <c r="D94" s="54"/>
      <c r="E94" s="54" t="s">
        <v>4764</v>
      </c>
      <c r="F94" s="54" t="s">
        <v>4765</v>
      </c>
      <c r="G94" s="54"/>
      <c r="H94" s="54" t="s">
        <v>4524</v>
      </c>
      <c r="I94" s="54" t="s">
        <v>427</v>
      </c>
    </row>
    <row r="95" spans="1:9" x14ac:dyDescent="0.25">
      <c r="A95" s="186" t="s">
        <v>550</v>
      </c>
      <c r="B95" s="54" t="s">
        <v>4766</v>
      </c>
      <c r="C95" s="54"/>
      <c r="D95" s="54"/>
      <c r="E95" s="54" t="s">
        <v>4767</v>
      </c>
      <c r="F95" s="54" t="s">
        <v>4768</v>
      </c>
      <c r="G95" s="54"/>
      <c r="H95" s="54" t="s">
        <v>4525</v>
      </c>
      <c r="I95" s="54" t="s">
        <v>4555</v>
      </c>
    </row>
    <row r="96" spans="1:9" x14ac:dyDescent="0.25">
      <c r="A96" s="186" t="s">
        <v>551</v>
      </c>
      <c r="B96" s="54" t="s">
        <v>4769</v>
      </c>
      <c r="C96" s="54"/>
      <c r="D96" s="54"/>
      <c r="E96" s="54" t="s">
        <v>4770</v>
      </c>
      <c r="F96" s="54" t="s">
        <v>4771</v>
      </c>
      <c r="G96" s="54"/>
      <c r="H96" s="54" t="s">
        <v>4525</v>
      </c>
      <c r="I96" s="54" t="s">
        <v>4555</v>
      </c>
    </row>
    <row r="97" spans="1:9" x14ac:dyDescent="0.25">
      <c r="A97" s="186" t="s">
        <v>553</v>
      </c>
      <c r="B97" s="54" t="s">
        <v>480</v>
      </c>
      <c r="C97" s="54"/>
      <c r="D97" s="54"/>
      <c r="E97" s="54" t="s">
        <v>4445</v>
      </c>
      <c r="F97" s="54"/>
      <c r="G97" s="54"/>
      <c r="H97" s="54" t="s">
        <v>4524</v>
      </c>
      <c r="I97" s="54" t="s">
        <v>427</v>
      </c>
    </row>
    <row r="98" spans="1:9" x14ac:dyDescent="0.25">
      <c r="A98" s="186" t="s">
        <v>555</v>
      </c>
      <c r="B98" s="54" t="s">
        <v>573</v>
      </c>
      <c r="C98" s="54"/>
      <c r="D98" s="54"/>
      <c r="E98" s="54" t="s">
        <v>4772</v>
      </c>
      <c r="F98" s="54"/>
      <c r="G98" s="54"/>
      <c r="H98" s="54" t="s">
        <v>4524</v>
      </c>
      <c r="I98" s="54" t="s">
        <v>427</v>
      </c>
    </row>
    <row r="99" spans="1:9" x14ac:dyDescent="0.25">
      <c r="A99" s="186" t="s">
        <v>557</v>
      </c>
      <c r="B99" s="54" t="s">
        <v>4773</v>
      </c>
      <c r="C99" s="54"/>
      <c r="D99" s="54"/>
      <c r="E99" s="54" t="s">
        <v>4774</v>
      </c>
      <c r="F99" s="54"/>
      <c r="G99" s="54"/>
      <c r="H99" s="54" t="s">
        <v>4525</v>
      </c>
      <c r="I99" s="54" t="s">
        <v>4555</v>
      </c>
    </row>
    <row r="100" spans="1:9" x14ac:dyDescent="0.25">
      <c r="A100" s="186" t="s">
        <v>558</v>
      </c>
      <c r="B100" s="54" t="s">
        <v>560</v>
      </c>
      <c r="C100" s="54"/>
      <c r="D100" s="54"/>
      <c r="E100" s="54" t="s">
        <v>4372</v>
      </c>
      <c r="F100" s="54"/>
      <c r="G100" s="54"/>
      <c r="H100" s="54" t="s">
        <v>4524</v>
      </c>
      <c r="I100" s="54" t="s">
        <v>427</v>
      </c>
    </row>
    <row r="101" spans="1:9" x14ac:dyDescent="0.25">
      <c r="A101" s="186" t="s">
        <v>561</v>
      </c>
      <c r="B101" s="54" t="s">
        <v>562</v>
      </c>
      <c r="C101" s="54"/>
      <c r="D101" s="54"/>
      <c r="E101" s="54" t="s">
        <v>4292</v>
      </c>
      <c r="F101" s="54"/>
      <c r="G101" s="54"/>
      <c r="H101" s="54" t="s">
        <v>414</v>
      </c>
      <c r="I101" s="54" t="s">
        <v>405</v>
      </c>
    </row>
    <row r="102" spans="1:9" x14ac:dyDescent="0.25">
      <c r="A102" s="186" t="s">
        <v>563</v>
      </c>
      <c r="B102" s="54" t="s">
        <v>4775</v>
      </c>
      <c r="C102" s="54"/>
      <c r="D102" s="54"/>
      <c r="E102" s="54" t="s">
        <v>4776</v>
      </c>
      <c r="F102" s="54" t="s">
        <v>4777</v>
      </c>
      <c r="G102" s="54"/>
      <c r="H102" s="54" t="s">
        <v>4525</v>
      </c>
      <c r="I102" s="54" t="s">
        <v>4555</v>
      </c>
    </row>
    <row r="103" spans="1:9" x14ac:dyDescent="0.25">
      <c r="A103" s="186" t="s">
        <v>564</v>
      </c>
      <c r="B103" s="91" t="s">
        <v>4778</v>
      </c>
      <c r="C103" s="91"/>
      <c r="D103" s="91"/>
      <c r="E103" s="54" t="s">
        <v>4374</v>
      </c>
      <c r="F103" s="54"/>
      <c r="G103" s="54"/>
      <c r="H103" s="54" t="s">
        <v>2859</v>
      </c>
      <c r="I103" s="54" t="s">
        <v>405</v>
      </c>
    </row>
    <row r="104" spans="1:9" x14ac:dyDescent="0.25">
      <c r="A104" s="186" t="s">
        <v>566</v>
      </c>
      <c r="B104" s="19" t="s">
        <v>3625</v>
      </c>
      <c r="C104" s="54"/>
      <c r="D104" s="54"/>
      <c r="E104" s="19" t="s">
        <v>4779</v>
      </c>
      <c r="F104" s="54"/>
      <c r="G104" s="54"/>
      <c r="H104" s="54" t="s">
        <v>4528</v>
      </c>
      <c r="I104" s="54" t="s">
        <v>497</v>
      </c>
    </row>
    <row r="105" spans="1:9" x14ac:dyDescent="0.25">
      <c r="A105" s="186" t="s">
        <v>569</v>
      </c>
      <c r="B105" s="54" t="s">
        <v>3207</v>
      </c>
      <c r="C105" s="54"/>
      <c r="D105" s="54"/>
      <c r="E105" s="54" t="s">
        <v>4304</v>
      </c>
      <c r="F105" s="54"/>
      <c r="G105" s="54"/>
      <c r="H105" s="54" t="s">
        <v>4707</v>
      </c>
      <c r="I105" s="54" t="s">
        <v>466</v>
      </c>
    </row>
    <row r="106" spans="1:9" x14ac:dyDescent="0.25">
      <c r="A106" s="186" t="s">
        <v>570</v>
      </c>
      <c r="B106" s="54" t="s">
        <v>4780</v>
      </c>
      <c r="C106" s="54"/>
      <c r="D106" s="54"/>
      <c r="E106" s="54" t="s">
        <v>4781</v>
      </c>
      <c r="F106" s="54" t="s">
        <v>4782</v>
      </c>
      <c r="G106" s="54"/>
      <c r="H106" s="54" t="s">
        <v>2902</v>
      </c>
      <c r="I106" s="54" t="s">
        <v>447</v>
      </c>
    </row>
    <row r="107" spans="1:9" ht="15.75" thickBot="1" x14ac:dyDescent="0.3">
      <c r="A107" s="186" t="s">
        <v>571</v>
      </c>
      <c r="B107" s="179" t="s">
        <v>4783</v>
      </c>
      <c r="C107" s="54"/>
      <c r="D107" s="54"/>
      <c r="E107" s="54" t="s">
        <v>4784</v>
      </c>
      <c r="F107" s="54" t="s">
        <v>4785</v>
      </c>
      <c r="G107" s="54"/>
      <c r="H107" s="54" t="s">
        <v>4525</v>
      </c>
      <c r="I107" s="54" t="s">
        <v>4555</v>
      </c>
    </row>
    <row r="108" spans="1:9" x14ac:dyDescent="0.25">
      <c r="A108" s="186" t="s">
        <v>572</v>
      </c>
      <c r="B108" s="54" t="s">
        <v>556</v>
      </c>
      <c r="C108" s="54"/>
      <c r="D108" s="54"/>
      <c r="E108" s="54" t="s">
        <v>4448</v>
      </c>
      <c r="F108" s="54"/>
      <c r="G108" s="54"/>
      <c r="H108" s="54" t="s">
        <v>4524</v>
      </c>
      <c r="I108" s="54" t="s">
        <v>427</v>
      </c>
    </row>
    <row r="109" spans="1:9" x14ac:dyDescent="0.25">
      <c r="A109" s="186" t="s">
        <v>574</v>
      </c>
      <c r="B109" s="54" t="s">
        <v>4786</v>
      </c>
      <c r="C109" s="54"/>
      <c r="D109" s="54"/>
      <c r="E109" s="54" t="s">
        <v>4787</v>
      </c>
      <c r="F109" s="54"/>
      <c r="G109" s="54"/>
      <c r="H109" s="54" t="s">
        <v>4528</v>
      </c>
      <c r="I109" s="54" t="s">
        <v>497</v>
      </c>
    </row>
    <row r="110" spans="1:9" x14ac:dyDescent="0.25">
      <c r="A110" s="186" t="s">
        <v>576</v>
      </c>
      <c r="B110" s="54" t="s">
        <v>4788</v>
      </c>
      <c r="C110" s="54"/>
      <c r="D110" s="54"/>
      <c r="E110" s="54" t="s">
        <v>4789</v>
      </c>
      <c r="F110" s="54"/>
      <c r="G110" s="54"/>
      <c r="H110" s="54" t="s">
        <v>4525</v>
      </c>
      <c r="I110" s="54" t="s">
        <v>4555</v>
      </c>
    </row>
    <row r="111" spans="1:9" x14ac:dyDescent="0.25">
      <c r="A111" s="186" t="s">
        <v>578</v>
      </c>
      <c r="B111" s="54" t="s">
        <v>2927</v>
      </c>
      <c r="C111" s="54"/>
      <c r="D111" s="54"/>
      <c r="E111" s="54" t="s">
        <v>4381</v>
      </c>
      <c r="F111" s="54"/>
      <c r="G111" s="54"/>
      <c r="H111" s="54" t="s">
        <v>4522</v>
      </c>
      <c r="I111" s="54" t="s">
        <v>427</v>
      </c>
    </row>
    <row r="112" spans="1:9" x14ac:dyDescent="0.25">
      <c r="A112" s="186" t="s">
        <v>579</v>
      </c>
      <c r="B112" s="54" t="s">
        <v>862</v>
      </c>
      <c r="C112" s="54"/>
      <c r="D112" s="54"/>
      <c r="E112" s="54" t="s">
        <v>4450</v>
      </c>
      <c r="F112" s="54" t="s">
        <v>4790</v>
      </c>
      <c r="G112" s="54"/>
      <c r="H112" s="54" t="s">
        <v>4522</v>
      </c>
      <c r="I112" s="54" t="s">
        <v>427</v>
      </c>
    </row>
    <row r="113" spans="1:9" x14ac:dyDescent="0.25">
      <c r="A113" s="186" t="s">
        <v>580</v>
      </c>
      <c r="B113" s="54" t="s">
        <v>4791</v>
      </c>
      <c r="C113" s="54"/>
      <c r="D113" s="54"/>
      <c r="E113" s="54" t="s">
        <v>4382</v>
      </c>
      <c r="F113" s="54"/>
      <c r="G113" s="54"/>
      <c r="H113" s="54" t="s">
        <v>489</v>
      </c>
      <c r="I113" s="54" t="s">
        <v>4555</v>
      </c>
    </row>
    <row r="114" spans="1:9" x14ac:dyDescent="0.25">
      <c r="A114" s="186" t="s">
        <v>581</v>
      </c>
      <c r="B114" s="54" t="s">
        <v>3627</v>
      </c>
      <c r="C114" s="54"/>
      <c r="D114" s="54"/>
      <c r="E114" s="54" t="s">
        <v>4922</v>
      </c>
      <c r="F114" s="54"/>
      <c r="G114" s="54"/>
      <c r="H114" s="54" t="s">
        <v>4522</v>
      </c>
      <c r="I114" s="54" t="s">
        <v>427</v>
      </c>
    </row>
    <row r="115" spans="1:9" x14ac:dyDescent="0.25">
      <c r="A115" s="186" t="s">
        <v>584</v>
      </c>
      <c r="B115" s="54" t="s">
        <v>3596</v>
      </c>
      <c r="C115" s="54"/>
      <c r="D115" s="54"/>
      <c r="E115" s="54" t="s">
        <v>4338</v>
      </c>
      <c r="F115" s="54" t="s">
        <v>4792</v>
      </c>
      <c r="G115" s="54"/>
      <c r="H115" s="54" t="s">
        <v>4523</v>
      </c>
      <c r="I115" s="54" t="s">
        <v>447</v>
      </c>
    </row>
    <row r="116" spans="1:9" x14ac:dyDescent="0.25">
      <c r="A116" s="186" t="s">
        <v>585</v>
      </c>
      <c r="B116" s="91" t="s">
        <v>4385</v>
      </c>
      <c r="C116" s="91"/>
      <c r="D116" s="91"/>
      <c r="E116" s="54" t="s">
        <v>4793</v>
      </c>
      <c r="F116" s="54"/>
      <c r="G116" s="54"/>
      <c r="H116" s="54" t="s">
        <v>489</v>
      </c>
      <c r="I116" s="54" t="s">
        <v>4555</v>
      </c>
    </row>
    <row r="117" spans="1:9" x14ac:dyDescent="0.25">
      <c r="A117" s="186" t="s">
        <v>588</v>
      </c>
      <c r="B117" s="91" t="s">
        <v>4387</v>
      </c>
      <c r="C117" s="91"/>
      <c r="D117" s="91"/>
      <c r="E117" s="54" t="s">
        <v>4794</v>
      </c>
      <c r="F117" s="54"/>
      <c r="G117" s="54"/>
      <c r="H117" s="54" t="s">
        <v>489</v>
      </c>
      <c r="I117" s="54" t="s">
        <v>4555</v>
      </c>
    </row>
    <row r="118" spans="1:9" x14ac:dyDescent="0.25">
      <c r="A118" s="186" t="s">
        <v>591</v>
      </c>
      <c r="B118" s="54" t="s">
        <v>1441</v>
      </c>
      <c r="C118" s="54"/>
      <c r="D118" s="54"/>
      <c r="E118" s="54" t="s">
        <v>4795</v>
      </c>
      <c r="F118" s="54" t="s">
        <v>4796</v>
      </c>
      <c r="G118" s="54"/>
      <c r="H118" s="54" t="s">
        <v>473</v>
      </c>
      <c r="I118" s="54" t="s">
        <v>447</v>
      </c>
    </row>
    <row r="119" spans="1:9" x14ac:dyDescent="0.25">
      <c r="A119" s="186" t="s">
        <v>592</v>
      </c>
      <c r="B119" s="54" t="s">
        <v>3631</v>
      </c>
      <c r="C119" s="54"/>
      <c r="D119" s="54"/>
      <c r="E119" s="54" t="s">
        <v>4388</v>
      </c>
      <c r="F119" s="54"/>
      <c r="G119" s="54"/>
      <c r="H119" s="54" t="s">
        <v>4521</v>
      </c>
      <c r="I119" s="54" t="s">
        <v>405</v>
      </c>
    </row>
    <row r="120" spans="1:9" x14ac:dyDescent="0.25">
      <c r="A120" s="186" t="s">
        <v>593</v>
      </c>
      <c r="B120" s="54" t="s">
        <v>4352</v>
      </c>
      <c r="C120" s="54"/>
      <c r="D120" s="54"/>
      <c r="E120" s="54" t="s">
        <v>4797</v>
      </c>
      <c r="F120" s="54"/>
      <c r="G120" s="54"/>
      <c r="H120" s="54" t="s">
        <v>489</v>
      </c>
      <c r="I120" s="54" t="s">
        <v>4555</v>
      </c>
    </row>
    <row r="121" spans="1:9" x14ac:dyDescent="0.25">
      <c r="A121" s="186" t="s">
        <v>594</v>
      </c>
      <c r="B121" s="54" t="s">
        <v>3633</v>
      </c>
      <c r="C121" s="54"/>
      <c r="D121" s="54"/>
      <c r="E121" s="54" t="s">
        <v>4390</v>
      </c>
      <c r="F121" s="54"/>
      <c r="G121" s="54"/>
      <c r="H121" s="54" t="s">
        <v>4526</v>
      </c>
      <c r="I121" s="54" t="s">
        <v>4555</v>
      </c>
    </row>
    <row r="122" spans="1:9" x14ac:dyDescent="0.25">
      <c r="A122" s="186" t="s">
        <v>595</v>
      </c>
      <c r="B122" s="54" t="s">
        <v>3634</v>
      </c>
      <c r="C122" s="54"/>
      <c r="D122" s="54"/>
      <c r="E122" s="54" t="s">
        <v>4391</v>
      </c>
      <c r="F122" s="54"/>
      <c r="G122" s="54"/>
      <c r="H122" s="54" t="s">
        <v>489</v>
      </c>
      <c r="I122" s="54" t="s">
        <v>4555</v>
      </c>
    </row>
    <row r="123" spans="1:9" x14ac:dyDescent="0.25">
      <c r="A123" s="186" t="s">
        <v>597</v>
      </c>
      <c r="B123" s="54" t="s">
        <v>590</v>
      </c>
      <c r="C123" s="54"/>
      <c r="D123" s="54"/>
      <c r="E123" s="54" t="s">
        <v>4392</v>
      </c>
      <c r="F123" s="54"/>
      <c r="G123" s="54"/>
      <c r="H123" s="54" t="s">
        <v>489</v>
      </c>
      <c r="I123" s="54" t="s">
        <v>4555</v>
      </c>
    </row>
    <row r="124" spans="1:9" x14ac:dyDescent="0.25">
      <c r="A124" s="186" t="s">
        <v>857</v>
      </c>
      <c r="B124" s="54" t="s">
        <v>3635</v>
      </c>
      <c r="C124" s="54"/>
      <c r="D124" s="54"/>
      <c r="E124" s="54" t="s">
        <v>4393</v>
      </c>
      <c r="F124" s="54"/>
      <c r="G124" s="54"/>
      <c r="H124" s="54" t="s">
        <v>489</v>
      </c>
      <c r="I124" s="54" t="s">
        <v>4555</v>
      </c>
    </row>
    <row r="125" spans="1:9" x14ac:dyDescent="0.25">
      <c r="A125" s="186" t="s">
        <v>858</v>
      </c>
      <c r="B125" s="54" t="s">
        <v>859</v>
      </c>
      <c r="C125" s="54"/>
      <c r="D125" s="54"/>
      <c r="E125" s="54"/>
      <c r="F125" s="54"/>
      <c r="G125" s="54"/>
      <c r="H125" s="54" t="s">
        <v>489</v>
      </c>
      <c r="I125" s="54" t="s">
        <v>4555</v>
      </c>
    </row>
    <row r="126" spans="1:9" x14ac:dyDescent="0.25">
      <c r="A126" s="186" t="s">
        <v>860</v>
      </c>
      <c r="B126" s="54" t="s">
        <v>583</v>
      </c>
      <c r="C126" s="54"/>
      <c r="D126" s="54"/>
      <c r="E126" s="54" t="s">
        <v>4798</v>
      </c>
      <c r="F126" s="54"/>
      <c r="G126" s="54"/>
      <c r="H126" s="54" t="s">
        <v>4522</v>
      </c>
      <c r="I126" s="54" t="s">
        <v>427</v>
      </c>
    </row>
    <row r="127" spans="1:9" x14ac:dyDescent="0.25">
      <c r="A127" s="186" t="s">
        <v>863</v>
      </c>
      <c r="B127" s="91" t="s">
        <v>3632</v>
      </c>
      <c r="C127" s="91"/>
      <c r="D127" s="91"/>
      <c r="E127" s="54" t="s">
        <v>4396</v>
      </c>
      <c r="F127" s="54"/>
      <c r="G127" s="54"/>
      <c r="H127" s="54" t="s">
        <v>4526</v>
      </c>
      <c r="I127" s="54" t="s">
        <v>4555</v>
      </c>
    </row>
    <row r="128" spans="1:9" x14ac:dyDescent="0.25">
      <c r="A128" s="186" t="s">
        <v>1782</v>
      </c>
      <c r="B128" s="54" t="s">
        <v>4799</v>
      </c>
      <c r="C128" s="54"/>
      <c r="D128" s="54"/>
      <c r="E128" s="54" t="s">
        <v>4397</v>
      </c>
      <c r="F128" s="54"/>
      <c r="G128" s="54"/>
      <c r="H128" s="54" t="s">
        <v>4523</v>
      </c>
      <c r="I128" s="54" t="s">
        <v>447</v>
      </c>
    </row>
    <row r="129" spans="1:9" x14ac:dyDescent="0.25">
      <c r="A129" s="186" t="s">
        <v>1785</v>
      </c>
      <c r="B129" s="54" t="s">
        <v>3757</v>
      </c>
      <c r="C129" s="54"/>
      <c r="D129" s="54"/>
      <c r="E129" s="54" t="s">
        <v>4800</v>
      </c>
      <c r="F129" s="54"/>
      <c r="G129" s="54"/>
      <c r="H129" s="54" t="s">
        <v>2904</v>
      </c>
      <c r="I129" s="54" t="s">
        <v>497</v>
      </c>
    </row>
    <row r="130" spans="1:9" x14ac:dyDescent="0.25">
      <c r="A130" s="186" t="s">
        <v>1788</v>
      </c>
      <c r="B130" s="54"/>
      <c r="C130" s="54"/>
      <c r="D130" s="54"/>
      <c r="E130" s="54" t="s">
        <v>4801</v>
      </c>
      <c r="F130" s="54" t="s">
        <v>4802</v>
      </c>
      <c r="G130" s="54"/>
      <c r="H130" s="54" t="s">
        <v>4523</v>
      </c>
      <c r="I130" s="54" t="s">
        <v>447</v>
      </c>
    </row>
    <row r="131" spans="1:9" x14ac:dyDescent="0.25">
      <c r="A131" s="187" t="s">
        <v>4898</v>
      </c>
      <c r="B131" s="54" t="s">
        <v>4420</v>
      </c>
      <c r="C131" s="54"/>
      <c r="D131" s="54"/>
      <c r="E131" s="54"/>
      <c r="F131" s="54"/>
      <c r="G131" s="54"/>
      <c r="H131" s="54" t="s">
        <v>4523</v>
      </c>
      <c r="I131" s="54" t="s">
        <v>447</v>
      </c>
    </row>
    <row r="132" spans="1:9" x14ac:dyDescent="0.25">
      <c r="A132" s="187" t="s">
        <v>4899</v>
      </c>
      <c r="B132" s="54" t="s">
        <v>4421</v>
      </c>
      <c r="C132" s="54"/>
      <c r="D132" s="54"/>
      <c r="E132" s="54"/>
      <c r="F132" s="54"/>
      <c r="G132" s="54"/>
      <c r="H132" s="54" t="s">
        <v>4523</v>
      </c>
      <c r="I132" s="54" t="s">
        <v>447</v>
      </c>
    </row>
    <row r="133" spans="1:9" x14ac:dyDescent="0.25">
      <c r="A133" s="187" t="s">
        <v>4900</v>
      </c>
      <c r="B133" s="54" t="s">
        <v>4422</v>
      </c>
      <c r="C133" s="54"/>
      <c r="D133" s="54"/>
      <c r="E133" s="54"/>
      <c r="F133" s="54"/>
      <c r="G133" s="54"/>
      <c r="H133" s="54" t="s">
        <v>4523</v>
      </c>
      <c r="I133" s="54" t="s">
        <v>447</v>
      </c>
    </row>
    <row r="134" spans="1:9" x14ac:dyDescent="0.25">
      <c r="A134" s="187" t="s">
        <v>4901</v>
      </c>
      <c r="B134" s="54" t="s">
        <v>4423</v>
      </c>
      <c r="C134" s="54"/>
      <c r="D134" s="54"/>
      <c r="E134" s="54"/>
      <c r="F134" s="54"/>
      <c r="G134" s="54"/>
      <c r="H134" s="54" t="s">
        <v>4707</v>
      </c>
      <c r="I134" s="54" t="s">
        <v>466</v>
      </c>
    </row>
    <row r="135" spans="1:9" x14ac:dyDescent="0.25">
      <c r="A135" s="187" t="s">
        <v>4902</v>
      </c>
      <c r="B135" s="54" t="s">
        <v>3590</v>
      </c>
      <c r="C135" s="54"/>
      <c r="D135" s="54"/>
      <c r="E135" s="54"/>
      <c r="F135" s="54"/>
      <c r="G135" s="54"/>
      <c r="H135" s="54" t="s">
        <v>443</v>
      </c>
      <c r="I135" s="54" t="s">
        <v>466</v>
      </c>
    </row>
    <row r="136" spans="1:9" x14ac:dyDescent="0.25">
      <c r="A136" s="187" t="s">
        <v>4903</v>
      </c>
      <c r="B136" s="54" t="s">
        <v>4803</v>
      </c>
      <c r="C136" s="54"/>
      <c r="D136" s="54"/>
      <c r="E136" s="54" t="s">
        <v>4804</v>
      </c>
      <c r="F136" s="54"/>
      <c r="G136" s="54"/>
      <c r="H136" s="91" t="s">
        <v>4521</v>
      </c>
      <c r="I136" s="54" t="s">
        <v>405</v>
      </c>
    </row>
    <row r="137" spans="1:9" x14ac:dyDescent="0.25">
      <c r="A137" s="187" t="s">
        <v>4904</v>
      </c>
      <c r="B137" s="54" t="s">
        <v>4805</v>
      </c>
      <c r="C137" s="54"/>
      <c r="D137" s="54"/>
      <c r="E137" s="54"/>
      <c r="F137" s="54"/>
      <c r="G137" s="54"/>
      <c r="H137" s="91" t="s">
        <v>4521</v>
      </c>
      <c r="I137" s="54" t="s">
        <v>405</v>
      </c>
    </row>
    <row r="138" spans="1:9" x14ac:dyDescent="0.25">
      <c r="A138" s="187" t="s">
        <v>4905</v>
      </c>
      <c r="B138" s="54" t="s">
        <v>4806</v>
      </c>
      <c r="C138" s="54"/>
      <c r="D138" s="54"/>
      <c r="E138" s="54"/>
      <c r="F138" s="54"/>
      <c r="G138" s="54"/>
      <c r="H138" s="54" t="s">
        <v>4528</v>
      </c>
      <c r="I138" s="54" t="s">
        <v>497</v>
      </c>
    </row>
    <row r="139" spans="1:9" x14ac:dyDescent="0.25">
      <c r="A139" s="188" t="s">
        <v>865</v>
      </c>
      <c r="B139" s="54" t="s">
        <v>4201</v>
      </c>
      <c r="C139" s="54" t="s">
        <v>3608</v>
      </c>
      <c r="D139" s="54"/>
      <c r="E139" s="54" t="s">
        <v>4571</v>
      </c>
      <c r="F139" s="54" t="s">
        <v>4200</v>
      </c>
      <c r="G139" s="54" t="s">
        <v>3608</v>
      </c>
      <c r="H139" s="54" t="s">
        <v>4546</v>
      </c>
      <c r="I139" s="54" t="s">
        <v>868</v>
      </c>
    </row>
    <row r="140" spans="1:9" x14ac:dyDescent="0.25">
      <c r="A140" s="188" t="s">
        <v>871</v>
      </c>
      <c r="B140" s="54" t="s">
        <v>4226</v>
      </c>
      <c r="C140" s="54" t="s">
        <v>3608</v>
      </c>
      <c r="D140" s="54"/>
      <c r="E140" s="54" t="s">
        <v>4572</v>
      </c>
      <c r="F140" s="54" t="s">
        <v>3608</v>
      </c>
      <c r="G140" s="54" t="s">
        <v>3608</v>
      </c>
      <c r="H140" s="54" t="s">
        <v>2784</v>
      </c>
      <c r="I140" s="54" t="s">
        <v>868</v>
      </c>
    </row>
    <row r="141" spans="1:9" x14ac:dyDescent="0.25">
      <c r="A141" s="188" t="s">
        <v>1801</v>
      </c>
      <c r="B141" s="54" t="s">
        <v>3759</v>
      </c>
      <c r="C141" s="54" t="s">
        <v>3608</v>
      </c>
      <c r="D141" s="54"/>
      <c r="E141" s="54" t="s">
        <v>4202</v>
      </c>
      <c r="F141" s="54" t="s">
        <v>3608</v>
      </c>
      <c r="G141" s="54" t="s">
        <v>3608</v>
      </c>
      <c r="H141" s="54" t="s">
        <v>2784</v>
      </c>
      <c r="I141" s="54" t="s">
        <v>868</v>
      </c>
    </row>
    <row r="142" spans="1:9" x14ac:dyDescent="0.25">
      <c r="A142" s="188" t="s">
        <v>1804</v>
      </c>
      <c r="B142" s="54" t="s">
        <v>4573</v>
      </c>
      <c r="C142" s="54" t="s">
        <v>3608</v>
      </c>
      <c r="D142" s="54"/>
      <c r="E142" s="54" t="s">
        <v>4495</v>
      </c>
      <c r="F142" s="54" t="s">
        <v>4574</v>
      </c>
      <c r="G142" s="54" t="s">
        <v>3608</v>
      </c>
      <c r="H142" s="54" t="s">
        <v>2784</v>
      </c>
      <c r="I142" s="54" t="s">
        <v>868</v>
      </c>
    </row>
    <row r="143" spans="1:9" x14ac:dyDescent="0.25">
      <c r="A143" s="188" t="s">
        <v>872</v>
      </c>
      <c r="B143" s="54" t="s">
        <v>4575</v>
      </c>
      <c r="C143" s="54" t="s">
        <v>2696</v>
      </c>
      <c r="D143" s="54"/>
      <c r="E143" s="54" t="s">
        <v>4496</v>
      </c>
      <c r="F143" s="54" t="s">
        <v>3608</v>
      </c>
      <c r="G143" s="54" t="s">
        <v>3608</v>
      </c>
      <c r="H143" s="54" t="s">
        <v>2784</v>
      </c>
      <c r="I143" s="54" t="s">
        <v>868</v>
      </c>
    </row>
    <row r="144" spans="1:9" x14ac:dyDescent="0.25">
      <c r="A144" s="188" t="s">
        <v>1811</v>
      </c>
      <c r="B144" s="54" t="s">
        <v>2688</v>
      </c>
      <c r="C144" s="54" t="s">
        <v>4576</v>
      </c>
      <c r="D144" s="54"/>
      <c r="E144" s="54" t="s">
        <v>4204</v>
      </c>
      <c r="F144" s="54" t="s">
        <v>3608</v>
      </c>
      <c r="G144" s="54" t="s">
        <v>3608</v>
      </c>
      <c r="H144" s="54" t="s">
        <v>4546</v>
      </c>
      <c r="I144" s="54" t="s">
        <v>868</v>
      </c>
    </row>
    <row r="145" spans="1:9" x14ac:dyDescent="0.25">
      <c r="A145" s="188" t="s">
        <v>1814</v>
      </c>
      <c r="B145" s="54" t="s">
        <v>4203</v>
      </c>
      <c r="C145" s="54" t="s">
        <v>3608</v>
      </c>
      <c r="D145" s="54"/>
      <c r="E145" s="54" t="s">
        <v>3608</v>
      </c>
      <c r="F145" s="54" t="s">
        <v>3608</v>
      </c>
      <c r="G145" s="54" t="s">
        <v>3608</v>
      </c>
      <c r="H145" s="54" t="s">
        <v>2784</v>
      </c>
      <c r="I145" s="54" t="s">
        <v>868</v>
      </c>
    </row>
    <row r="146" spans="1:9" x14ac:dyDescent="0.25">
      <c r="A146" s="188" t="s">
        <v>953</v>
      </c>
      <c r="B146" s="54" t="s">
        <v>3636</v>
      </c>
      <c r="C146" s="54" t="s">
        <v>3608</v>
      </c>
      <c r="D146" s="54"/>
      <c r="E146" s="54" t="s">
        <v>4205</v>
      </c>
      <c r="F146" s="54" t="s">
        <v>3608</v>
      </c>
      <c r="G146" s="54" t="s">
        <v>3608</v>
      </c>
      <c r="H146" s="54" t="s">
        <v>3023</v>
      </c>
      <c r="I146" s="54" t="s">
        <v>955</v>
      </c>
    </row>
    <row r="147" spans="1:9" x14ac:dyDescent="0.25">
      <c r="A147" s="188" t="s">
        <v>976</v>
      </c>
      <c r="B147" s="54" t="s">
        <v>2790</v>
      </c>
      <c r="C147" s="54" t="s">
        <v>3608</v>
      </c>
      <c r="D147" s="54"/>
      <c r="E147" s="54" t="s">
        <v>4577</v>
      </c>
      <c r="F147" s="54" t="s">
        <v>3608</v>
      </c>
      <c r="G147" s="54" t="s">
        <v>3608</v>
      </c>
      <c r="H147" s="54" t="s">
        <v>977</v>
      </c>
      <c r="I147" s="54" t="s">
        <v>911</v>
      </c>
    </row>
    <row r="148" spans="1:9" x14ac:dyDescent="0.25">
      <c r="A148" s="188" t="s">
        <v>957</v>
      </c>
      <c r="B148" s="54" t="s">
        <v>3024</v>
      </c>
      <c r="C148" s="54" t="s">
        <v>4578</v>
      </c>
      <c r="D148" s="54"/>
      <c r="E148" s="54" t="s">
        <v>4497</v>
      </c>
      <c r="F148" s="54" t="s">
        <v>4579</v>
      </c>
      <c r="G148" s="54" t="s">
        <v>3608</v>
      </c>
      <c r="H148" s="54" t="s">
        <v>4415</v>
      </c>
      <c r="I148" s="54" t="s">
        <v>955</v>
      </c>
    </row>
    <row r="149" spans="1:9" x14ac:dyDescent="0.25">
      <c r="A149" s="188" t="s">
        <v>958</v>
      </c>
      <c r="B149" s="54" t="s">
        <v>4207</v>
      </c>
      <c r="C149" s="54" t="s">
        <v>3608</v>
      </c>
      <c r="D149" s="54"/>
      <c r="E149" s="54" t="s">
        <v>3608</v>
      </c>
      <c r="F149" s="54" t="s">
        <v>3608</v>
      </c>
      <c r="G149" s="54" t="s">
        <v>3608</v>
      </c>
      <c r="H149" s="54" t="s">
        <v>3023</v>
      </c>
      <c r="I149" s="54" t="s">
        <v>955</v>
      </c>
    </row>
    <row r="150" spans="1:9" x14ac:dyDescent="0.25">
      <c r="A150" s="188" t="s">
        <v>874</v>
      </c>
      <c r="B150" s="54" t="s">
        <v>3637</v>
      </c>
      <c r="C150" s="54" t="s">
        <v>3608</v>
      </c>
      <c r="D150" s="54"/>
      <c r="E150" s="54" t="s">
        <v>4208</v>
      </c>
      <c r="F150" s="54" t="s">
        <v>3608</v>
      </c>
      <c r="G150" s="54" t="s">
        <v>3608</v>
      </c>
      <c r="H150" s="54" t="s">
        <v>4546</v>
      </c>
      <c r="I150" s="54" t="s">
        <v>868</v>
      </c>
    </row>
    <row r="151" spans="1:9" x14ac:dyDescent="0.25">
      <c r="A151" s="188" t="s">
        <v>981</v>
      </c>
      <c r="B151" s="54" t="s">
        <v>2836</v>
      </c>
      <c r="C151" s="54" t="s">
        <v>3608</v>
      </c>
      <c r="D151" s="54"/>
      <c r="E151" s="54" t="s">
        <v>4209</v>
      </c>
      <c r="F151" s="54" t="s">
        <v>3608</v>
      </c>
      <c r="G151" s="54" t="s">
        <v>3608</v>
      </c>
      <c r="H151" s="54" t="s">
        <v>977</v>
      </c>
      <c r="I151" s="54" t="s">
        <v>911</v>
      </c>
    </row>
    <row r="152" spans="1:9" x14ac:dyDescent="0.25">
      <c r="A152" s="188" t="s">
        <v>982</v>
      </c>
      <c r="B152" s="54" t="s">
        <v>3638</v>
      </c>
      <c r="C152" s="54" t="s">
        <v>3608</v>
      </c>
      <c r="D152" s="54"/>
      <c r="E152" s="54" t="s">
        <v>4498</v>
      </c>
      <c r="F152" s="54" t="s">
        <v>3608</v>
      </c>
      <c r="G152" s="54" t="s">
        <v>3608</v>
      </c>
      <c r="H152" s="54" t="s">
        <v>977</v>
      </c>
      <c r="I152" s="54" t="s">
        <v>911</v>
      </c>
    </row>
    <row r="153" spans="1:9" x14ac:dyDescent="0.25">
      <c r="A153" s="188" t="s">
        <v>959</v>
      </c>
      <c r="B153" s="54" t="s">
        <v>964</v>
      </c>
      <c r="C153" s="54" t="s">
        <v>3643</v>
      </c>
      <c r="D153" s="54"/>
      <c r="E153" s="54" t="s">
        <v>4211</v>
      </c>
      <c r="F153" s="54" t="s">
        <v>3608</v>
      </c>
      <c r="G153" s="54" t="s">
        <v>3608</v>
      </c>
      <c r="H153" s="54" t="s">
        <v>4547</v>
      </c>
      <c r="I153" s="54" t="s">
        <v>955</v>
      </c>
    </row>
    <row r="154" spans="1:9" x14ac:dyDescent="0.25">
      <c r="A154" s="188" t="s">
        <v>960</v>
      </c>
      <c r="B154" s="54" t="s">
        <v>3639</v>
      </c>
      <c r="C154" s="54" t="s">
        <v>3608</v>
      </c>
      <c r="D154" s="54"/>
      <c r="E154" s="91" t="s">
        <v>4580</v>
      </c>
      <c r="F154" s="54" t="s">
        <v>3608</v>
      </c>
      <c r="G154" s="54" t="s">
        <v>3608</v>
      </c>
      <c r="H154" s="54" t="s">
        <v>3023</v>
      </c>
      <c r="I154" s="54" t="s">
        <v>955</v>
      </c>
    </row>
    <row r="155" spans="1:9" x14ac:dyDescent="0.25">
      <c r="A155" s="188" t="s">
        <v>1836</v>
      </c>
      <c r="B155" s="54" t="s">
        <v>3664</v>
      </c>
      <c r="C155" s="54" t="s">
        <v>3608</v>
      </c>
      <c r="D155" s="54"/>
      <c r="E155" s="54" t="s">
        <v>4213</v>
      </c>
      <c r="F155" s="54" t="s">
        <v>3608</v>
      </c>
      <c r="G155" s="54" t="s">
        <v>3608</v>
      </c>
      <c r="H155" s="54" t="s">
        <v>4415</v>
      </c>
      <c r="I155" s="54" t="s">
        <v>955</v>
      </c>
    </row>
    <row r="156" spans="1:9" x14ac:dyDescent="0.25">
      <c r="A156" s="188" t="s">
        <v>961</v>
      </c>
      <c r="B156" s="54" t="s">
        <v>2701</v>
      </c>
      <c r="C156" s="54" t="s">
        <v>4214</v>
      </c>
      <c r="D156" s="54"/>
      <c r="E156" s="54" t="s">
        <v>4499</v>
      </c>
      <c r="F156" s="54" t="s">
        <v>4581</v>
      </c>
      <c r="G156" s="54" t="s">
        <v>3608</v>
      </c>
      <c r="H156" s="54" t="s">
        <v>4547</v>
      </c>
      <c r="I156" s="54" t="s">
        <v>955</v>
      </c>
    </row>
    <row r="157" spans="1:9" x14ac:dyDescent="0.25">
      <c r="A157" s="188" t="s">
        <v>1841</v>
      </c>
      <c r="B157" s="54" t="s">
        <v>973</v>
      </c>
      <c r="C157" s="54" t="s">
        <v>3608</v>
      </c>
      <c r="D157" s="54"/>
      <c r="E157" s="54" t="s">
        <v>4215</v>
      </c>
      <c r="F157" s="54" t="s">
        <v>3608</v>
      </c>
      <c r="G157" s="54" t="s">
        <v>3608</v>
      </c>
      <c r="H157" s="54" t="s">
        <v>4547</v>
      </c>
      <c r="I157" s="54" t="s">
        <v>955</v>
      </c>
    </row>
    <row r="158" spans="1:9" x14ac:dyDescent="0.25">
      <c r="A158" s="188" t="s">
        <v>962</v>
      </c>
      <c r="B158" s="54" t="s">
        <v>3640</v>
      </c>
      <c r="C158" s="54" t="s">
        <v>3608</v>
      </c>
      <c r="D158" s="54"/>
      <c r="E158" s="54" t="s">
        <v>4582</v>
      </c>
      <c r="F158" s="54" t="s">
        <v>4216</v>
      </c>
      <c r="G158" s="54" t="s">
        <v>4583</v>
      </c>
      <c r="H158" s="54" t="s">
        <v>3023</v>
      </c>
      <c r="I158" s="54" t="s">
        <v>955</v>
      </c>
    </row>
    <row r="159" spans="1:9" x14ac:dyDescent="0.25">
      <c r="A159" s="188" t="s">
        <v>963</v>
      </c>
      <c r="B159" s="54" t="s">
        <v>971</v>
      </c>
      <c r="C159" s="54" t="s">
        <v>3608</v>
      </c>
      <c r="D159" s="54"/>
      <c r="E159" s="54" t="s">
        <v>1822</v>
      </c>
      <c r="F159" s="54" t="s">
        <v>4217</v>
      </c>
      <c r="G159" s="54" t="s">
        <v>3608</v>
      </c>
      <c r="H159" s="54" t="s">
        <v>4547</v>
      </c>
      <c r="I159" s="54" t="s">
        <v>955</v>
      </c>
    </row>
    <row r="160" spans="1:9" x14ac:dyDescent="0.25">
      <c r="A160" s="188" t="s">
        <v>983</v>
      </c>
      <c r="B160" s="54" t="s">
        <v>3641</v>
      </c>
      <c r="C160" s="54" t="s">
        <v>3608</v>
      </c>
      <c r="D160" s="54"/>
      <c r="E160" s="54" t="s">
        <v>4218</v>
      </c>
      <c r="F160" s="54" t="s">
        <v>3608</v>
      </c>
      <c r="G160" s="54" t="s">
        <v>3608</v>
      </c>
      <c r="H160" s="54" t="s">
        <v>1004</v>
      </c>
      <c r="I160" s="54" t="s">
        <v>911</v>
      </c>
    </row>
    <row r="161" spans="1:9" x14ac:dyDescent="0.25">
      <c r="A161" s="188" t="s">
        <v>984</v>
      </c>
      <c r="B161" s="54" t="e">
        <v>#N/A</v>
      </c>
      <c r="C161" s="54" t="s">
        <v>3608</v>
      </c>
      <c r="D161" s="54"/>
      <c r="E161" s="54" t="s">
        <v>4219</v>
      </c>
      <c r="F161" s="54" t="s">
        <v>4584</v>
      </c>
      <c r="G161" s="54" t="s">
        <v>3608</v>
      </c>
      <c r="H161" s="54" t="s">
        <v>1004</v>
      </c>
      <c r="I161" s="54" t="s">
        <v>911</v>
      </c>
    </row>
    <row r="162" spans="1:9" x14ac:dyDescent="0.25">
      <c r="A162" s="188" t="s">
        <v>986</v>
      </c>
      <c r="B162" s="54" t="s">
        <v>3642</v>
      </c>
      <c r="C162" s="54" t="s">
        <v>3608</v>
      </c>
      <c r="D162" s="54"/>
      <c r="E162" s="54" t="s">
        <v>4220</v>
      </c>
      <c r="F162" s="54" t="s">
        <v>3608</v>
      </c>
      <c r="G162" s="54" t="s">
        <v>3608</v>
      </c>
      <c r="H162" s="54" t="s">
        <v>1004</v>
      </c>
      <c r="I162" s="54" t="s">
        <v>911</v>
      </c>
    </row>
    <row r="163" spans="1:9" x14ac:dyDescent="0.25">
      <c r="A163" s="188" t="s">
        <v>965</v>
      </c>
      <c r="B163" s="54" t="s">
        <v>4416</v>
      </c>
      <c r="C163" s="54" t="s">
        <v>3608</v>
      </c>
      <c r="D163" s="54"/>
      <c r="E163" s="54" t="s">
        <v>4221</v>
      </c>
      <c r="F163" s="54" t="s">
        <v>4585</v>
      </c>
      <c r="G163" s="54" t="s">
        <v>3608</v>
      </c>
      <c r="H163" s="54" t="s">
        <v>4547</v>
      </c>
      <c r="I163" s="54" t="s">
        <v>955</v>
      </c>
    </row>
    <row r="164" spans="1:9" x14ac:dyDescent="0.25">
      <c r="A164" s="188" t="s">
        <v>987</v>
      </c>
      <c r="B164" s="54" t="s">
        <v>4586</v>
      </c>
      <c r="C164" s="54" t="s">
        <v>3608</v>
      </c>
      <c r="D164" s="54"/>
      <c r="E164" s="54" t="s">
        <v>4222</v>
      </c>
      <c r="F164" s="54" t="s">
        <v>4587</v>
      </c>
      <c r="G164" s="54" t="s">
        <v>3608</v>
      </c>
      <c r="H164" s="54" t="s">
        <v>1004</v>
      </c>
      <c r="I164" s="54" t="s">
        <v>911</v>
      </c>
    </row>
    <row r="165" spans="1:9" x14ac:dyDescent="0.25">
      <c r="A165" s="188" t="s">
        <v>966</v>
      </c>
      <c r="B165" s="54" t="s">
        <v>4588</v>
      </c>
      <c r="C165" s="54" t="s">
        <v>3608</v>
      </c>
      <c r="D165" s="54"/>
      <c r="E165" s="54" t="s">
        <v>4223</v>
      </c>
      <c r="F165" s="54" t="s">
        <v>3608</v>
      </c>
      <c r="G165" s="54" t="s">
        <v>3608</v>
      </c>
      <c r="H165" s="54" t="s">
        <v>4547</v>
      </c>
      <c r="I165" s="54" t="s">
        <v>955</v>
      </c>
    </row>
    <row r="166" spans="1:9" x14ac:dyDescent="0.25">
      <c r="A166" s="188" t="s">
        <v>904</v>
      </c>
      <c r="B166" s="54" t="s">
        <v>2803</v>
      </c>
      <c r="C166" s="54" t="s">
        <v>3659</v>
      </c>
      <c r="D166" s="54"/>
      <c r="E166" s="54" t="s">
        <v>4224</v>
      </c>
      <c r="F166" s="54" t="s">
        <v>4268</v>
      </c>
      <c r="G166" s="54" t="s">
        <v>3608</v>
      </c>
      <c r="H166" s="54" t="s">
        <v>4549</v>
      </c>
      <c r="I166" s="54" t="s">
        <v>880</v>
      </c>
    </row>
    <row r="167" spans="1:9" x14ac:dyDescent="0.25">
      <c r="A167" s="188" t="s">
        <v>906</v>
      </c>
      <c r="B167" s="54" t="s">
        <v>3644</v>
      </c>
      <c r="C167" s="54" t="s">
        <v>4589</v>
      </c>
      <c r="D167" s="54"/>
      <c r="E167" s="54" t="s">
        <v>4500</v>
      </c>
      <c r="F167" s="54" t="s">
        <v>3608</v>
      </c>
      <c r="G167" s="54" t="s">
        <v>3608</v>
      </c>
      <c r="H167" s="54" t="s">
        <v>4549</v>
      </c>
      <c r="I167" s="54" t="s">
        <v>880</v>
      </c>
    </row>
    <row r="168" spans="1:9" x14ac:dyDescent="0.25">
      <c r="A168" s="188" t="s">
        <v>1875</v>
      </c>
      <c r="B168" s="54" t="s">
        <v>3760</v>
      </c>
      <c r="C168" s="54" t="s">
        <v>3608</v>
      </c>
      <c r="D168" s="54"/>
      <c r="E168" s="54" t="s">
        <v>3608</v>
      </c>
      <c r="F168" s="54" t="s">
        <v>3608</v>
      </c>
      <c r="G168" s="54" t="s">
        <v>3608</v>
      </c>
      <c r="H168" s="54" t="s">
        <v>2784</v>
      </c>
      <c r="I168" s="54" t="s">
        <v>868</v>
      </c>
    </row>
    <row r="169" spans="1:9" x14ac:dyDescent="0.25">
      <c r="A169" s="188" t="s">
        <v>875</v>
      </c>
      <c r="B169" s="54" t="s">
        <v>3645</v>
      </c>
      <c r="C169" s="54" t="s">
        <v>3608</v>
      </c>
      <c r="D169" s="54"/>
      <c r="E169" s="54" t="s">
        <v>4227</v>
      </c>
      <c r="F169" s="54" t="s">
        <v>3608</v>
      </c>
      <c r="G169" s="54" t="s">
        <v>3608</v>
      </c>
      <c r="H169" s="54" t="s">
        <v>4546</v>
      </c>
      <c r="I169" s="54" t="s">
        <v>868</v>
      </c>
    </row>
    <row r="170" spans="1:9" x14ac:dyDescent="0.25">
      <c r="A170" s="188" t="s">
        <v>908</v>
      </c>
      <c r="B170" s="54" t="s">
        <v>3652</v>
      </c>
      <c r="C170" s="54" t="s">
        <v>3608</v>
      </c>
      <c r="D170" s="54"/>
      <c r="E170" s="54" t="s">
        <v>4590</v>
      </c>
      <c r="F170" s="54" t="s">
        <v>4280</v>
      </c>
      <c r="G170" s="54" t="s">
        <v>3608</v>
      </c>
      <c r="H170" s="54" t="s">
        <v>2805</v>
      </c>
      <c r="I170" s="54" t="s">
        <v>905</v>
      </c>
    </row>
    <row r="171" spans="1:9" x14ac:dyDescent="0.25">
      <c r="A171" s="188" t="s">
        <v>988</v>
      </c>
      <c r="B171" s="54" t="s">
        <v>3646</v>
      </c>
      <c r="C171" s="54" t="s">
        <v>3608</v>
      </c>
      <c r="D171" s="54"/>
      <c r="E171" s="54" t="s">
        <v>4501</v>
      </c>
      <c r="F171" s="54" t="s">
        <v>4230</v>
      </c>
      <c r="G171" s="54" t="s">
        <v>3608</v>
      </c>
      <c r="H171" s="54" t="s">
        <v>4591</v>
      </c>
      <c r="I171" s="54" t="s">
        <v>955</v>
      </c>
    </row>
    <row r="172" spans="1:9" x14ac:dyDescent="0.25">
      <c r="A172" s="188" t="s">
        <v>989</v>
      </c>
      <c r="B172" s="54" t="s">
        <v>3647</v>
      </c>
      <c r="C172" s="54" t="s">
        <v>4229</v>
      </c>
      <c r="D172" s="54"/>
      <c r="E172" s="54" t="s">
        <v>4592</v>
      </c>
      <c r="F172" s="54" t="s">
        <v>3608</v>
      </c>
      <c r="G172" s="54" t="s">
        <v>3608</v>
      </c>
      <c r="H172" s="54" t="s">
        <v>4591</v>
      </c>
      <c r="I172" s="54" t="s">
        <v>955</v>
      </c>
    </row>
    <row r="173" spans="1:9" x14ac:dyDescent="0.25">
      <c r="A173" s="188" t="s">
        <v>990</v>
      </c>
      <c r="B173" s="54" t="s">
        <v>3648</v>
      </c>
      <c r="C173" s="54" t="s">
        <v>3608</v>
      </c>
      <c r="D173" s="54"/>
      <c r="E173" s="54" t="s">
        <v>4231</v>
      </c>
      <c r="F173" s="54" t="s">
        <v>3608</v>
      </c>
      <c r="G173" s="54" t="s">
        <v>3608</v>
      </c>
      <c r="H173" s="54" t="s">
        <v>4591</v>
      </c>
      <c r="I173" s="54" t="s">
        <v>955</v>
      </c>
    </row>
    <row r="174" spans="1:9" x14ac:dyDescent="0.25">
      <c r="A174" s="188" t="s">
        <v>991</v>
      </c>
      <c r="B174" s="155" t="s">
        <v>3672</v>
      </c>
      <c r="C174" s="54" t="s">
        <v>3608</v>
      </c>
      <c r="D174" s="54"/>
      <c r="E174" s="54" t="s">
        <v>4232</v>
      </c>
      <c r="F174" s="54" t="s">
        <v>3608</v>
      </c>
      <c r="G174" s="54" t="s">
        <v>3608</v>
      </c>
      <c r="H174" s="54" t="s">
        <v>977</v>
      </c>
      <c r="I174" s="54" t="s">
        <v>911</v>
      </c>
    </row>
    <row r="175" spans="1:9" x14ac:dyDescent="0.25">
      <c r="A175" s="188" t="s">
        <v>992</v>
      </c>
      <c r="B175" s="54" t="s">
        <v>4206</v>
      </c>
      <c r="C175" s="54"/>
      <c r="D175" s="54"/>
      <c r="E175" s="54" t="s">
        <v>4413</v>
      </c>
      <c r="F175" s="54" t="s">
        <v>3608</v>
      </c>
      <c r="G175" s="54" t="s">
        <v>3608</v>
      </c>
      <c r="H175" s="54" t="s">
        <v>977</v>
      </c>
      <c r="I175" s="54" t="s">
        <v>911</v>
      </c>
    </row>
    <row r="176" spans="1:9" x14ac:dyDescent="0.25">
      <c r="A176" s="188" t="s">
        <v>876</v>
      </c>
      <c r="B176" s="54" t="s">
        <v>2781</v>
      </c>
      <c r="C176" s="54" t="s">
        <v>3608</v>
      </c>
      <c r="D176" s="54"/>
      <c r="E176" s="54" t="s">
        <v>4233</v>
      </c>
      <c r="F176" s="54" t="s">
        <v>3608</v>
      </c>
      <c r="G176" s="54" t="s">
        <v>3608</v>
      </c>
      <c r="H176" s="54" t="s">
        <v>4546</v>
      </c>
      <c r="I176" s="54" t="s">
        <v>868</v>
      </c>
    </row>
    <row r="177" spans="1:9" x14ac:dyDescent="0.25">
      <c r="A177" s="188" t="s">
        <v>912</v>
      </c>
      <c r="B177" s="54" t="s">
        <v>4593</v>
      </c>
      <c r="C177" s="54" t="s">
        <v>3608</v>
      </c>
      <c r="D177" s="54"/>
      <c r="E177" s="54" t="s">
        <v>4503</v>
      </c>
      <c r="F177" s="54" t="s">
        <v>3608</v>
      </c>
      <c r="G177" s="54" t="s">
        <v>3608</v>
      </c>
      <c r="H177" s="54" t="s">
        <v>4550</v>
      </c>
      <c r="I177" s="54" t="s">
        <v>905</v>
      </c>
    </row>
    <row r="178" spans="1:9" x14ac:dyDescent="0.25">
      <c r="A178" s="188" t="s">
        <v>913</v>
      </c>
      <c r="B178" s="54" t="s">
        <v>3650</v>
      </c>
      <c r="C178" s="54" t="s">
        <v>3608</v>
      </c>
      <c r="D178" s="54"/>
      <c r="E178" s="54" t="s">
        <v>4282</v>
      </c>
      <c r="F178" s="54" t="s">
        <v>4594</v>
      </c>
      <c r="G178" s="54" t="s">
        <v>3608</v>
      </c>
      <c r="H178" s="54" t="s">
        <v>4551</v>
      </c>
      <c r="I178" s="54" t="s">
        <v>905</v>
      </c>
    </row>
    <row r="179" spans="1:9" x14ac:dyDescent="0.25">
      <c r="A179" s="188" t="s">
        <v>914</v>
      </c>
      <c r="B179" s="54" t="s">
        <v>4595</v>
      </c>
      <c r="C179" s="54" t="s">
        <v>4595</v>
      </c>
      <c r="D179" s="54"/>
      <c r="E179" s="54" t="s">
        <v>4235</v>
      </c>
      <c r="F179" s="54" t="s">
        <v>3608</v>
      </c>
      <c r="G179" s="54" t="s">
        <v>3608</v>
      </c>
      <c r="H179" s="54" t="s">
        <v>4552</v>
      </c>
      <c r="I179" s="54" t="s">
        <v>880</v>
      </c>
    </row>
    <row r="180" spans="1:9" x14ac:dyDescent="0.25">
      <c r="A180" s="188" t="s">
        <v>915</v>
      </c>
      <c r="B180" s="54" t="s">
        <v>2844</v>
      </c>
      <c r="C180" s="54" t="s">
        <v>3608</v>
      </c>
      <c r="D180" s="54"/>
      <c r="E180" s="54" t="s">
        <v>4234</v>
      </c>
      <c r="F180" s="54" t="s">
        <v>1916</v>
      </c>
      <c r="G180" s="54" t="s">
        <v>4236</v>
      </c>
      <c r="H180" s="54" t="s">
        <v>4551</v>
      </c>
      <c r="I180" s="54" t="s">
        <v>905</v>
      </c>
    </row>
    <row r="181" spans="1:9" x14ac:dyDescent="0.25">
      <c r="A181" s="188" t="s">
        <v>916</v>
      </c>
      <c r="B181" s="54" t="s">
        <v>4237</v>
      </c>
      <c r="C181" s="54" t="s">
        <v>3608</v>
      </c>
      <c r="D181" s="54"/>
      <c r="E181" s="54" t="s">
        <v>4596</v>
      </c>
      <c r="F181" s="54" t="s">
        <v>3608</v>
      </c>
      <c r="G181" s="54" t="s">
        <v>3608</v>
      </c>
      <c r="H181" s="54" t="s">
        <v>2805</v>
      </c>
      <c r="I181" s="54" t="s">
        <v>905</v>
      </c>
    </row>
    <row r="182" spans="1:9" x14ac:dyDescent="0.25">
      <c r="A182" s="188" t="s">
        <v>995</v>
      </c>
      <c r="B182" s="54" t="s">
        <v>996</v>
      </c>
      <c r="C182" s="54" t="s">
        <v>3608</v>
      </c>
      <c r="D182" s="54"/>
      <c r="E182" s="54" t="s">
        <v>4505</v>
      </c>
      <c r="F182" s="54" t="s">
        <v>3608</v>
      </c>
      <c r="G182" s="54" t="s">
        <v>3608</v>
      </c>
      <c r="H182" s="54" t="s">
        <v>977</v>
      </c>
      <c r="I182" s="54" t="s">
        <v>911</v>
      </c>
    </row>
    <row r="183" spans="1:9" x14ac:dyDescent="0.25">
      <c r="A183" s="188" t="s">
        <v>997</v>
      </c>
      <c r="B183" s="54" t="s">
        <v>3675</v>
      </c>
      <c r="C183" s="54" t="s">
        <v>3608</v>
      </c>
      <c r="D183" s="54"/>
      <c r="E183" s="54" t="s">
        <v>4238</v>
      </c>
      <c r="F183" s="54" t="s">
        <v>4597</v>
      </c>
      <c r="G183" s="54" t="s">
        <v>3608</v>
      </c>
      <c r="H183" s="54" t="s">
        <v>977</v>
      </c>
      <c r="I183" s="54" t="s">
        <v>911</v>
      </c>
    </row>
    <row r="184" spans="1:9" x14ac:dyDescent="0.25">
      <c r="A184" s="188" t="s">
        <v>881</v>
      </c>
      <c r="B184" s="54" t="s">
        <v>882</v>
      </c>
      <c r="C184" s="54" t="s">
        <v>3608</v>
      </c>
      <c r="D184" s="54"/>
      <c r="E184" s="54" t="s">
        <v>4506</v>
      </c>
      <c r="F184" s="54" t="s">
        <v>3608</v>
      </c>
      <c r="G184" s="54" t="s">
        <v>3608</v>
      </c>
      <c r="H184" s="54" t="s">
        <v>4552</v>
      </c>
      <c r="I184" s="54" t="s">
        <v>880</v>
      </c>
    </row>
    <row r="185" spans="1:9" x14ac:dyDescent="0.25">
      <c r="A185" s="188" t="s">
        <v>917</v>
      </c>
      <c r="B185" s="54" t="s">
        <v>4272</v>
      </c>
      <c r="C185" s="54" t="s">
        <v>3608</v>
      </c>
      <c r="D185" s="54"/>
      <c r="E185" s="54" t="s">
        <v>4598</v>
      </c>
      <c r="F185" s="54" t="s">
        <v>4599</v>
      </c>
      <c r="G185" s="54" t="s">
        <v>3608</v>
      </c>
      <c r="H185" s="54" t="s">
        <v>4550</v>
      </c>
      <c r="I185" s="54" t="s">
        <v>905</v>
      </c>
    </row>
    <row r="186" spans="1:9" x14ac:dyDescent="0.25">
      <c r="A186" s="188" t="s">
        <v>919</v>
      </c>
      <c r="B186" s="54" t="s">
        <v>2820</v>
      </c>
      <c r="C186" s="54" t="s">
        <v>3608</v>
      </c>
      <c r="D186" s="54"/>
      <c r="E186" s="54" t="s">
        <v>4241</v>
      </c>
      <c r="F186" s="54" t="s">
        <v>3608</v>
      </c>
      <c r="G186" s="54" t="s">
        <v>3608</v>
      </c>
      <c r="H186" s="54" t="s">
        <v>918</v>
      </c>
      <c r="I186" s="54" t="s">
        <v>905</v>
      </c>
    </row>
    <row r="187" spans="1:9" x14ac:dyDescent="0.25">
      <c r="A187" s="188" t="s">
        <v>1937</v>
      </c>
      <c r="B187" s="54" t="s">
        <v>947</v>
      </c>
      <c r="C187" s="54" t="s">
        <v>3608</v>
      </c>
      <c r="D187" s="54"/>
      <c r="E187" s="54" t="s">
        <v>4242</v>
      </c>
      <c r="F187" s="54" t="s">
        <v>4600</v>
      </c>
      <c r="G187" s="54" t="s">
        <v>3608</v>
      </c>
      <c r="H187" s="54" t="s">
        <v>918</v>
      </c>
      <c r="I187" s="54" t="s">
        <v>905</v>
      </c>
    </row>
    <row r="188" spans="1:9" x14ac:dyDescent="0.25">
      <c r="A188" s="188" t="s">
        <v>920</v>
      </c>
      <c r="B188" s="54" t="s">
        <v>4240</v>
      </c>
      <c r="C188" s="54" t="s">
        <v>2815</v>
      </c>
      <c r="D188" s="54"/>
      <c r="E188" s="54" t="s">
        <v>4601</v>
      </c>
      <c r="F188" s="54" t="s">
        <v>3608</v>
      </c>
      <c r="G188" s="54" t="s">
        <v>3608</v>
      </c>
      <c r="H188" s="54" t="s">
        <v>4550</v>
      </c>
      <c r="I188" s="54" t="s">
        <v>905</v>
      </c>
    </row>
    <row r="189" spans="1:9" x14ac:dyDescent="0.25">
      <c r="A189" s="188" t="s">
        <v>998</v>
      </c>
      <c r="B189" s="54" t="s">
        <v>3655</v>
      </c>
      <c r="C189" s="54" t="s">
        <v>3608</v>
      </c>
      <c r="D189" s="54"/>
      <c r="E189" s="54" t="s">
        <v>4244</v>
      </c>
      <c r="F189" s="54" t="s">
        <v>4602</v>
      </c>
      <c r="G189" s="54" t="s">
        <v>3608</v>
      </c>
      <c r="H189" s="54" t="s">
        <v>4591</v>
      </c>
      <c r="I189" s="54" t="s">
        <v>955</v>
      </c>
    </row>
    <row r="190" spans="1:9" x14ac:dyDescent="0.25">
      <c r="A190" s="188" t="s">
        <v>883</v>
      </c>
      <c r="B190" s="54" t="s">
        <v>3656</v>
      </c>
      <c r="C190" s="54" t="s">
        <v>3608</v>
      </c>
      <c r="D190" s="54"/>
      <c r="E190" s="54" t="s">
        <v>4603</v>
      </c>
      <c r="F190" s="54" t="s">
        <v>4271</v>
      </c>
      <c r="G190" s="54" t="s">
        <v>4604</v>
      </c>
      <c r="H190" s="54" t="s">
        <v>4552</v>
      </c>
      <c r="I190" s="54" t="s">
        <v>880</v>
      </c>
    </row>
    <row r="191" spans="1:9" x14ac:dyDescent="0.25">
      <c r="A191" s="188" t="s">
        <v>922</v>
      </c>
      <c r="B191" s="54" t="s">
        <v>4605</v>
      </c>
      <c r="C191" s="54" t="s">
        <v>3673</v>
      </c>
      <c r="D191" s="54"/>
      <c r="E191" s="54" t="s">
        <v>4606</v>
      </c>
      <c r="F191" s="54" t="s">
        <v>4246</v>
      </c>
      <c r="G191" s="54" t="s">
        <v>4507</v>
      </c>
      <c r="H191" s="54" t="s">
        <v>4552</v>
      </c>
      <c r="I191" s="54" t="s">
        <v>880</v>
      </c>
    </row>
    <row r="192" spans="1:9" x14ac:dyDescent="0.25">
      <c r="A192" s="188" t="s">
        <v>923</v>
      </c>
      <c r="B192" s="54" t="s">
        <v>3657</v>
      </c>
      <c r="C192" s="54" t="s">
        <v>3608</v>
      </c>
      <c r="D192" s="54"/>
      <c r="E192" s="54" t="s">
        <v>4607</v>
      </c>
      <c r="F192" s="54" t="s">
        <v>3608</v>
      </c>
      <c r="G192" s="54" t="s">
        <v>3608</v>
      </c>
      <c r="H192" s="54" t="s">
        <v>907</v>
      </c>
      <c r="I192" s="54" t="s">
        <v>905</v>
      </c>
    </row>
    <row r="193" spans="1:9" x14ac:dyDescent="0.25">
      <c r="A193" s="188" t="s">
        <v>924</v>
      </c>
      <c r="B193" s="54" t="s">
        <v>3658</v>
      </c>
      <c r="C193" s="54" t="s">
        <v>3608</v>
      </c>
      <c r="D193" s="54"/>
      <c r="E193" s="54" t="s">
        <v>4508</v>
      </c>
      <c r="F193" s="54" t="s">
        <v>3608</v>
      </c>
      <c r="G193" s="54" t="s">
        <v>3608</v>
      </c>
      <c r="H193" s="54" t="s">
        <v>907</v>
      </c>
      <c r="I193" s="54" t="s">
        <v>905</v>
      </c>
    </row>
    <row r="194" spans="1:9" x14ac:dyDescent="0.25">
      <c r="A194" s="188" t="s">
        <v>925</v>
      </c>
      <c r="B194" s="54" t="s">
        <v>2833</v>
      </c>
      <c r="C194" s="54" t="s">
        <v>3608</v>
      </c>
      <c r="D194" s="54"/>
      <c r="E194" s="54" t="s">
        <v>4608</v>
      </c>
      <c r="F194" s="54" t="s">
        <v>4609</v>
      </c>
      <c r="G194" s="54" t="s">
        <v>3608</v>
      </c>
      <c r="H194" s="54" t="s">
        <v>4553</v>
      </c>
      <c r="I194" s="54" t="s">
        <v>880</v>
      </c>
    </row>
    <row r="195" spans="1:9" x14ac:dyDescent="0.25">
      <c r="A195" s="188" t="s">
        <v>926</v>
      </c>
      <c r="B195" s="54" t="s">
        <v>4248</v>
      </c>
      <c r="C195" s="54" t="s">
        <v>3608</v>
      </c>
      <c r="D195" s="54"/>
      <c r="E195" s="54" t="s">
        <v>4610</v>
      </c>
      <c r="F195" s="54" t="s">
        <v>4611</v>
      </c>
      <c r="G195" s="54" t="s">
        <v>3608</v>
      </c>
      <c r="H195" s="54" t="s">
        <v>4553</v>
      </c>
      <c r="I195" s="54" t="s">
        <v>880</v>
      </c>
    </row>
    <row r="196" spans="1:9" x14ac:dyDescent="0.25">
      <c r="A196" s="188" t="s">
        <v>1964</v>
      </c>
      <c r="B196" s="54" t="s">
        <v>2816</v>
      </c>
      <c r="C196" s="54" t="s">
        <v>3608</v>
      </c>
      <c r="D196" s="54"/>
      <c r="E196" s="54" t="s">
        <v>4249</v>
      </c>
      <c r="F196" s="54" t="s">
        <v>4265</v>
      </c>
      <c r="G196" s="54" t="s">
        <v>3608</v>
      </c>
      <c r="H196" s="54" t="s">
        <v>907</v>
      </c>
      <c r="I196" s="54" t="s">
        <v>905</v>
      </c>
    </row>
    <row r="197" spans="1:9" x14ac:dyDescent="0.25">
      <c r="A197" s="188" t="s">
        <v>927</v>
      </c>
      <c r="B197" s="54" t="s">
        <v>3660</v>
      </c>
      <c r="C197" s="54" t="s">
        <v>4612</v>
      </c>
      <c r="D197" s="54"/>
      <c r="E197" s="54" t="s">
        <v>4250</v>
      </c>
      <c r="F197" s="54" t="s">
        <v>3608</v>
      </c>
      <c r="G197" s="54" t="s">
        <v>3608</v>
      </c>
      <c r="H197" s="54" t="s">
        <v>4553</v>
      </c>
      <c r="I197" s="54" t="s">
        <v>880</v>
      </c>
    </row>
    <row r="198" spans="1:9" x14ac:dyDescent="0.25">
      <c r="A198" s="188" t="s">
        <v>928</v>
      </c>
      <c r="B198" s="54" t="s">
        <v>3661</v>
      </c>
      <c r="C198" s="54" t="s">
        <v>3608</v>
      </c>
      <c r="D198" s="54"/>
      <c r="E198" s="54" t="s">
        <v>4251</v>
      </c>
      <c r="F198" s="54" t="s">
        <v>3608</v>
      </c>
      <c r="G198" s="54" t="s">
        <v>3608</v>
      </c>
      <c r="H198" s="54" t="s">
        <v>907</v>
      </c>
      <c r="I198" s="54" t="s">
        <v>905</v>
      </c>
    </row>
    <row r="199" spans="1:9" x14ac:dyDescent="0.25">
      <c r="A199" s="188" t="s">
        <v>1000</v>
      </c>
      <c r="B199" s="54" t="s">
        <v>3662</v>
      </c>
      <c r="C199" s="54" t="s">
        <v>3608</v>
      </c>
      <c r="D199" s="54"/>
      <c r="E199" s="54" t="s">
        <v>4613</v>
      </c>
      <c r="F199" s="54" t="s">
        <v>3608</v>
      </c>
      <c r="G199" s="54" t="s">
        <v>3608</v>
      </c>
      <c r="H199" s="54" t="s">
        <v>1004</v>
      </c>
      <c r="I199" s="54" t="s">
        <v>911</v>
      </c>
    </row>
    <row r="200" spans="1:9" x14ac:dyDescent="0.25">
      <c r="A200" s="188" t="s">
        <v>887</v>
      </c>
      <c r="B200" s="54" t="s">
        <v>2823</v>
      </c>
      <c r="C200" s="54" t="s">
        <v>4253</v>
      </c>
      <c r="D200" s="156" t="s">
        <v>4614</v>
      </c>
      <c r="E200" s="54" t="s">
        <v>4615</v>
      </c>
      <c r="F200" s="54" t="s">
        <v>4520</v>
      </c>
      <c r="G200" s="54" t="s">
        <v>4517</v>
      </c>
      <c r="H200" s="54" t="s">
        <v>4548</v>
      </c>
      <c r="I200" s="54" t="s">
        <v>888</v>
      </c>
    </row>
    <row r="201" spans="1:9" x14ac:dyDescent="0.25">
      <c r="A201" s="188" t="s">
        <v>890</v>
      </c>
      <c r="B201" s="54" t="s">
        <v>3663</v>
      </c>
      <c r="C201" s="54" t="s">
        <v>3608</v>
      </c>
      <c r="D201" s="54"/>
      <c r="E201" s="54" t="s">
        <v>4254</v>
      </c>
      <c r="F201" s="54" t="s">
        <v>3608</v>
      </c>
      <c r="G201" s="54" t="s">
        <v>3608</v>
      </c>
      <c r="H201" s="54" t="s">
        <v>4548</v>
      </c>
      <c r="I201" s="54" t="s">
        <v>888</v>
      </c>
    </row>
    <row r="202" spans="1:9" x14ac:dyDescent="0.25">
      <c r="A202" s="188" t="s">
        <v>969</v>
      </c>
      <c r="B202" s="54" t="s">
        <v>4616</v>
      </c>
      <c r="C202" s="54" t="s">
        <v>3608</v>
      </c>
      <c r="D202" s="54"/>
      <c r="E202" s="54" t="s">
        <v>4617</v>
      </c>
      <c r="F202" s="54" t="s">
        <v>4255</v>
      </c>
      <c r="G202" s="54" t="s">
        <v>3608</v>
      </c>
      <c r="H202" s="54" t="s">
        <v>4547</v>
      </c>
      <c r="I202" s="54" t="s">
        <v>955</v>
      </c>
    </row>
    <row r="203" spans="1:9" x14ac:dyDescent="0.25">
      <c r="A203" s="188" t="s">
        <v>1985</v>
      </c>
      <c r="B203" s="54" t="s">
        <v>2700</v>
      </c>
      <c r="C203" s="54" t="s">
        <v>3608</v>
      </c>
      <c r="D203" s="54"/>
      <c r="E203" s="54" t="s">
        <v>4256</v>
      </c>
      <c r="F203" s="54" t="s">
        <v>4618</v>
      </c>
      <c r="G203" s="54" t="s">
        <v>3608</v>
      </c>
      <c r="H203" s="54" t="s">
        <v>4552</v>
      </c>
      <c r="I203" s="54" t="s">
        <v>880</v>
      </c>
    </row>
    <row r="204" spans="1:9" x14ac:dyDescent="0.25">
      <c r="A204" s="188" t="s">
        <v>1988</v>
      </c>
      <c r="B204" s="54" t="s">
        <v>2818</v>
      </c>
      <c r="C204" s="54" t="s">
        <v>3608</v>
      </c>
      <c r="D204" s="54"/>
      <c r="E204" s="54" t="s">
        <v>4257</v>
      </c>
      <c r="F204" s="54" t="s">
        <v>3608</v>
      </c>
      <c r="G204" s="54" t="s">
        <v>3608</v>
      </c>
      <c r="H204" s="54" t="s">
        <v>4552</v>
      </c>
      <c r="I204" s="54" t="s">
        <v>880</v>
      </c>
    </row>
    <row r="205" spans="1:9" x14ac:dyDescent="0.25">
      <c r="A205" s="188" t="s">
        <v>929</v>
      </c>
      <c r="B205" s="54" t="s">
        <v>931</v>
      </c>
      <c r="C205" s="54" t="s">
        <v>3608</v>
      </c>
      <c r="D205" s="54"/>
      <c r="E205" s="91" t="s">
        <v>4619</v>
      </c>
      <c r="F205" s="54" t="s">
        <v>3608</v>
      </c>
      <c r="G205" s="54" t="s">
        <v>3608</v>
      </c>
      <c r="H205" s="54" t="s">
        <v>4549</v>
      </c>
      <c r="I205" s="54" t="s">
        <v>880</v>
      </c>
    </row>
    <row r="206" spans="1:9" x14ac:dyDescent="0.25">
      <c r="A206" s="188" t="s">
        <v>932</v>
      </c>
      <c r="B206" s="54" t="s">
        <v>2827</v>
      </c>
      <c r="C206" s="54" t="s">
        <v>3608</v>
      </c>
      <c r="D206" s="54"/>
      <c r="E206" s="54" t="s">
        <v>4511</v>
      </c>
      <c r="F206" s="54" t="s">
        <v>3608</v>
      </c>
      <c r="G206" s="54" t="s">
        <v>3608</v>
      </c>
      <c r="H206" s="54" t="s">
        <v>4553</v>
      </c>
      <c r="I206" s="54" t="s">
        <v>880</v>
      </c>
    </row>
    <row r="207" spans="1:9" x14ac:dyDescent="0.25">
      <c r="A207" s="188" t="s">
        <v>933</v>
      </c>
      <c r="B207" s="54" t="s">
        <v>3665</v>
      </c>
      <c r="C207" s="54" t="s">
        <v>3608</v>
      </c>
      <c r="D207" s="54"/>
      <c r="E207" s="54" t="s">
        <v>4512</v>
      </c>
      <c r="F207" s="54" t="s">
        <v>3608</v>
      </c>
      <c r="G207" s="54" t="s">
        <v>3608</v>
      </c>
      <c r="H207" s="54" t="s">
        <v>4549</v>
      </c>
      <c r="I207" s="54" t="s">
        <v>880</v>
      </c>
    </row>
    <row r="208" spans="1:9" x14ac:dyDescent="0.25">
      <c r="A208" s="188" t="s">
        <v>935</v>
      </c>
      <c r="B208" s="54" t="e">
        <v>#N/A</v>
      </c>
      <c r="C208" s="54" t="s">
        <v>3608</v>
      </c>
      <c r="D208" s="54"/>
      <c r="E208" s="54" t="s">
        <v>4260</v>
      </c>
      <c r="F208" s="54" t="s">
        <v>3608</v>
      </c>
      <c r="G208" s="54" t="s">
        <v>3608</v>
      </c>
      <c r="H208" s="54" t="s">
        <v>2805</v>
      </c>
      <c r="I208" s="54" t="s">
        <v>905</v>
      </c>
    </row>
    <row r="209" spans="1:9" x14ac:dyDescent="0.25">
      <c r="A209" s="188" t="s">
        <v>891</v>
      </c>
      <c r="B209" s="54" t="s">
        <v>4620</v>
      </c>
      <c r="C209" s="54" t="s">
        <v>3608</v>
      </c>
      <c r="D209" s="54"/>
      <c r="E209" s="54" t="s">
        <v>4621</v>
      </c>
      <c r="F209" s="54" t="s">
        <v>3608</v>
      </c>
      <c r="G209" s="54" t="s">
        <v>3608</v>
      </c>
      <c r="H209" s="54" t="s">
        <v>4554</v>
      </c>
      <c r="I209" s="54" t="s">
        <v>888</v>
      </c>
    </row>
    <row r="210" spans="1:9" x14ac:dyDescent="0.25">
      <c r="A210" s="188" t="s">
        <v>892</v>
      </c>
      <c r="B210" s="54" t="s">
        <v>3667</v>
      </c>
      <c r="C210" s="54" t="s">
        <v>3608</v>
      </c>
      <c r="D210" s="54"/>
      <c r="E210" s="54" t="s">
        <v>4622</v>
      </c>
      <c r="F210" s="54" t="s">
        <v>3608</v>
      </c>
      <c r="G210" s="54" t="s">
        <v>3608</v>
      </c>
      <c r="H210" s="54" t="s">
        <v>4554</v>
      </c>
      <c r="I210" s="54" t="s">
        <v>888</v>
      </c>
    </row>
    <row r="211" spans="1:9" x14ac:dyDescent="0.25">
      <c r="A211" s="188" t="s">
        <v>893</v>
      </c>
      <c r="B211" s="54" t="s">
        <v>2830</v>
      </c>
      <c r="C211" s="54" t="s">
        <v>4595</v>
      </c>
      <c r="D211" s="54"/>
      <c r="E211" s="54" t="s">
        <v>4513</v>
      </c>
      <c r="F211" s="54" t="s">
        <v>3608</v>
      </c>
      <c r="G211" s="54" t="s">
        <v>3608</v>
      </c>
      <c r="H211" s="54" t="s">
        <v>4554</v>
      </c>
      <c r="I211" s="54" t="s">
        <v>888</v>
      </c>
    </row>
    <row r="212" spans="1:9" x14ac:dyDescent="0.25">
      <c r="A212" s="188" t="s">
        <v>894</v>
      </c>
      <c r="B212" s="54" t="s">
        <v>4623</v>
      </c>
      <c r="C212" s="54" t="s">
        <v>3608</v>
      </c>
      <c r="D212" s="54"/>
      <c r="E212" s="54" t="s">
        <v>3202</v>
      </c>
      <c r="F212" s="54" t="s">
        <v>3608</v>
      </c>
      <c r="G212" s="54" t="s">
        <v>3608</v>
      </c>
      <c r="H212" s="54" t="s">
        <v>4548</v>
      </c>
      <c r="I212" s="54" t="s">
        <v>888</v>
      </c>
    </row>
    <row r="213" spans="1:9" x14ac:dyDescent="0.25">
      <c r="A213" s="188" t="s">
        <v>972</v>
      </c>
      <c r="B213" s="54" t="s">
        <v>3025</v>
      </c>
      <c r="C213" s="54"/>
      <c r="D213" s="54"/>
      <c r="E213" s="177" t="s">
        <v>4624</v>
      </c>
      <c r="F213" s="54" t="s">
        <v>4625</v>
      </c>
      <c r="G213" s="54" t="s">
        <v>3608</v>
      </c>
      <c r="H213" s="54" t="s">
        <v>3023</v>
      </c>
      <c r="I213" s="54" t="s">
        <v>955</v>
      </c>
    </row>
    <row r="214" spans="1:9" x14ac:dyDescent="0.25">
      <c r="A214" s="188" t="s">
        <v>936</v>
      </c>
      <c r="B214" s="54" t="s">
        <v>2847</v>
      </c>
      <c r="C214" s="54" t="s">
        <v>3608</v>
      </c>
      <c r="D214" s="54"/>
      <c r="E214" s="54" t="s">
        <v>4626</v>
      </c>
      <c r="F214" s="54" t="s">
        <v>3608</v>
      </c>
      <c r="G214" s="54" t="s">
        <v>3608</v>
      </c>
      <c r="H214" s="54" t="s">
        <v>4551</v>
      </c>
      <c r="I214" s="54" t="s">
        <v>905</v>
      </c>
    </row>
    <row r="215" spans="1:9" x14ac:dyDescent="0.25">
      <c r="A215" s="188" t="s">
        <v>937</v>
      </c>
      <c r="B215" s="54" t="s">
        <v>3669</v>
      </c>
      <c r="C215" s="54" t="s">
        <v>3608</v>
      </c>
      <c r="D215" s="54"/>
      <c r="E215" s="54" t="s">
        <v>4627</v>
      </c>
      <c r="F215" s="54" t="s">
        <v>4628</v>
      </c>
      <c r="G215" s="54" t="s">
        <v>4514</v>
      </c>
      <c r="H215" s="54" t="s">
        <v>907</v>
      </c>
      <c r="I215" s="54" t="s">
        <v>905</v>
      </c>
    </row>
    <row r="216" spans="1:9" x14ac:dyDescent="0.25">
      <c r="A216" s="188" t="s">
        <v>938</v>
      </c>
      <c r="B216" s="54" t="s">
        <v>3670</v>
      </c>
      <c r="C216" s="54" t="s">
        <v>3608</v>
      </c>
      <c r="D216" s="54"/>
      <c r="E216" s="54" t="s">
        <v>4243</v>
      </c>
      <c r="F216" s="54" t="s">
        <v>4629</v>
      </c>
      <c r="G216" s="54" t="s">
        <v>3608</v>
      </c>
      <c r="H216" s="54" t="s">
        <v>907</v>
      </c>
      <c r="I216" s="54" t="s">
        <v>905</v>
      </c>
    </row>
    <row r="217" spans="1:9" x14ac:dyDescent="0.25">
      <c r="A217" s="188" t="s">
        <v>939</v>
      </c>
      <c r="B217" s="54" t="s">
        <v>4630</v>
      </c>
      <c r="C217" s="54" t="s">
        <v>3608</v>
      </c>
      <c r="D217" s="54"/>
      <c r="E217" s="54" t="s">
        <v>4266</v>
      </c>
      <c r="F217" s="54" t="s">
        <v>3608</v>
      </c>
      <c r="G217" s="54" t="s">
        <v>3608</v>
      </c>
      <c r="H217" s="54" t="s">
        <v>4550</v>
      </c>
      <c r="I217" s="54" t="s">
        <v>905</v>
      </c>
    </row>
    <row r="218" spans="1:9" x14ac:dyDescent="0.25">
      <c r="A218" s="188" t="s">
        <v>974</v>
      </c>
      <c r="B218" s="54" t="s">
        <v>2851</v>
      </c>
      <c r="C218" s="54" t="s">
        <v>3608</v>
      </c>
      <c r="D218" s="54"/>
      <c r="E218" s="54" t="s">
        <v>4267</v>
      </c>
      <c r="F218" s="54" t="s">
        <v>3608</v>
      </c>
      <c r="G218" s="54" t="s">
        <v>3608</v>
      </c>
      <c r="H218" s="54" t="s">
        <v>3023</v>
      </c>
      <c r="I218" s="54" t="s">
        <v>955</v>
      </c>
    </row>
    <row r="219" spans="1:9" x14ac:dyDescent="0.25">
      <c r="A219" s="188" t="s">
        <v>941</v>
      </c>
      <c r="B219" s="54" t="s">
        <v>934</v>
      </c>
      <c r="C219" s="54" t="s">
        <v>3608</v>
      </c>
      <c r="D219" s="54"/>
      <c r="E219" s="54" t="s">
        <v>4259</v>
      </c>
      <c r="F219" s="54" t="s">
        <v>4225</v>
      </c>
      <c r="G219" s="54" t="s">
        <v>3608</v>
      </c>
      <c r="H219" s="54" t="s">
        <v>4549</v>
      </c>
      <c r="I219" s="54" t="s">
        <v>880</v>
      </c>
    </row>
    <row r="220" spans="1:9" x14ac:dyDescent="0.25">
      <c r="A220" s="188" t="s">
        <v>1003</v>
      </c>
      <c r="B220" s="155" t="s">
        <v>3649</v>
      </c>
      <c r="C220" s="54" t="s">
        <v>3608</v>
      </c>
      <c r="D220" s="54"/>
      <c r="E220" s="54" t="s">
        <v>4269</v>
      </c>
      <c r="F220" s="54" t="s">
        <v>3608</v>
      </c>
      <c r="G220" s="54" t="s">
        <v>3608</v>
      </c>
      <c r="H220" s="54" t="s">
        <v>977</v>
      </c>
      <c r="I220" s="54" t="s">
        <v>911</v>
      </c>
    </row>
    <row r="221" spans="1:9" x14ac:dyDescent="0.25">
      <c r="A221" s="188" t="s">
        <v>1005</v>
      </c>
      <c r="B221" s="54" t="s">
        <v>4631</v>
      </c>
      <c r="C221" s="54" t="s">
        <v>3608</v>
      </c>
      <c r="D221" s="54"/>
      <c r="E221" s="54" t="s">
        <v>4270</v>
      </c>
      <c r="F221" s="54" t="s">
        <v>3608</v>
      </c>
      <c r="G221" s="54" t="s">
        <v>3608</v>
      </c>
      <c r="H221" s="54" t="s">
        <v>4415</v>
      </c>
      <c r="I221" s="54" t="s">
        <v>955</v>
      </c>
    </row>
    <row r="222" spans="1:9" x14ac:dyDescent="0.25">
      <c r="A222" s="188" t="s">
        <v>1006</v>
      </c>
      <c r="B222" s="54" t="s">
        <v>2838</v>
      </c>
      <c r="C222" s="54" t="s">
        <v>3608</v>
      </c>
      <c r="D222" s="54"/>
      <c r="E222" s="54" t="s">
        <v>3608</v>
      </c>
      <c r="F222" s="54" t="s">
        <v>3608</v>
      </c>
      <c r="G222" s="54" t="s">
        <v>3608</v>
      </c>
      <c r="H222" s="54" t="s">
        <v>4591</v>
      </c>
      <c r="I222" s="54" t="s">
        <v>955</v>
      </c>
    </row>
    <row r="223" spans="1:9" x14ac:dyDescent="0.25">
      <c r="A223" s="188" t="s">
        <v>884</v>
      </c>
      <c r="B223" s="54" t="s">
        <v>4245</v>
      </c>
      <c r="C223" s="54" t="s">
        <v>3608</v>
      </c>
      <c r="D223" s="54"/>
      <c r="E223" s="54" t="s">
        <v>4632</v>
      </c>
      <c r="F223" s="54" t="s">
        <v>3608</v>
      </c>
      <c r="G223" s="54" t="s">
        <v>3608</v>
      </c>
      <c r="H223" s="54" t="s">
        <v>4552</v>
      </c>
      <c r="I223" s="54" t="s">
        <v>880</v>
      </c>
    </row>
    <row r="224" spans="1:9" x14ac:dyDescent="0.25">
      <c r="A224" s="188" t="s">
        <v>897</v>
      </c>
      <c r="B224" s="54" t="s">
        <v>3666</v>
      </c>
      <c r="C224" s="54" t="s">
        <v>3608</v>
      </c>
      <c r="D224" s="54"/>
      <c r="E224" s="54" t="s">
        <v>3608</v>
      </c>
      <c r="F224" s="54" t="s">
        <v>3608</v>
      </c>
      <c r="G224" s="54" t="s">
        <v>3608</v>
      </c>
      <c r="H224" s="54" t="s">
        <v>4548</v>
      </c>
      <c r="I224" s="54" t="s">
        <v>888</v>
      </c>
    </row>
    <row r="225" spans="1:9" x14ac:dyDescent="0.25">
      <c r="A225" s="188" t="s">
        <v>899</v>
      </c>
      <c r="B225" s="54" t="s">
        <v>3674</v>
      </c>
      <c r="C225" s="54" t="s">
        <v>3608</v>
      </c>
      <c r="D225" s="54"/>
      <c r="E225" s="54" t="s">
        <v>4515</v>
      </c>
      <c r="F225" s="54" t="s">
        <v>3608</v>
      </c>
      <c r="G225" s="54" t="s">
        <v>3608</v>
      </c>
      <c r="H225" s="54" t="s">
        <v>4548</v>
      </c>
      <c r="I225" s="54" t="s">
        <v>888</v>
      </c>
    </row>
    <row r="226" spans="1:9" x14ac:dyDescent="0.25">
      <c r="A226" s="188" t="s">
        <v>1008</v>
      </c>
      <c r="B226" s="54" t="s">
        <v>4210</v>
      </c>
      <c r="C226" s="54" t="s">
        <v>3608</v>
      </c>
      <c r="D226" s="54"/>
      <c r="E226" s="54" t="s">
        <v>4633</v>
      </c>
      <c r="F226" s="54" t="s">
        <v>3608</v>
      </c>
      <c r="G226" s="54" t="s">
        <v>3608</v>
      </c>
      <c r="H226" s="54" t="s">
        <v>977</v>
      </c>
      <c r="I226" s="54" t="s">
        <v>911</v>
      </c>
    </row>
    <row r="227" spans="1:9" x14ac:dyDescent="0.25">
      <c r="A227" s="188" t="s">
        <v>943</v>
      </c>
      <c r="B227" s="54" t="s">
        <v>2853</v>
      </c>
      <c r="C227" s="54" t="s">
        <v>3608</v>
      </c>
      <c r="D227" s="54"/>
      <c r="E227" s="54" t="s">
        <v>4516</v>
      </c>
      <c r="F227" s="54" t="s">
        <v>4634</v>
      </c>
      <c r="G227" s="54" t="s">
        <v>3608</v>
      </c>
      <c r="H227" s="54" t="s">
        <v>4551</v>
      </c>
      <c r="I227" s="54" t="s">
        <v>905</v>
      </c>
    </row>
    <row r="228" spans="1:9" x14ac:dyDescent="0.25">
      <c r="A228" s="188" t="s">
        <v>901</v>
      </c>
      <c r="B228" s="54" t="s">
        <v>4595</v>
      </c>
      <c r="C228" s="54" t="s">
        <v>4595</v>
      </c>
      <c r="D228" s="54"/>
      <c r="E228" s="54" t="s">
        <v>4635</v>
      </c>
      <c r="F228" s="54" t="s">
        <v>3608</v>
      </c>
      <c r="G228" s="54" t="s">
        <v>3608</v>
      </c>
      <c r="H228" s="54" t="s">
        <v>4554</v>
      </c>
      <c r="I228" s="54" t="s">
        <v>888</v>
      </c>
    </row>
    <row r="229" spans="1:9" x14ac:dyDescent="0.25">
      <c r="A229" s="188" t="s">
        <v>902</v>
      </c>
      <c r="B229" s="54" t="s">
        <v>903</v>
      </c>
      <c r="C229" s="54" t="s">
        <v>3608</v>
      </c>
      <c r="D229" s="54"/>
      <c r="E229" s="54" t="s">
        <v>4636</v>
      </c>
      <c r="F229" s="54" t="s">
        <v>3608</v>
      </c>
      <c r="G229" s="54" t="s">
        <v>3608</v>
      </c>
      <c r="H229" s="54" t="s">
        <v>4554</v>
      </c>
      <c r="I229" s="54" t="s">
        <v>888</v>
      </c>
    </row>
    <row r="230" spans="1:9" x14ac:dyDescent="0.25">
      <c r="A230" s="188" t="s">
        <v>944</v>
      </c>
      <c r="B230" s="54" t="s">
        <v>3677</v>
      </c>
      <c r="C230" s="54" t="s">
        <v>3608</v>
      </c>
      <c r="D230" s="54"/>
      <c r="E230" s="54" t="s">
        <v>4274</v>
      </c>
      <c r="F230" s="54" t="s">
        <v>3608</v>
      </c>
      <c r="G230" s="54" t="s">
        <v>3608</v>
      </c>
      <c r="H230" s="54" t="s">
        <v>4552</v>
      </c>
      <c r="I230" s="54" t="s">
        <v>880</v>
      </c>
    </row>
    <row r="231" spans="1:9" x14ac:dyDescent="0.25">
      <c r="A231" s="188" t="s">
        <v>885</v>
      </c>
      <c r="B231" s="19" t="s">
        <v>3678</v>
      </c>
      <c r="C231" s="19" t="s">
        <v>3608</v>
      </c>
      <c r="D231" s="19"/>
      <c r="E231" s="54" t="s">
        <v>3608</v>
      </c>
      <c r="F231" s="54" t="s">
        <v>3608</v>
      </c>
      <c r="G231" s="54" t="s">
        <v>3608</v>
      </c>
      <c r="H231" s="54" t="s">
        <v>4546</v>
      </c>
      <c r="I231" s="54" t="s">
        <v>868</v>
      </c>
    </row>
    <row r="232" spans="1:9" x14ac:dyDescent="0.25">
      <c r="A232" s="188" t="s">
        <v>945</v>
      </c>
      <c r="B232" s="54" t="s">
        <v>4637</v>
      </c>
      <c r="C232" s="54" t="s">
        <v>3608</v>
      </c>
      <c r="D232" s="54"/>
      <c r="E232" s="54" t="s">
        <v>4638</v>
      </c>
      <c r="F232" s="54" t="s">
        <v>3608</v>
      </c>
      <c r="G232" s="54" t="s">
        <v>3608</v>
      </c>
      <c r="H232" s="54" t="s">
        <v>4553</v>
      </c>
      <c r="I232" s="54" t="s">
        <v>880</v>
      </c>
    </row>
    <row r="233" spans="1:9" x14ac:dyDescent="0.25">
      <c r="A233" s="188" t="s">
        <v>1009</v>
      </c>
      <c r="B233" s="54" t="s">
        <v>900</v>
      </c>
      <c r="C233" s="54" t="s">
        <v>3608</v>
      </c>
      <c r="D233" s="54"/>
      <c r="E233" s="54" t="s">
        <v>4518</v>
      </c>
      <c r="F233" s="54" t="s">
        <v>3608</v>
      </c>
      <c r="G233" s="54" t="s">
        <v>3608</v>
      </c>
      <c r="H233" s="54" t="s">
        <v>4415</v>
      </c>
      <c r="I233" s="54" t="s">
        <v>955</v>
      </c>
    </row>
    <row r="234" spans="1:9" x14ac:dyDescent="0.25">
      <c r="A234" s="188" t="s">
        <v>946</v>
      </c>
      <c r="B234" s="54" t="s">
        <v>3671</v>
      </c>
      <c r="C234" s="54" t="s">
        <v>3608</v>
      </c>
      <c r="D234" s="54"/>
      <c r="E234" s="54" t="s">
        <v>4277</v>
      </c>
      <c r="F234" s="54" t="s">
        <v>3608</v>
      </c>
      <c r="G234" s="54" t="s">
        <v>3608</v>
      </c>
      <c r="H234" s="54" t="s">
        <v>918</v>
      </c>
      <c r="I234" s="54" t="s">
        <v>905</v>
      </c>
    </row>
    <row r="235" spans="1:9" x14ac:dyDescent="0.25">
      <c r="A235" s="188" t="s">
        <v>948</v>
      </c>
      <c r="B235" s="54" t="s">
        <v>4639</v>
      </c>
      <c r="C235" s="54" t="s">
        <v>3608</v>
      </c>
      <c r="D235" s="54"/>
      <c r="E235" s="54" t="s">
        <v>4278</v>
      </c>
      <c r="F235" s="54" t="s">
        <v>3608</v>
      </c>
      <c r="G235" s="54" t="s">
        <v>3608</v>
      </c>
      <c r="H235" s="54" t="s">
        <v>4550</v>
      </c>
      <c r="I235" s="54" t="s">
        <v>905</v>
      </c>
    </row>
    <row r="236" spans="1:9" x14ac:dyDescent="0.25">
      <c r="A236" s="188" t="s">
        <v>950</v>
      </c>
      <c r="B236" s="54" t="s">
        <v>3680</v>
      </c>
      <c r="C236" s="54" t="s">
        <v>3608</v>
      </c>
      <c r="D236" s="54"/>
      <c r="E236" s="54" t="s">
        <v>4640</v>
      </c>
      <c r="F236" s="54" t="s">
        <v>4279</v>
      </c>
      <c r="G236" s="54" t="s">
        <v>3608</v>
      </c>
      <c r="H236" s="54" t="s">
        <v>907</v>
      </c>
      <c r="I236" s="54" t="s">
        <v>905</v>
      </c>
    </row>
    <row r="237" spans="1:9" x14ac:dyDescent="0.25">
      <c r="A237" s="188" t="s">
        <v>951</v>
      </c>
      <c r="B237" s="54" t="s">
        <v>910</v>
      </c>
      <c r="C237" s="54" t="s">
        <v>3608</v>
      </c>
      <c r="D237" s="54"/>
      <c r="E237" s="54" t="s">
        <v>4228</v>
      </c>
      <c r="F237" s="54" t="s">
        <v>3608</v>
      </c>
      <c r="G237" s="54" t="s">
        <v>3608</v>
      </c>
      <c r="H237" s="54" t="s">
        <v>2805</v>
      </c>
      <c r="I237" s="54" t="s">
        <v>905</v>
      </c>
    </row>
    <row r="238" spans="1:9" x14ac:dyDescent="0.25">
      <c r="A238" s="188" t="s">
        <v>975</v>
      </c>
      <c r="B238" s="54" t="s">
        <v>3681</v>
      </c>
      <c r="C238" s="54" t="s">
        <v>3608</v>
      </c>
      <c r="D238" s="54"/>
      <c r="E238" s="54" t="s">
        <v>4641</v>
      </c>
      <c r="F238" s="54" t="s">
        <v>4281</v>
      </c>
      <c r="G238" s="54" t="s">
        <v>3608</v>
      </c>
      <c r="H238" s="54" t="s">
        <v>4547</v>
      </c>
      <c r="I238" s="54" t="s">
        <v>955</v>
      </c>
    </row>
    <row r="239" spans="1:9" x14ac:dyDescent="0.25">
      <c r="A239" s="188" t="s">
        <v>921</v>
      </c>
      <c r="B239" s="54" t="s">
        <v>4642</v>
      </c>
      <c r="C239" s="54" t="s">
        <v>3608</v>
      </c>
      <c r="D239" s="54"/>
      <c r="E239" s="54" t="s">
        <v>4519</v>
      </c>
      <c r="F239" s="54" t="s">
        <v>3608</v>
      </c>
      <c r="G239" s="54" t="s">
        <v>3608</v>
      </c>
      <c r="H239" s="54" t="s">
        <v>4550</v>
      </c>
      <c r="I239" s="54" t="s">
        <v>905</v>
      </c>
    </row>
    <row r="240" spans="1:9" x14ac:dyDescent="0.25">
      <c r="A240" s="188" t="s">
        <v>2080</v>
      </c>
      <c r="B240" s="54" t="s">
        <v>2855</v>
      </c>
      <c r="C240" s="54" t="s">
        <v>3608</v>
      </c>
      <c r="D240" s="54"/>
      <c r="E240" s="54" t="s">
        <v>4283</v>
      </c>
      <c r="F240" s="54" t="s">
        <v>3608</v>
      </c>
      <c r="G240" s="54" t="s">
        <v>3608</v>
      </c>
      <c r="H240" s="54" t="s">
        <v>4415</v>
      </c>
      <c r="I240" s="54" t="s">
        <v>955</v>
      </c>
    </row>
    <row r="241" spans="1:9" x14ac:dyDescent="0.25">
      <c r="A241" s="188" t="s">
        <v>2083</v>
      </c>
      <c r="B241" s="91" t="s">
        <v>4263</v>
      </c>
      <c r="C241" s="54" t="s">
        <v>3608</v>
      </c>
      <c r="D241" s="54"/>
      <c r="E241" s="91" t="s">
        <v>4643</v>
      </c>
      <c r="F241" s="54" t="s">
        <v>3608</v>
      </c>
      <c r="G241" s="54" t="s">
        <v>3608</v>
      </c>
      <c r="H241" s="54" t="s">
        <v>3023</v>
      </c>
      <c r="I241" s="54" t="s">
        <v>955</v>
      </c>
    </row>
    <row r="242" spans="1:9" x14ac:dyDescent="0.25">
      <c r="A242" s="188" t="s">
        <v>2943</v>
      </c>
      <c r="B242" s="54" t="s">
        <v>896</v>
      </c>
      <c r="C242" s="54" t="s">
        <v>3608</v>
      </c>
      <c r="D242" s="54"/>
      <c r="E242" s="54" t="s">
        <v>4644</v>
      </c>
      <c r="F242" s="54" t="s">
        <v>4192</v>
      </c>
      <c r="G242" s="54" t="s">
        <v>3608</v>
      </c>
      <c r="H242" s="54" t="s">
        <v>4645</v>
      </c>
      <c r="I242" s="54" t="s">
        <v>888</v>
      </c>
    </row>
    <row r="243" spans="1:9" x14ac:dyDescent="0.25">
      <c r="A243" s="188" t="s">
        <v>2946</v>
      </c>
      <c r="B243" s="54" t="s">
        <v>4646</v>
      </c>
      <c r="C243" s="54" t="s">
        <v>3608</v>
      </c>
      <c r="D243" s="54"/>
      <c r="E243" s="54" t="s">
        <v>4187</v>
      </c>
      <c r="F243" s="54" t="s">
        <v>3608</v>
      </c>
      <c r="G243" s="54" t="s">
        <v>3608</v>
      </c>
      <c r="H243" s="54" t="s">
        <v>4645</v>
      </c>
      <c r="I243" s="54" t="s">
        <v>888</v>
      </c>
    </row>
    <row r="244" spans="1:9" x14ac:dyDescent="0.25">
      <c r="A244" s="188" t="s">
        <v>2950</v>
      </c>
      <c r="B244" s="178" t="s">
        <v>4647</v>
      </c>
      <c r="C244" s="54" t="s">
        <v>3608</v>
      </c>
      <c r="D244" s="54"/>
      <c r="E244" s="54" t="s">
        <v>4193</v>
      </c>
      <c r="F244" s="54" t="s">
        <v>4648</v>
      </c>
      <c r="G244" s="54" t="s">
        <v>3608</v>
      </c>
      <c r="H244" s="54" t="s">
        <v>4645</v>
      </c>
      <c r="I244" s="54" t="s">
        <v>888</v>
      </c>
    </row>
    <row r="245" spans="1:9" x14ac:dyDescent="0.25">
      <c r="A245" s="188" t="s">
        <v>2952</v>
      </c>
      <c r="B245" s="54" t="s">
        <v>4425</v>
      </c>
      <c r="C245" s="54" t="s">
        <v>3608</v>
      </c>
      <c r="D245" s="54"/>
      <c r="E245" s="54" t="s">
        <v>3608</v>
      </c>
      <c r="F245" s="54" t="s">
        <v>3608</v>
      </c>
      <c r="G245" s="54" t="s">
        <v>3608</v>
      </c>
      <c r="H245" s="54" t="s">
        <v>4645</v>
      </c>
      <c r="I245" s="54" t="s">
        <v>888</v>
      </c>
    </row>
    <row r="246" spans="1:9" x14ac:dyDescent="0.25">
      <c r="A246" s="188" t="s">
        <v>4906</v>
      </c>
      <c r="B246" s="54" t="s">
        <v>4419</v>
      </c>
      <c r="C246" s="54" t="s">
        <v>3608</v>
      </c>
      <c r="D246" s="54"/>
      <c r="E246" s="54" t="s">
        <v>3608</v>
      </c>
      <c r="F246" s="54" t="s">
        <v>3608</v>
      </c>
      <c r="G246" s="54" t="s">
        <v>3608</v>
      </c>
      <c r="H246" s="54" t="s">
        <v>4546</v>
      </c>
      <c r="I246" s="54" t="s">
        <v>868</v>
      </c>
    </row>
    <row r="247" spans="1:9" x14ac:dyDescent="0.25">
      <c r="A247" s="188" t="s">
        <v>4907</v>
      </c>
      <c r="B247" s="19" t="s">
        <v>4418</v>
      </c>
      <c r="C247" s="19" t="s">
        <v>3608</v>
      </c>
      <c r="D247" s="19"/>
      <c r="E247" s="19" t="s">
        <v>3608</v>
      </c>
      <c r="F247" s="54" t="s">
        <v>3608</v>
      </c>
      <c r="G247" s="54" t="s">
        <v>3608</v>
      </c>
      <c r="H247" s="54" t="s">
        <v>2805</v>
      </c>
      <c r="I247" s="54" t="s">
        <v>905</v>
      </c>
    </row>
    <row r="248" spans="1:9" x14ac:dyDescent="0.25">
      <c r="A248" s="188" t="s">
        <v>603</v>
      </c>
      <c r="B248" s="91" t="s">
        <v>2719</v>
      </c>
      <c r="C248" s="54"/>
      <c r="D248" s="54"/>
      <c r="E248" s="91" t="s">
        <v>4063</v>
      </c>
      <c r="F248" s="91"/>
      <c r="G248" s="91"/>
      <c r="H248" s="91" t="s">
        <v>4529</v>
      </c>
      <c r="I248" s="91" t="s">
        <v>610</v>
      </c>
    </row>
    <row r="249" spans="1:9" x14ac:dyDescent="0.25">
      <c r="A249" s="188" t="s">
        <v>604</v>
      </c>
      <c r="B249" s="91" t="s">
        <v>3683</v>
      </c>
      <c r="C249" s="54"/>
      <c r="D249" s="54"/>
      <c r="E249" s="91" t="s">
        <v>4054</v>
      </c>
      <c r="F249" s="91"/>
      <c r="G249" s="91"/>
      <c r="H249" s="91" t="s">
        <v>2713</v>
      </c>
      <c r="I249" s="91" t="s">
        <v>610</v>
      </c>
    </row>
    <row r="250" spans="1:9" x14ac:dyDescent="0.25">
      <c r="A250" s="188" t="s">
        <v>605</v>
      </c>
      <c r="B250" s="91" t="s">
        <v>2858</v>
      </c>
      <c r="C250" s="54"/>
      <c r="D250" s="54"/>
      <c r="E250" s="91" t="s">
        <v>4045</v>
      </c>
      <c r="F250" s="91"/>
      <c r="G250" s="91"/>
      <c r="H250" s="91" t="s">
        <v>2713</v>
      </c>
      <c r="I250" s="91" t="s">
        <v>610</v>
      </c>
    </row>
    <row r="251" spans="1:9" x14ac:dyDescent="0.25">
      <c r="A251" s="188" t="s">
        <v>607</v>
      </c>
      <c r="B251" s="91" t="s">
        <v>634</v>
      </c>
      <c r="C251" s="54"/>
      <c r="D251" s="54"/>
      <c r="E251" s="91" t="s">
        <v>4053</v>
      </c>
      <c r="F251" s="91"/>
      <c r="G251" s="91"/>
      <c r="H251" s="91" t="s">
        <v>2713</v>
      </c>
      <c r="I251" s="91" t="s">
        <v>610</v>
      </c>
    </row>
    <row r="252" spans="1:9" x14ac:dyDescent="0.25">
      <c r="A252" s="188" t="s">
        <v>609</v>
      </c>
      <c r="B252" s="91" t="s">
        <v>626</v>
      </c>
      <c r="C252" s="54"/>
      <c r="D252" s="54"/>
      <c r="E252" s="91" t="s">
        <v>4049</v>
      </c>
      <c r="F252" s="91"/>
      <c r="G252" s="91"/>
      <c r="H252" s="91" t="s">
        <v>4869</v>
      </c>
      <c r="I252" s="91" t="s">
        <v>610</v>
      </c>
    </row>
    <row r="253" spans="1:9" x14ac:dyDescent="0.25">
      <c r="A253" s="188" t="s">
        <v>611</v>
      </c>
      <c r="B253" s="91" t="s">
        <v>3684</v>
      </c>
      <c r="C253" s="54"/>
      <c r="D253" s="54"/>
      <c r="E253" s="91" t="s">
        <v>4886</v>
      </c>
      <c r="F253" s="91" t="s">
        <v>4056</v>
      </c>
      <c r="G253" s="91"/>
      <c r="H253" s="91" t="s">
        <v>2713</v>
      </c>
      <c r="I253" s="91" t="s">
        <v>610</v>
      </c>
    </row>
    <row r="254" spans="1:9" x14ac:dyDescent="0.25">
      <c r="A254" s="188" t="s">
        <v>612</v>
      </c>
      <c r="B254" s="91" t="s">
        <v>2718</v>
      </c>
      <c r="C254" s="54"/>
      <c r="D254" s="54"/>
      <c r="E254" s="91" t="s">
        <v>4062</v>
      </c>
      <c r="F254" s="91"/>
      <c r="G254" s="91"/>
      <c r="H254" s="91" t="s">
        <v>4529</v>
      </c>
      <c r="I254" s="91" t="s">
        <v>610</v>
      </c>
    </row>
    <row r="255" spans="1:9" x14ac:dyDescent="0.25">
      <c r="A255" s="188" t="s">
        <v>613</v>
      </c>
      <c r="B255" s="91" t="s">
        <v>614</v>
      </c>
      <c r="C255" s="54"/>
      <c r="D255" s="54"/>
      <c r="E255" s="91" t="s">
        <v>4070</v>
      </c>
      <c r="F255" s="91"/>
      <c r="G255" s="91"/>
      <c r="H255" s="91" t="s">
        <v>2713</v>
      </c>
      <c r="I255" s="91" t="s">
        <v>610</v>
      </c>
    </row>
    <row r="256" spans="1:9" x14ac:dyDescent="0.25">
      <c r="A256" s="188" t="s">
        <v>615</v>
      </c>
      <c r="B256" s="91" t="s">
        <v>606</v>
      </c>
      <c r="C256" s="54"/>
      <c r="D256" s="54"/>
      <c r="E256" s="91" t="s">
        <v>4057</v>
      </c>
      <c r="F256" s="91" t="s">
        <v>4887</v>
      </c>
      <c r="G256" s="91"/>
      <c r="H256" s="91" t="s">
        <v>4529</v>
      </c>
      <c r="I256" s="91" t="s">
        <v>610</v>
      </c>
    </row>
    <row r="257" spans="1:9" x14ac:dyDescent="0.25">
      <c r="A257" s="188" t="s">
        <v>616</v>
      </c>
      <c r="B257" s="91" t="s">
        <v>2721</v>
      </c>
      <c r="C257" s="54"/>
      <c r="D257" s="54"/>
      <c r="E257" s="91" t="s">
        <v>4068</v>
      </c>
      <c r="F257" s="91"/>
      <c r="G257" s="91"/>
      <c r="H257" s="91" t="s">
        <v>4530</v>
      </c>
      <c r="I257" s="91" t="s">
        <v>699</v>
      </c>
    </row>
    <row r="258" spans="1:9" x14ac:dyDescent="0.25">
      <c r="A258" s="188" t="s">
        <v>617</v>
      </c>
      <c r="B258" s="91" t="s">
        <v>632</v>
      </c>
      <c r="C258" s="54"/>
      <c r="D258" s="54"/>
      <c r="E258" s="91" t="s">
        <v>4066</v>
      </c>
      <c r="F258" s="91"/>
      <c r="G258" s="91"/>
      <c r="H258" s="91" t="s">
        <v>665</v>
      </c>
      <c r="I258" s="91" t="s">
        <v>699</v>
      </c>
    </row>
    <row r="259" spans="1:9" x14ac:dyDescent="0.25">
      <c r="A259" s="188" t="s">
        <v>618</v>
      </c>
      <c r="B259" s="91" t="s">
        <v>619</v>
      </c>
      <c r="C259" s="54"/>
      <c r="D259" s="54"/>
      <c r="E259" s="91" t="s">
        <v>4847</v>
      </c>
      <c r="F259" s="91" t="s">
        <v>4069</v>
      </c>
      <c r="G259" s="91"/>
      <c r="H259" s="91" t="s">
        <v>665</v>
      </c>
      <c r="I259" s="91" t="s">
        <v>699</v>
      </c>
    </row>
    <row r="260" spans="1:9" x14ac:dyDescent="0.25">
      <c r="A260" s="188" t="s">
        <v>620</v>
      </c>
      <c r="B260" s="91" t="s">
        <v>3686</v>
      </c>
      <c r="C260" s="54"/>
      <c r="D260" s="54"/>
      <c r="E260" s="91" t="s">
        <v>4067</v>
      </c>
      <c r="F260" s="91"/>
      <c r="G260" s="91"/>
      <c r="H260" s="91" t="s">
        <v>665</v>
      </c>
      <c r="I260" s="91" t="s">
        <v>699</v>
      </c>
    </row>
    <row r="261" spans="1:9" x14ac:dyDescent="0.25">
      <c r="A261" s="188" t="s">
        <v>621</v>
      </c>
      <c r="B261" s="91" t="s">
        <v>2712</v>
      </c>
      <c r="C261" s="54"/>
      <c r="D261" s="54"/>
      <c r="E261" s="91" t="s">
        <v>4042</v>
      </c>
      <c r="F261" s="91"/>
      <c r="G261" s="91"/>
      <c r="H261" s="91" t="s">
        <v>4869</v>
      </c>
      <c r="I261" s="91" t="s">
        <v>610</v>
      </c>
    </row>
    <row r="262" spans="1:9" x14ac:dyDescent="0.25">
      <c r="A262" s="188" t="s">
        <v>622</v>
      </c>
      <c r="B262" s="91" t="s">
        <v>4848</v>
      </c>
      <c r="C262" s="54"/>
      <c r="D262" s="54"/>
      <c r="E262" s="91" t="s">
        <v>4065</v>
      </c>
      <c r="F262" s="91"/>
      <c r="G262" s="91"/>
      <c r="H262" s="91" t="s">
        <v>665</v>
      </c>
      <c r="I262" s="91" t="s">
        <v>699</v>
      </c>
    </row>
    <row r="263" spans="1:9" x14ac:dyDescent="0.25">
      <c r="A263" s="188" t="s">
        <v>623</v>
      </c>
      <c r="B263" s="91" t="s">
        <v>667</v>
      </c>
      <c r="C263" s="54"/>
      <c r="D263" s="54"/>
      <c r="E263" s="91" t="s">
        <v>4888</v>
      </c>
      <c r="F263" s="91"/>
      <c r="G263" s="91"/>
      <c r="H263" s="91" t="s">
        <v>4530</v>
      </c>
      <c r="I263" s="91" t="s">
        <v>699</v>
      </c>
    </row>
    <row r="264" spans="1:9" x14ac:dyDescent="0.25">
      <c r="A264" s="188" t="s">
        <v>2134</v>
      </c>
      <c r="B264" s="91" t="s">
        <v>2689</v>
      </c>
      <c r="C264" s="54"/>
      <c r="D264" s="54"/>
      <c r="E264" s="91" t="s">
        <v>4064</v>
      </c>
      <c r="F264" s="91"/>
      <c r="G264" s="91"/>
      <c r="H264" s="91" t="s">
        <v>4869</v>
      </c>
      <c r="I264" s="91" t="s">
        <v>610</v>
      </c>
    </row>
    <row r="265" spans="1:9" x14ac:dyDescent="0.25">
      <c r="A265" s="188" t="s">
        <v>624</v>
      </c>
      <c r="B265" s="91" t="s">
        <v>3688</v>
      </c>
      <c r="C265" s="54"/>
      <c r="D265" s="54"/>
      <c r="E265" s="91" t="s">
        <v>4043</v>
      </c>
      <c r="F265" s="91" t="s">
        <v>4849</v>
      </c>
      <c r="G265" s="91"/>
      <c r="H265" s="91" t="s">
        <v>665</v>
      </c>
      <c r="I265" s="91" t="s">
        <v>699</v>
      </c>
    </row>
    <row r="266" spans="1:9" x14ac:dyDescent="0.25">
      <c r="A266" s="188" t="s">
        <v>625</v>
      </c>
      <c r="B266" s="91" t="s">
        <v>3689</v>
      </c>
      <c r="C266" s="54"/>
      <c r="D266" s="54"/>
      <c r="E266" s="91" t="s">
        <v>4060</v>
      </c>
      <c r="F266" s="91"/>
      <c r="G266" s="91"/>
      <c r="H266" s="91" t="s">
        <v>4869</v>
      </c>
      <c r="I266" s="91" t="s">
        <v>610</v>
      </c>
    </row>
    <row r="267" spans="1:9" x14ac:dyDescent="0.25">
      <c r="A267" s="188" t="s">
        <v>627</v>
      </c>
      <c r="B267" s="91" t="s">
        <v>3690</v>
      </c>
      <c r="C267" s="54"/>
      <c r="D267" s="54"/>
      <c r="E267" s="91" t="s">
        <v>4090</v>
      </c>
      <c r="F267" s="161" t="s">
        <v>4807</v>
      </c>
      <c r="G267" s="91"/>
      <c r="H267" s="91" t="s">
        <v>4531</v>
      </c>
      <c r="I267" s="91" t="s">
        <v>643</v>
      </c>
    </row>
    <row r="268" spans="1:9" x14ac:dyDescent="0.25">
      <c r="A268" s="188" t="s">
        <v>630</v>
      </c>
      <c r="B268" s="161" t="s">
        <v>1018</v>
      </c>
      <c r="C268" s="155" t="s">
        <v>4461</v>
      </c>
      <c r="D268" s="54"/>
      <c r="E268" s="91" t="s">
        <v>4088</v>
      </c>
      <c r="F268" s="91"/>
      <c r="G268" s="91"/>
      <c r="H268" s="91" t="s">
        <v>4531</v>
      </c>
      <c r="I268" s="91" t="s">
        <v>643</v>
      </c>
    </row>
    <row r="269" spans="1:9" x14ac:dyDescent="0.25">
      <c r="A269" s="188" t="s">
        <v>631</v>
      </c>
      <c r="B269" s="91" t="s">
        <v>3691</v>
      </c>
      <c r="C269" s="54"/>
      <c r="D269" s="54"/>
      <c r="E269" s="91" t="s">
        <v>4051</v>
      </c>
      <c r="F269" s="91" t="s">
        <v>4870</v>
      </c>
      <c r="G269" s="91"/>
      <c r="H269" s="91" t="s">
        <v>4869</v>
      </c>
      <c r="I269" s="91" t="s">
        <v>610</v>
      </c>
    </row>
    <row r="270" spans="1:9" x14ac:dyDescent="0.25">
      <c r="A270" s="188" t="s">
        <v>633</v>
      </c>
      <c r="B270" s="91" t="s">
        <v>608</v>
      </c>
      <c r="C270" s="54"/>
      <c r="D270" s="54"/>
      <c r="E270" s="91" t="s">
        <v>4452</v>
      </c>
      <c r="F270" s="91"/>
      <c r="G270" s="91"/>
      <c r="H270" s="91" t="s">
        <v>2713</v>
      </c>
      <c r="I270" s="91" t="s">
        <v>610</v>
      </c>
    </row>
    <row r="271" spans="1:9" x14ac:dyDescent="0.25">
      <c r="A271" s="188" t="s">
        <v>635</v>
      </c>
      <c r="B271" s="91" t="s">
        <v>3692</v>
      </c>
      <c r="C271" s="54"/>
      <c r="D271" s="54"/>
      <c r="E271" s="91" t="s">
        <v>4453</v>
      </c>
      <c r="F271" s="91"/>
      <c r="G271" s="91"/>
      <c r="H271" s="91" t="s">
        <v>4529</v>
      </c>
      <c r="I271" s="91" t="s">
        <v>610</v>
      </c>
    </row>
    <row r="272" spans="1:9" x14ac:dyDescent="0.25">
      <c r="A272" s="188" t="s">
        <v>636</v>
      </c>
      <c r="B272" s="91" t="s">
        <v>637</v>
      </c>
      <c r="C272" s="54"/>
      <c r="D272" s="54"/>
      <c r="E272" s="91" t="s">
        <v>4044</v>
      </c>
      <c r="F272" s="91"/>
      <c r="G272" s="91"/>
      <c r="H272" s="91" t="s">
        <v>4529</v>
      </c>
      <c r="I272" s="91" t="s">
        <v>610</v>
      </c>
    </row>
    <row r="273" spans="1:9" x14ac:dyDescent="0.25">
      <c r="A273" s="188" t="s">
        <v>638</v>
      </c>
      <c r="B273" s="91" t="s">
        <v>639</v>
      </c>
      <c r="C273" s="54"/>
      <c r="D273" s="54"/>
      <c r="E273" s="91" t="s">
        <v>4093</v>
      </c>
      <c r="F273" s="91"/>
      <c r="G273" s="91"/>
      <c r="H273" s="91" t="s">
        <v>640</v>
      </c>
      <c r="I273" s="91" t="s">
        <v>2788</v>
      </c>
    </row>
    <row r="274" spans="1:9" x14ac:dyDescent="0.25">
      <c r="A274" s="188" t="s">
        <v>641</v>
      </c>
      <c r="B274" s="91" t="s">
        <v>2729</v>
      </c>
      <c r="C274" s="54"/>
      <c r="D274" s="54"/>
      <c r="E274" s="91" t="s">
        <v>4097</v>
      </c>
      <c r="F274" s="91"/>
      <c r="G274" s="91"/>
      <c r="H274" s="91" t="s">
        <v>640</v>
      </c>
      <c r="I274" s="91" t="s">
        <v>2788</v>
      </c>
    </row>
    <row r="275" spans="1:9" x14ac:dyDescent="0.25">
      <c r="A275" s="188" t="s">
        <v>642</v>
      </c>
      <c r="B275" s="162" t="s">
        <v>4808</v>
      </c>
      <c r="C275" s="54"/>
      <c r="D275" s="54"/>
      <c r="E275" s="164" t="s">
        <v>4809</v>
      </c>
      <c r="F275" s="164" t="s">
        <v>4810</v>
      </c>
      <c r="G275" s="155"/>
      <c r="H275" s="91" t="s">
        <v>4533</v>
      </c>
      <c r="I275" s="91" t="s">
        <v>643</v>
      </c>
    </row>
    <row r="276" spans="1:9" x14ac:dyDescent="0.25">
      <c r="A276" s="188" t="s">
        <v>644</v>
      </c>
      <c r="B276" s="91" t="s">
        <v>3694</v>
      </c>
      <c r="C276" s="54"/>
      <c r="D276" s="54"/>
      <c r="E276" s="91" t="s">
        <v>4041</v>
      </c>
      <c r="F276" s="91"/>
      <c r="G276" s="91"/>
      <c r="H276" s="91" t="s">
        <v>4869</v>
      </c>
      <c r="I276" s="91" t="s">
        <v>610</v>
      </c>
    </row>
    <row r="277" spans="1:9" x14ac:dyDescent="0.25">
      <c r="A277" s="188" t="s">
        <v>645</v>
      </c>
      <c r="B277" s="91" t="s">
        <v>647</v>
      </c>
      <c r="C277" s="54"/>
      <c r="D277" s="54"/>
      <c r="E277" s="164" t="s">
        <v>4811</v>
      </c>
      <c r="F277" s="161" t="s">
        <v>4113</v>
      </c>
      <c r="G277" s="155"/>
      <c r="H277" s="91" t="s">
        <v>4533</v>
      </c>
      <c r="I277" s="91" t="s">
        <v>643</v>
      </c>
    </row>
    <row r="278" spans="1:9" x14ac:dyDescent="0.25">
      <c r="A278" s="188" t="s">
        <v>646</v>
      </c>
      <c r="B278" s="91" t="s">
        <v>4812</v>
      </c>
      <c r="C278" s="54"/>
      <c r="D278" s="54"/>
      <c r="E278" s="161" t="s">
        <v>4813</v>
      </c>
      <c r="F278" s="166" t="s">
        <v>4814</v>
      </c>
      <c r="G278" s="155"/>
      <c r="H278" s="91" t="s">
        <v>4533</v>
      </c>
      <c r="I278" s="91" t="s">
        <v>643</v>
      </c>
    </row>
    <row r="279" spans="1:9" x14ac:dyDescent="0.25">
      <c r="A279" s="188" t="s">
        <v>648</v>
      </c>
      <c r="B279" s="91" t="s">
        <v>4815</v>
      </c>
      <c r="C279" s="155" t="s">
        <v>3696</v>
      </c>
      <c r="D279" s="54"/>
      <c r="E279" s="155" t="s">
        <v>4816</v>
      </c>
      <c r="F279" s="91"/>
      <c r="G279" s="91"/>
      <c r="H279" s="91" t="s">
        <v>4531</v>
      </c>
      <c r="I279" s="91" t="s">
        <v>643</v>
      </c>
    </row>
    <row r="280" spans="1:9" x14ac:dyDescent="0.25">
      <c r="A280" s="188" t="s">
        <v>649</v>
      </c>
      <c r="B280" s="91" t="s">
        <v>3199</v>
      </c>
      <c r="C280" s="54"/>
      <c r="D280" s="54"/>
      <c r="E280" s="91" t="s">
        <v>4109</v>
      </c>
      <c r="F280" s="91"/>
      <c r="G280" s="91"/>
      <c r="H280" s="91" t="s">
        <v>650</v>
      </c>
      <c r="I280" s="91" t="s">
        <v>610</v>
      </c>
    </row>
    <row r="281" spans="1:9" x14ac:dyDescent="0.25">
      <c r="A281" s="188" t="s">
        <v>651</v>
      </c>
      <c r="B281" s="91" t="s">
        <v>3695</v>
      </c>
      <c r="C281" s="155" t="s">
        <v>706</v>
      </c>
      <c r="D281" s="54"/>
      <c r="E281" s="91" t="s">
        <v>4098</v>
      </c>
      <c r="F281" s="91"/>
      <c r="G281" s="91"/>
      <c r="H281" s="91" t="s">
        <v>4531</v>
      </c>
      <c r="I281" s="91" t="s">
        <v>643</v>
      </c>
    </row>
    <row r="282" spans="1:9" x14ac:dyDescent="0.25">
      <c r="A282" s="188" t="s">
        <v>652</v>
      </c>
      <c r="B282" s="91" t="s">
        <v>653</v>
      </c>
      <c r="C282" s="54"/>
      <c r="D282" s="54"/>
      <c r="E282" s="91" t="s">
        <v>4455</v>
      </c>
      <c r="F282" s="91" t="s">
        <v>3608</v>
      </c>
      <c r="G282" s="91"/>
      <c r="H282" s="91" t="s">
        <v>640</v>
      </c>
      <c r="I282" s="91" t="s">
        <v>2788</v>
      </c>
    </row>
    <row r="283" spans="1:9" x14ac:dyDescent="0.25">
      <c r="A283" s="188" t="s">
        <v>654</v>
      </c>
      <c r="B283" s="91" t="s">
        <v>2736</v>
      </c>
      <c r="C283" s="54"/>
      <c r="D283" s="54"/>
      <c r="E283" s="91" t="s">
        <v>4118</v>
      </c>
      <c r="F283" s="91"/>
      <c r="G283" s="91"/>
      <c r="H283" s="91" t="s">
        <v>726</v>
      </c>
      <c r="I283" s="91" t="s">
        <v>2788</v>
      </c>
    </row>
    <row r="284" spans="1:9" x14ac:dyDescent="0.25">
      <c r="A284" s="188" t="s">
        <v>655</v>
      </c>
      <c r="B284" s="91" t="s">
        <v>4129</v>
      </c>
      <c r="C284" s="54"/>
      <c r="D284" s="54"/>
      <c r="E284" s="161" t="s">
        <v>4850</v>
      </c>
      <c r="F284" s="91"/>
      <c r="G284" s="91"/>
      <c r="H284" s="91" t="s">
        <v>726</v>
      </c>
      <c r="I284" s="91" t="s">
        <v>2788</v>
      </c>
    </row>
    <row r="285" spans="1:9" x14ac:dyDescent="0.25">
      <c r="A285" s="188" t="s">
        <v>656</v>
      </c>
      <c r="B285" s="91" t="s">
        <v>4101</v>
      </c>
      <c r="C285" s="54"/>
      <c r="D285" s="54"/>
      <c r="E285" s="91" t="s">
        <v>4451</v>
      </c>
      <c r="F285" s="161" t="s">
        <v>4817</v>
      </c>
      <c r="G285" s="91"/>
      <c r="H285" s="91" t="s">
        <v>4531</v>
      </c>
      <c r="I285" s="91" t="s">
        <v>643</v>
      </c>
    </row>
    <row r="286" spans="1:9" x14ac:dyDescent="0.25">
      <c r="A286" s="188" t="s">
        <v>658</v>
      </c>
      <c r="B286" s="91" t="s">
        <v>4818</v>
      </c>
      <c r="C286" s="166" t="s">
        <v>2733</v>
      </c>
      <c r="D286" s="54"/>
      <c r="E286" s="161" t="s">
        <v>4819</v>
      </c>
      <c r="F286" s="161"/>
      <c r="G286" s="161"/>
      <c r="H286" s="91" t="s">
        <v>4533</v>
      </c>
      <c r="I286" s="91" t="s">
        <v>643</v>
      </c>
    </row>
    <row r="287" spans="1:9" x14ac:dyDescent="0.25">
      <c r="A287" s="188" t="s">
        <v>660</v>
      </c>
      <c r="B287" s="161" t="s">
        <v>661</v>
      </c>
      <c r="C287" s="54"/>
      <c r="D287" s="54"/>
      <c r="E287" s="91"/>
      <c r="F287" s="91"/>
      <c r="G287" s="91"/>
      <c r="H287" s="91" t="s">
        <v>4531</v>
      </c>
      <c r="I287" s="91" t="s">
        <v>643</v>
      </c>
    </row>
    <row r="288" spans="1:9" x14ac:dyDescent="0.25">
      <c r="A288" s="188" t="s">
        <v>662</v>
      </c>
      <c r="B288" s="91" t="s">
        <v>2739</v>
      </c>
      <c r="C288" s="54"/>
      <c r="D288" s="54"/>
      <c r="E288" s="91" t="s">
        <v>4871</v>
      </c>
      <c r="F288" s="54"/>
      <c r="G288" s="91"/>
      <c r="H288" s="91" t="s">
        <v>4534</v>
      </c>
      <c r="I288" s="91" t="s">
        <v>2788</v>
      </c>
    </row>
    <row r="289" spans="1:9" x14ac:dyDescent="0.25">
      <c r="A289" s="188" t="s">
        <v>663</v>
      </c>
      <c r="B289" s="91" t="s">
        <v>678</v>
      </c>
      <c r="C289" s="54"/>
      <c r="D289" s="54"/>
      <c r="E289" s="91" t="s">
        <v>4851</v>
      </c>
      <c r="F289" s="171" t="s">
        <v>4052</v>
      </c>
      <c r="G289" s="91"/>
      <c r="H289" s="91" t="s">
        <v>4535</v>
      </c>
      <c r="I289" s="91" t="s">
        <v>699</v>
      </c>
    </row>
    <row r="290" spans="1:9" x14ac:dyDescent="0.25">
      <c r="A290" s="188" t="s">
        <v>666</v>
      </c>
      <c r="B290" s="91" t="s">
        <v>2716</v>
      </c>
      <c r="C290" s="54"/>
      <c r="D290" s="54"/>
      <c r="E290" s="91" t="s">
        <v>4040</v>
      </c>
      <c r="F290" s="91" t="s">
        <v>4456</v>
      </c>
      <c r="G290" s="91"/>
      <c r="H290" s="91" t="s">
        <v>4530</v>
      </c>
      <c r="I290" s="91" t="s">
        <v>699</v>
      </c>
    </row>
    <row r="291" spans="1:9" ht="30" x14ac:dyDescent="0.25">
      <c r="A291" s="188" t="s">
        <v>668</v>
      </c>
      <c r="B291" s="172" t="s">
        <v>4852</v>
      </c>
      <c r="C291" s="54"/>
      <c r="D291" s="54"/>
      <c r="E291" s="91" t="s">
        <v>4047</v>
      </c>
      <c r="F291" s="91"/>
      <c r="G291" s="91"/>
      <c r="H291" s="91" t="s">
        <v>4535</v>
      </c>
      <c r="I291" s="91" t="s">
        <v>699</v>
      </c>
    </row>
    <row r="292" spans="1:9" x14ac:dyDescent="0.25">
      <c r="A292" s="188" t="s">
        <v>670</v>
      </c>
      <c r="B292" s="91" t="s">
        <v>4398</v>
      </c>
      <c r="C292" s="54"/>
      <c r="D292" s="54"/>
      <c r="E292" s="91" t="s">
        <v>4889</v>
      </c>
      <c r="F292" s="91"/>
      <c r="G292" s="91"/>
      <c r="H292" s="91" t="s">
        <v>640</v>
      </c>
      <c r="I292" s="91" t="s">
        <v>2788</v>
      </c>
    </row>
    <row r="293" spans="1:9" x14ac:dyDescent="0.25">
      <c r="A293" s="188" t="s">
        <v>671</v>
      </c>
      <c r="B293" s="91" t="s">
        <v>672</v>
      </c>
      <c r="C293" s="54"/>
      <c r="D293" s="54"/>
      <c r="E293" s="91" t="s">
        <v>3608</v>
      </c>
      <c r="F293" s="91" t="s">
        <v>4096</v>
      </c>
      <c r="G293" s="91"/>
      <c r="H293" s="91" t="s">
        <v>640</v>
      </c>
      <c r="I293" s="91" t="s">
        <v>2788</v>
      </c>
    </row>
    <row r="294" spans="1:9" x14ac:dyDescent="0.25">
      <c r="A294" s="188" t="s">
        <v>673</v>
      </c>
      <c r="B294" s="91" t="s">
        <v>3697</v>
      </c>
      <c r="C294" s="54"/>
      <c r="D294" s="54"/>
      <c r="E294" s="91" t="s">
        <v>4457</v>
      </c>
      <c r="F294" s="161" t="s">
        <v>4820</v>
      </c>
      <c r="G294" s="91"/>
      <c r="H294" s="91" t="s">
        <v>4531</v>
      </c>
      <c r="I294" s="91" t="s">
        <v>643</v>
      </c>
    </row>
    <row r="295" spans="1:9" x14ac:dyDescent="0.25">
      <c r="A295" s="188" t="s">
        <v>674</v>
      </c>
      <c r="B295" s="91" t="s">
        <v>2728</v>
      </c>
      <c r="C295" s="54"/>
      <c r="D295" s="54"/>
      <c r="E295" s="91"/>
      <c r="F295" s="91"/>
      <c r="G295" s="91"/>
      <c r="H295" s="91" t="s">
        <v>4535</v>
      </c>
      <c r="I295" s="91" t="s">
        <v>699</v>
      </c>
    </row>
    <row r="296" spans="1:9" x14ac:dyDescent="0.25">
      <c r="A296" s="188" t="s">
        <v>675</v>
      </c>
      <c r="B296" s="91" t="s">
        <v>2715</v>
      </c>
      <c r="C296" s="54"/>
      <c r="D296" s="54"/>
      <c r="E296" s="91" t="s">
        <v>4058</v>
      </c>
      <c r="F296" s="91" t="s">
        <v>4853</v>
      </c>
      <c r="G296" s="91"/>
      <c r="H296" s="91" t="s">
        <v>4535</v>
      </c>
      <c r="I296" s="91" t="s">
        <v>699</v>
      </c>
    </row>
    <row r="297" spans="1:9" x14ac:dyDescent="0.25">
      <c r="A297" s="188" t="s">
        <v>676</v>
      </c>
      <c r="B297" s="91" t="s">
        <v>2714</v>
      </c>
      <c r="C297" s="54"/>
      <c r="D297" s="54"/>
      <c r="E297" s="91" t="s">
        <v>4890</v>
      </c>
      <c r="F297" s="91"/>
      <c r="G297" s="91"/>
      <c r="H297" s="91" t="s">
        <v>4530</v>
      </c>
      <c r="I297" s="91" t="s">
        <v>699</v>
      </c>
    </row>
    <row r="298" spans="1:9" x14ac:dyDescent="0.25">
      <c r="A298" s="188" t="s">
        <v>677</v>
      </c>
      <c r="B298" s="91" t="s">
        <v>2717</v>
      </c>
      <c r="C298" s="54"/>
      <c r="D298" s="54"/>
      <c r="E298" s="161"/>
      <c r="F298" s="91"/>
      <c r="G298" s="91"/>
      <c r="H298" s="91" t="s">
        <v>4535</v>
      </c>
      <c r="I298" s="91" t="s">
        <v>699</v>
      </c>
    </row>
    <row r="299" spans="1:9" x14ac:dyDescent="0.25">
      <c r="A299" s="188" t="s">
        <v>679</v>
      </c>
      <c r="B299" s="91" t="s">
        <v>3698</v>
      </c>
      <c r="C299" s="54"/>
      <c r="D299" s="54"/>
      <c r="E299" s="91" t="s">
        <v>4854</v>
      </c>
      <c r="F299" s="91" t="s">
        <v>4089</v>
      </c>
      <c r="G299" s="91"/>
      <c r="H299" s="91" t="s">
        <v>4535</v>
      </c>
      <c r="I299" s="91" t="s">
        <v>699</v>
      </c>
    </row>
    <row r="300" spans="1:9" x14ac:dyDescent="0.25">
      <c r="A300" s="188" t="s">
        <v>680</v>
      </c>
      <c r="B300" s="91" t="s">
        <v>3699</v>
      </c>
      <c r="C300" s="54"/>
      <c r="D300" s="54"/>
      <c r="E300" s="91" t="s">
        <v>4120</v>
      </c>
      <c r="F300" s="161"/>
      <c r="G300" s="91"/>
      <c r="H300" s="91" t="s">
        <v>726</v>
      </c>
      <c r="I300" s="91" t="s">
        <v>2788</v>
      </c>
    </row>
    <row r="301" spans="1:9" x14ac:dyDescent="0.25">
      <c r="A301" s="188" t="s">
        <v>681</v>
      </c>
      <c r="B301" s="91" t="s">
        <v>4855</v>
      </c>
      <c r="C301" s="54"/>
      <c r="D301" s="54"/>
      <c r="E301" s="91" t="s">
        <v>4458</v>
      </c>
      <c r="F301" s="91"/>
      <c r="G301" s="91"/>
      <c r="H301" s="91" t="s">
        <v>726</v>
      </c>
      <c r="I301" s="91" t="s">
        <v>2788</v>
      </c>
    </row>
    <row r="302" spans="1:9" x14ac:dyDescent="0.25">
      <c r="A302" s="188" t="s">
        <v>682</v>
      </c>
      <c r="B302" s="91" t="s">
        <v>4856</v>
      </c>
      <c r="C302" s="54"/>
      <c r="D302" s="54"/>
      <c r="E302" s="91" t="s">
        <v>4459</v>
      </c>
      <c r="F302" s="161" t="s">
        <v>4857</v>
      </c>
      <c r="G302" s="91"/>
      <c r="H302" s="91" t="s">
        <v>726</v>
      </c>
      <c r="I302" s="91" t="s">
        <v>2788</v>
      </c>
    </row>
    <row r="303" spans="1:9" x14ac:dyDescent="0.25">
      <c r="A303" s="188" t="s">
        <v>683</v>
      </c>
      <c r="B303" s="91" t="s">
        <v>3702</v>
      </c>
      <c r="C303" s="54"/>
      <c r="D303" s="54"/>
      <c r="E303" s="91" t="s">
        <v>4050</v>
      </c>
      <c r="F303" s="91" t="s">
        <v>4891</v>
      </c>
      <c r="G303" s="91"/>
      <c r="H303" s="91" t="s">
        <v>4530</v>
      </c>
      <c r="I303" s="91" t="s">
        <v>699</v>
      </c>
    </row>
    <row r="304" spans="1:9" x14ac:dyDescent="0.25">
      <c r="A304" s="188" t="s">
        <v>685</v>
      </c>
      <c r="B304" s="91" t="s">
        <v>4454</v>
      </c>
      <c r="C304" s="54"/>
      <c r="D304" s="54"/>
      <c r="E304" s="91" t="s">
        <v>4111</v>
      </c>
      <c r="F304" s="91"/>
      <c r="G304" s="91"/>
      <c r="H304" s="91" t="s">
        <v>4536</v>
      </c>
      <c r="I304" s="91" t="s">
        <v>643</v>
      </c>
    </row>
    <row r="305" spans="1:9" x14ac:dyDescent="0.25">
      <c r="A305" s="188" t="s">
        <v>686</v>
      </c>
      <c r="B305" s="161" t="s">
        <v>2734</v>
      </c>
      <c r="C305" s="161" t="s">
        <v>657</v>
      </c>
      <c r="D305" s="54"/>
      <c r="E305" s="91" t="s">
        <v>4112</v>
      </c>
      <c r="F305" s="91" t="s">
        <v>4872</v>
      </c>
      <c r="G305" s="91"/>
      <c r="H305" s="91" t="s">
        <v>4536</v>
      </c>
      <c r="I305" s="91" t="s">
        <v>643</v>
      </c>
    </row>
    <row r="306" spans="1:9" x14ac:dyDescent="0.25">
      <c r="A306" s="188" t="s">
        <v>689</v>
      </c>
      <c r="B306" s="91" t="s">
        <v>4892</v>
      </c>
      <c r="C306" s="54"/>
      <c r="D306" s="54"/>
      <c r="E306" s="91" t="s">
        <v>4102</v>
      </c>
      <c r="F306" s="91"/>
      <c r="G306" s="91"/>
      <c r="H306" s="91" t="s">
        <v>640</v>
      </c>
      <c r="I306" s="91" t="s">
        <v>2788</v>
      </c>
    </row>
    <row r="307" spans="1:9" x14ac:dyDescent="0.25">
      <c r="A307" s="188" t="s">
        <v>690</v>
      </c>
      <c r="B307" s="91" t="s">
        <v>691</v>
      </c>
      <c r="C307" s="54"/>
      <c r="D307" s="54"/>
      <c r="E307" s="91" t="s">
        <v>4059</v>
      </c>
      <c r="F307" s="91"/>
      <c r="G307" s="91"/>
      <c r="H307" s="91" t="s">
        <v>4530</v>
      </c>
      <c r="I307" s="91" t="s">
        <v>699</v>
      </c>
    </row>
    <row r="308" spans="1:9" x14ac:dyDescent="0.25">
      <c r="A308" s="188" t="s">
        <v>692</v>
      </c>
      <c r="B308" s="91" t="s">
        <v>2727</v>
      </c>
      <c r="C308" s="54"/>
      <c r="D308" s="54"/>
      <c r="E308" s="91" t="s">
        <v>4099</v>
      </c>
      <c r="F308" s="91"/>
      <c r="G308" s="91"/>
      <c r="H308" s="91" t="s">
        <v>4535</v>
      </c>
      <c r="I308" s="91" t="s">
        <v>699</v>
      </c>
    </row>
    <row r="309" spans="1:9" x14ac:dyDescent="0.25">
      <c r="A309" s="188" t="s">
        <v>693</v>
      </c>
      <c r="B309" s="91" t="s">
        <v>3703</v>
      </c>
      <c r="C309" s="54"/>
      <c r="D309" s="54"/>
      <c r="E309" s="91" t="s">
        <v>4107</v>
      </c>
      <c r="F309" s="91"/>
      <c r="G309" s="91"/>
      <c r="H309" s="91" t="s">
        <v>650</v>
      </c>
      <c r="I309" s="91" t="s">
        <v>610</v>
      </c>
    </row>
    <row r="310" spans="1:9" x14ac:dyDescent="0.25">
      <c r="A310" s="188" t="s">
        <v>694</v>
      </c>
      <c r="B310" s="91" t="s">
        <v>2732</v>
      </c>
      <c r="C310" s="54"/>
      <c r="D310" s="54"/>
      <c r="E310" s="91" t="s">
        <v>4108</v>
      </c>
      <c r="F310" s="91"/>
      <c r="G310" s="91"/>
      <c r="H310" s="91" t="s">
        <v>650</v>
      </c>
      <c r="I310" s="91" t="s">
        <v>610</v>
      </c>
    </row>
    <row r="311" spans="1:9" x14ac:dyDescent="0.25">
      <c r="A311" s="188" t="s">
        <v>696</v>
      </c>
      <c r="B311" s="91" t="s">
        <v>697</v>
      </c>
      <c r="C311" s="54"/>
      <c r="D311" s="54"/>
      <c r="E311" s="161" t="s">
        <v>4858</v>
      </c>
      <c r="F311" s="91"/>
      <c r="G311" s="91"/>
      <c r="H311" s="91" t="s">
        <v>665</v>
      </c>
      <c r="I311" s="91" t="s">
        <v>699</v>
      </c>
    </row>
    <row r="312" spans="1:9" x14ac:dyDescent="0.25">
      <c r="A312" s="188" t="s">
        <v>698</v>
      </c>
      <c r="B312" s="173" t="s">
        <v>2722</v>
      </c>
      <c r="C312" s="54"/>
      <c r="D312" s="54"/>
      <c r="E312" s="161" t="s">
        <v>4859</v>
      </c>
      <c r="F312" s="173"/>
      <c r="G312" s="173"/>
      <c r="H312" s="173" t="s">
        <v>664</v>
      </c>
      <c r="I312" s="173" t="s">
        <v>4557</v>
      </c>
    </row>
    <row r="313" spans="1:9" x14ac:dyDescent="0.25">
      <c r="A313" s="188" t="s">
        <v>700</v>
      </c>
      <c r="B313" s="91" t="s">
        <v>4873</v>
      </c>
      <c r="C313" s="54"/>
      <c r="D313" s="54"/>
      <c r="E313" s="91" t="s">
        <v>4128</v>
      </c>
      <c r="F313" s="91"/>
      <c r="G313" s="91"/>
      <c r="H313" s="91" t="s">
        <v>4534</v>
      </c>
      <c r="I313" s="91" t="s">
        <v>2788</v>
      </c>
    </row>
    <row r="314" spans="1:9" x14ac:dyDescent="0.25">
      <c r="A314" s="188" t="s">
        <v>701</v>
      </c>
      <c r="B314" s="91" t="s">
        <v>1014</v>
      </c>
      <c r="C314" s="54"/>
      <c r="D314" s="54"/>
      <c r="E314" s="91" t="s">
        <v>4874</v>
      </c>
      <c r="F314" s="91"/>
      <c r="G314" s="91"/>
      <c r="H314" s="91" t="s">
        <v>4534</v>
      </c>
      <c r="I314" s="91" t="s">
        <v>2788</v>
      </c>
    </row>
    <row r="315" spans="1:9" x14ac:dyDescent="0.25">
      <c r="A315" s="188" t="s">
        <v>702</v>
      </c>
      <c r="B315" s="91" t="s">
        <v>2730</v>
      </c>
      <c r="C315" s="54"/>
      <c r="D315" s="54"/>
      <c r="E315" s="91" t="s">
        <v>4460</v>
      </c>
      <c r="F315" s="91"/>
      <c r="G315" s="91"/>
      <c r="H315" s="91" t="s">
        <v>650</v>
      </c>
      <c r="I315" s="91" t="s">
        <v>610</v>
      </c>
    </row>
    <row r="316" spans="1:9" x14ac:dyDescent="0.25">
      <c r="A316" s="188" t="s">
        <v>704</v>
      </c>
      <c r="B316" s="91" t="s">
        <v>4893</v>
      </c>
      <c r="C316" s="54"/>
      <c r="D316" s="54"/>
      <c r="E316" s="91" t="s">
        <v>4894</v>
      </c>
      <c r="F316" s="91" t="s">
        <v>4115</v>
      </c>
      <c r="G316" s="91"/>
      <c r="H316" s="91" t="s">
        <v>650</v>
      </c>
      <c r="I316" s="91" t="s">
        <v>610</v>
      </c>
    </row>
    <row r="317" spans="1:9" x14ac:dyDescent="0.25">
      <c r="A317" s="188" t="s">
        <v>705</v>
      </c>
      <c r="B317" s="91" t="s">
        <v>4091</v>
      </c>
      <c r="C317" s="54"/>
      <c r="D317" s="54"/>
      <c r="E317" s="91" t="s">
        <v>4092</v>
      </c>
      <c r="F317" s="91"/>
      <c r="G317" s="91"/>
      <c r="H317" s="91" t="s">
        <v>640</v>
      </c>
      <c r="I317" s="91" t="s">
        <v>2788</v>
      </c>
    </row>
    <row r="318" spans="1:9" x14ac:dyDescent="0.25">
      <c r="A318" s="188" t="s">
        <v>707</v>
      </c>
      <c r="B318" s="91" t="s">
        <v>2731</v>
      </c>
      <c r="C318" s="54"/>
      <c r="D318" s="54"/>
      <c r="E318" s="165" t="s">
        <v>4103</v>
      </c>
      <c r="F318" s="161"/>
      <c r="G318" s="91"/>
      <c r="H318" s="91" t="s">
        <v>4536</v>
      </c>
      <c r="I318" s="91" t="s">
        <v>643</v>
      </c>
    </row>
    <row r="319" spans="1:9" x14ac:dyDescent="0.25">
      <c r="A319" s="188" t="s">
        <v>708</v>
      </c>
      <c r="B319" s="173" t="s">
        <v>4073</v>
      </c>
      <c r="C319" s="54"/>
      <c r="D319" s="54"/>
      <c r="E319" s="174" t="s">
        <v>4860</v>
      </c>
      <c r="F319" s="173"/>
      <c r="G319" s="173"/>
      <c r="H319" s="173" t="s">
        <v>664</v>
      </c>
      <c r="I319" s="173" t="s">
        <v>4557</v>
      </c>
    </row>
    <row r="320" spans="1:9" x14ac:dyDescent="0.25">
      <c r="A320" s="188" t="s">
        <v>709</v>
      </c>
      <c r="B320" s="173" t="s">
        <v>2723</v>
      </c>
      <c r="C320" s="54"/>
      <c r="D320" s="54"/>
      <c r="E320" s="174" t="s">
        <v>4075</v>
      </c>
      <c r="F320" s="173"/>
      <c r="G320" s="173"/>
      <c r="H320" s="173" t="s">
        <v>2720</v>
      </c>
      <c r="I320" s="173" t="s">
        <v>4557</v>
      </c>
    </row>
    <row r="321" spans="1:9" x14ac:dyDescent="0.25">
      <c r="A321" s="188" t="s">
        <v>710</v>
      </c>
      <c r="B321" s="173" t="s">
        <v>711</v>
      </c>
      <c r="C321" s="54"/>
      <c r="D321" s="54"/>
      <c r="E321" s="174" t="s">
        <v>4076</v>
      </c>
      <c r="F321" s="173"/>
      <c r="G321" s="173"/>
      <c r="H321" s="173" t="s">
        <v>664</v>
      </c>
      <c r="I321" s="173" t="s">
        <v>4557</v>
      </c>
    </row>
    <row r="322" spans="1:9" x14ac:dyDescent="0.25">
      <c r="A322" s="188" t="s">
        <v>712</v>
      </c>
      <c r="B322" s="173" t="s">
        <v>3708</v>
      </c>
      <c r="C322" s="54"/>
      <c r="D322" s="54"/>
      <c r="E322" s="174" t="s">
        <v>4462</v>
      </c>
      <c r="F322" s="173"/>
      <c r="G322" s="173"/>
      <c r="H322" s="173" t="s">
        <v>664</v>
      </c>
      <c r="I322" s="173" t="s">
        <v>4557</v>
      </c>
    </row>
    <row r="323" spans="1:9" x14ac:dyDescent="0.25">
      <c r="A323" s="188" t="s">
        <v>713</v>
      </c>
      <c r="B323" s="173" t="s">
        <v>4895</v>
      </c>
      <c r="C323" s="54"/>
      <c r="D323" s="54"/>
      <c r="E323" s="174" t="s">
        <v>4896</v>
      </c>
      <c r="F323" s="173" t="s">
        <v>4079</v>
      </c>
      <c r="G323" s="173"/>
      <c r="H323" s="173" t="s">
        <v>2720</v>
      </c>
      <c r="I323" s="173" t="s">
        <v>4557</v>
      </c>
    </row>
    <row r="324" spans="1:9" x14ac:dyDescent="0.25">
      <c r="A324" s="188" t="s">
        <v>1011</v>
      </c>
      <c r="B324" s="91" t="s">
        <v>2958</v>
      </c>
      <c r="C324" s="54"/>
      <c r="D324" s="54"/>
      <c r="E324" s="160" t="s">
        <v>4082</v>
      </c>
      <c r="F324" s="91" t="s">
        <v>4821</v>
      </c>
      <c r="G324" s="91"/>
      <c r="H324" s="91" t="s">
        <v>4822</v>
      </c>
      <c r="I324" s="91" t="s">
        <v>715</v>
      </c>
    </row>
    <row r="325" spans="1:9" x14ac:dyDescent="0.25">
      <c r="A325" s="188" t="s">
        <v>714</v>
      </c>
      <c r="B325" s="91" t="s">
        <v>4405</v>
      </c>
      <c r="C325" s="54"/>
      <c r="D325" s="54"/>
      <c r="E325" s="160" t="s">
        <v>4823</v>
      </c>
      <c r="F325" s="91"/>
      <c r="G325" s="91"/>
      <c r="H325" s="91" t="s">
        <v>4537</v>
      </c>
      <c r="I325" s="91" t="s">
        <v>715</v>
      </c>
    </row>
    <row r="326" spans="1:9" x14ac:dyDescent="0.25">
      <c r="A326" s="188" t="s">
        <v>716</v>
      </c>
      <c r="B326" s="91" t="s">
        <v>4824</v>
      </c>
      <c r="C326" s="54"/>
      <c r="D326" s="54"/>
      <c r="E326" s="160" t="s">
        <v>4463</v>
      </c>
      <c r="F326" s="91" t="s">
        <v>4825</v>
      </c>
      <c r="G326" s="54"/>
      <c r="H326" s="91" t="s">
        <v>4822</v>
      </c>
      <c r="I326" s="91" t="s">
        <v>715</v>
      </c>
    </row>
    <row r="327" spans="1:9" x14ac:dyDescent="0.25">
      <c r="A327" s="188" t="s">
        <v>718</v>
      </c>
      <c r="B327" s="173" t="s">
        <v>3205</v>
      </c>
      <c r="C327" s="54"/>
      <c r="D327" s="54"/>
      <c r="E327" s="174" t="s">
        <v>3206</v>
      </c>
      <c r="F327" s="173"/>
      <c r="G327" s="173"/>
      <c r="H327" s="173" t="s">
        <v>2720</v>
      </c>
      <c r="I327" s="173" t="s">
        <v>4557</v>
      </c>
    </row>
    <row r="328" spans="1:9" x14ac:dyDescent="0.25">
      <c r="A328" s="188" t="s">
        <v>720</v>
      </c>
      <c r="B328" s="173" t="s">
        <v>741</v>
      </c>
      <c r="C328" s="54"/>
      <c r="D328" s="54"/>
      <c r="E328" s="174" t="s">
        <v>4072</v>
      </c>
      <c r="F328" s="173"/>
      <c r="G328" s="173"/>
      <c r="H328" s="173" t="s">
        <v>2720</v>
      </c>
      <c r="I328" s="173" t="s">
        <v>4557</v>
      </c>
    </row>
    <row r="329" spans="1:9" x14ac:dyDescent="0.25">
      <c r="A329" s="188" t="s">
        <v>721</v>
      </c>
      <c r="B329" s="91" t="s">
        <v>3710</v>
      </c>
      <c r="C329" s="54"/>
      <c r="D329" s="54"/>
      <c r="E329" s="160"/>
      <c r="F329" s="91"/>
      <c r="G329" s="91"/>
      <c r="H329" s="91" t="s">
        <v>4822</v>
      </c>
      <c r="I329" s="91" t="s">
        <v>715</v>
      </c>
    </row>
    <row r="330" spans="1:9" x14ac:dyDescent="0.25">
      <c r="A330" s="188" t="s">
        <v>1010</v>
      </c>
      <c r="B330" s="91" t="s">
        <v>3711</v>
      </c>
      <c r="C330" s="54"/>
      <c r="D330" s="54"/>
      <c r="E330" s="160" t="s">
        <v>4465</v>
      </c>
      <c r="F330" s="161" t="s">
        <v>4875</v>
      </c>
      <c r="G330" s="91"/>
      <c r="H330" s="91" t="s">
        <v>4536</v>
      </c>
      <c r="I330" s="91" t="s">
        <v>643</v>
      </c>
    </row>
    <row r="331" spans="1:9" x14ac:dyDescent="0.25">
      <c r="A331" s="188" t="s">
        <v>722</v>
      </c>
      <c r="B331" s="91" t="s">
        <v>687</v>
      </c>
      <c r="C331" s="54"/>
      <c r="D331" s="54"/>
      <c r="E331" s="160" t="s">
        <v>4106</v>
      </c>
      <c r="F331" s="91"/>
      <c r="G331" s="91"/>
      <c r="H331" s="91" t="s">
        <v>4536</v>
      </c>
      <c r="I331" s="91" t="s">
        <v>643</v>
      </c>
    </row>
    <row r="332" spans="1:9" x14ac:dyDescent="0.25">
      <c r="A332" s="188" t="s">
        <v>723</v>
      </c>
      <c r="B332" s="91" t="s">
        <v>659</v>
      </c>
      <c r="C332" s="54"/>
      <c r="D332" s="54"/>
      <c r="E332" s="163" t="s">
        <v>4826</v>
      </c>
      <c r="F332" s="161"/>
      <c r="G332" s="155"/>
      <c r="H332" s="91" t="s">
        <v>4533</v>
      </c>
      <c r="I332" s="91" t="s">
        <v>643</v>
      </c>
    </row>
    <row r="333" spans="1:9" x14ac:dyDescent="0.25">
      <c r="A333" s="188" t="s">
        <v>724</v>
      </c>
      <c r="B333" s="91" t="s">
        <v>3712</v>
      </c>
      <c r="C333" s="54"/>
      <c r="D333" s="54"/>
      <c r="E333" s="160" t="s">
        <v>4132</v>
      </c>
      <c r="F333" s="91"/>
      <c r="G333" s="91"/>
      <c r="H333" s="91" t="s">
        <v>725</v>
      </c>
      <c r="I333" s="91" t="s">
        <v>2788</v>
      </c>
    </row>
    <row r="334" spans="1:9" x14ac:dyDescent="0.25">
      <c r="A334" s="188" t="s">
        <v>727</v>
      </c>
      <c r="B334" s="91" t="s">
        <v>824</v>
      </c>
      <c r="C334" s="54"/>
      <c r="D334" s="54"/>
      <c r="E334" s="160" t="s">
        <v>4876</v>
      </c>
      <c r="F334" s="161" t="s">
        <v>4877</v>
      </c>
      <c r="G334" s="91"/>
      <c r="H334" s="91" t="s">
        <v>725</v>
      </c>
      <c r="I334" s="91" t="s">
        <v>2788</v>
      </c>
    </row>
    <row r="335" spans="1:9" x14ac:dyDescent="0.25">
      <c r="A335" s="188" t="s">
        <v>728</v>
      </c>
      <c r="B335" s="91" t="s">
        <v>729</v>
      </c>
      <c r="C335" s="54"/>
      <c r="D335" s="54"/>
      <c r="E335" s="160" t="s">
        <v>4878</v>
      </c>
      <c r="F335" s="91" t="s">
        <v>4117</v>
      </c>
      <c r="G335" s="91"/>
      <c r="H335" s="91" t="s">
        <v>725</v>
      </c>
      <c r="I335" s="91" t="s">
        <v>2788</v>
      </c>
    </row>
    <row r="336" spans="1:9" x14ac:dyDescent="0.25">
      <c r="A336" s="188" t="s">
        <v>730</v>
      </c>
      <c r="B336" s="91" t="s">
        <v>1020</v>
      </c>
      <c r="C336" s="54"/>
      <c r="D336" s="54"/>
      <c r="E336" s="160" t="s">
        <v>4466</v>
      </c>
      <c r="F336" s="91"/>
      <c r="G336" s="91"/>
      <c r="H336" s="91" t="s">
        <v>725</v>
      </c>
      <c r="I336" s="91" t="s">
        <v>2788</v>
      </c>
    </row>
    <row r="337" spans="1:9" x14ac:dyDescent="0.25">
      <c r="A337" s="188" t="s">
        <v>731</v>
      </c>
      <c r="B337" s="91" t="s">
        <v>3713</v>
      </c>
      <c r="C337" s="54"/>
      <c r="D337" s="54"/>
      <c r="E337" s="160"/>
      <c r="F337" s="91"/>
      <c r="G337" s="91"/>
      <c r="H337" s="91" t="s">
        <v>4822</v>
      </c>
      <c r="I337" s="91" t="s">
        <v>715</v>
      </c>
    </row>
    <row r="338" spans="1:9" x14ac:dyDescent="0.25">
      <c r="A338" s="188" t="s">
        <v>733</v>
      </c>
      <c r="B338" s="91" t="s">
        <v>4084</v>
      </c>
      <c r="C338" s="54"/>
      <c r="D338" s="54"/>
      <c r="E338" s="160" t="s">
        <v>4468</v>
      </c>
      <c r="F338" s="91" t="s">
        <v>4827</v>
      </c>
      <c r="G338" s="91"/>
      <c r="H338" s="91" t="s">
        <v>4822</v>
      </c>
      <c r="I338" s="91" t="s">
        <v>715</v>
      </c>
    </row>
    <row r="339" spans="1:9" x14ac:dyDescent="0.25">
      <c r="A339" s="188" t="s">
        <v>735</v>
      </c>
      <c r="B339" s="91" t="s">
        <v>4114</v>
      </c>
      <c r="C339" s="54"/>
      <c r="D339" s="54"/>
      <c r="E339" s="160" t="s">
        <v>4897</v>
      </c>
      <c r="F339" s="91"/>
      <c r="G339" s="91"/>
      <c r="H339" s="91" t="s">
        <v>650</v>
      </c>
      <c r="I339" s="91" t="s">
        <v>610</v>
      </c>
    </row>
    <row r="340" spans="1:9" x14ac:dyDescent="0.25">
      <c r="A340" s="188" t="s">
        <v>736</v>
      </c>
      <c r="B340" s="91" t="s">
        <v>3716</v>
      </c>
      <c r="C340" s="54"/>
      <c r="D340" s="54"/>
      <c r="E340" s="160" t="s">
        <v>3608</v>
      </c>
      <c r="F340" s="91"/>
      <c r="G340" s="91"/>
      <c r="H340" s="91" t="s">
        <v>640</v>
      </c>
      <c r="I340" s="91" t="s">
        <v>2788</v>
      </c>
    </row>
    <row r="341" spans="1:9" x14ac:dyDescent="0.25">
      <c r="A341" s="188" t="s">
        <v>737</v>
      </c>
      <c r="B341" s="91" t="s">
        <v>4127</v>
      </c>
      <c r="C341" s="54"/>
      <c r="D341" s="54"/>
      <c r="E341" s="165" t="s">
        <v>4861</v>
      </c>
      <c r="F341" s="91"/>
      <c r="G341" s="91"/>
      <c r="H341" s="91" t="s">
        <v>726</v>
      </c>
      <c r="I341" s="91" t="s">
        <v>2788</v>
      </c>
    </row>
    <row r="342" spans="1:9" x14ac:dyDescent="0.25">
      <c r="A342" s="188" t="s">
        <v>738</v>
      </c>
      <c r="B342" s="91" t="s">
        <v>3718</v>
      </c>
      <c r="C342" s="54"/>
      <c r="D342" s="54"/>
      <c r="E342" s="160" t="s">
        <v>4081</v>
      </c>
      <c r="F342" s="91" t="s">
        <v>4467</v>
      </c>
      <c r="G342" s="91"/>
      <c r="H342" s="91" t="s">
        <v>4537</v>
      </c>
      <c r="I342" s="91" t="s">
        <v>715</v>
      </c>
    </row>
    <row r="343" spans="1:9" x14ac:dyDescent="0.25">
      <c r="A343" s="188" t="s">
        <v>739</v>
      </c>
      <c r="B343" s="91" t="s">
        <v>4828</v>
      </c>
      <c r="C343" s="54"/>
      <c r="D343" s="54"/>
      <c r="E343" s="160" t="s">
        <v>4087</v>
      </c>
      <c r="F343" s="91" t="s">
        <v>4829</v>
      </c>
      <c r="G343" s="91"/>
      <c r="H343" s="91" t="s">
        <v>4537</v>
      </c>
      <c r="I343" s="91" t="s">
        <v>715</v>
      </c>
    </row>
    <row r="344" spans="1:9" x14ac:dyDescent="0.25">
      <c r="A344" s="188" t="s">
        <v>740</v>
      </c>
      <c r="B344" s="173" t="s">
        <v>3719</v>
      </c>
      <c r="C344" s="54"/>
      <c r="D344" s="54"/>
      <c r="E344" s="174" t="s">
        <v>4074</v>
      </c>
      <c r="F344" s="173"/>
      <c r="G344" s="173"/>
      <c r="H344" s="173" t="s">
        <v>2720</v>
      </c>
      <c r="I344" s="173" t="s">
        <v>4557</v>
      </c>
    </row>
    <row r="345" spans="1:9" x14ac:dyDescent="0.25">
      <c r="A345" s="188" t="s">
        <v>742</v>
      </c>
      <c r="B345" s="91" t="s">
        <v>2738</v>
      </c>
      <c r="C345" s="54"/>
      <c r="D345" s="54"/>
      <c r="E345" s="168" t="s">
        <v>4469</v>
      </c>
      <c r="F345" s="168"/>
      <c r="G345" s="168"/>
      <c r="H345" s="91" t="s">
        <v>726</v>
      </c>
      <c r="I345" s="91" t="s">
        <v>2788</v>
      </c>
    </row>
    <row r="346" spans="1:9" x14ac:dyDescent="0.25">
      <c r="A346" s="188" t="s">
        <v>744</v>
      </c>
      <c r="B346" s="91" t="s">
        <v>2742</v>
      </c>
      <c r="C346" s="54"/>
      <c r="D346" s="54"/>
      <c r="E346" s="160" t="s">
        <v>4879</v>
      </c>
      <c r="F346" s="54"/>
      <c r="G346" s="91"/>
      <c r="H346" s="91" t="s">
        <v>4534</v>
      </c>
      <c r="I346" s="91" t="s">
        <v>2788</v>
      </c>
    </row>
    <row r="347" spans="1:9" x14ac:dyDescent="0.25">
      <c r="A347" s="188" t="s">
        <v>745</v>
      </c>
      <c r="B347" s="91" t="s">
        <v>2741</v>
      </c>
      <c r="C347" s="54"/>
      <c r="D347" s="54"/>
      <c r="E347" s="168" t="s">
        <v>4131</v>
      </c>
      <c r="F347" s="91" t="s">
        <v>4880</v>
      </c>
      <c r="G347" s="169" t="s">
        <v>4881</v>
      </c>
      <c r="H347" s="91" t="s">
        <v>725</v>
      </c>
      <c r="I347" s="91" t="s">
        <v>2788</v>
      </c>
    </row>
    <row r="348" spans="1:9" x14ac:dyDescent="0.25">
      <c r="A348" s="188" t="s">
        <v>747</v>
      </c>
      <c r="B348" s="91" t="s">
        <v>3720</v>
      </c>
      <c r="C348" s="54"/>
      <c r="D348" s="54"/>
      <c r="E348" s="91" t="s">
        <v>4470</v>
      </c>
      <c r="F348" s="91"/>
      <c r="G348" s="168"/>
      <c r="H348" s="91" t="s">
        <v>725</v>
      </c>
      <c r="I348" s="91" t="s">
        <v>2788</v>
      </c>
    </row>
    <row r="349" spans="1:9" x14ac:dyDescent="0.25">
      <c r="A349" s="188" t="s">
        <v>748</v>
      </c>
      <c r="B349" s="91" t="s">
        <v>2735</v>
      </c>
      <c r="C349" s="54"/>
      <c r="D349" s="54"/>
      <c r="E349" s="91" t="s">
        <v>4471</v>
      </c>
      <c r="F349" s="91" t="s">
        <v>4116</v>
      </c>
      <c r="G349" s="91"/>
      <c r="H349" s="91" t="s">
        <v>725</v>
      </c>
      <c r="I349" s="91" t="s">
        <v>2788</v>
      </c>
    </row>
    <row r="350" spans="1:9" x14ac:dyDescent="0.25">
      <c r="A350" s="188" t="s">
        <v>751</v>
      </c>
      <c r="B350" s="91" t="s">
        <v>4133</v>
      </c>
      <c r="C350" s="54"/>
      <c r="D350" s="54"/>
      <c r="E350" s="160" t="s">
        <v>4862</v>
      </c>
      <c r="F350" s="91"/>
      <c r="G350" s="91"/>
      <c r="H350" s="91" t="s">
        <v>4538</v>
      </c>
      <c r="I350" s="91" t="s">
        <v>610</v>
      </c>
    </row>
    <row r="351" spans="1:9" x14ac:dyDescent="0.25">
      <c r="A351" s="188" t="s">
        <v>752</v>
      </c>
      <c r="B351" s="91" t="s">
        <v>2697</v>
      </c>
      <c r="C351" s="54"/>
      <c r="D351" s="54"/>
      <c r="E351" s="175" t="s">
        <v>4863</v>
      </c>
      <c r="F351" s="91"/>
      <c r="G351" s="91"/>
      <c r="H351" s="91" t="s">
        <v>4538</v>
      </c>
      <c r="I351" s="91" t="s">
        <v>610</v>
      </c>
    </row>
    <row r="352" spans="1:9" x14ac:dyDescent="0.25">
      <c r="A352" s="188" t="s">
        <v>754</v>
      </c>
      <c r="B352" s="91" t="s">
        <v>4134</v>
      </c>
      <c r="C352" s="54"/>
      <c r="D352" s="54"/>
      <c r="E352" s="160" t="s">
        <v>4864</v>
      </c>
      <c r="F352" s="91"/>
      <c r="G352" s="91"/>
      <c r="H352" s="91" t="s">
        <v>4538</v>
      </c>
      <c r="I352" s="91" t="s">
        <v>610</v>
      </c>
    </row>
    <row r="353" spans="1:9" x14ac:dyDescent="0.25">
      <c r="A353" s="188" t="s">
        <v>755</v>
      </c>
      <c r="B353" s="91" t="s">
        <v>2698</v>
      </c>
      <c r="C353" s="54"/>
      <c r="D353" s="54"/>
      <c r="E353" s="175" t="s">
        <v>4865</v>
      </c>
      <c r="F353" s="91"/>
      <c r="G353" s="91"/>
      <c r="H353" s="91" t="s">
        <v>4538</v>
      </c>
      <c r="I353" s="91" t="s">
        <v>610</v>
      </c>
    </row>
    <row r="354" spans="1:9" x14ac:dyDescent="0.25">
      <c r="A354" s="188" t="s">
        <v>756</v>
      </c>
      <c r="B354" s="91" t="s">
        <v>4136</v>
      </c>
      <c r="C354" s="54"/>
      <c r="D354" s="54"/>
      <c r="E354" s="160" t="s">
        <v>4137</v>
      </c>
      <c r="F354" s="91"/>
      <c r="G354" s="91"/>
      <c r="H354" s="91" t="s">
        <v>4538</v>
      </c>
      <c r="I354" s="91" t="s">
        <v>610</v>
      </c>
    </row>
    <row r="355" spans="1:9" x14ac:dyDescent="0.25">
      <c r="A355" s="188" t="s">
        <v>757</v>
      </c>
      <c r="B355" s="162" t="s">
        <v>758</v>
      </c>
      <c r="C355" s="161" t="s">
        <v>4830</v>
      </c>
      <c r="D355" s="54"/>
      <c r="E355" s="165" t="s">
        <v>4472</v>
      </c>
      <c r="F355" s="155"/>
      <c r="G355" s="161"/>
      <c r="H355" s="91" t="s">
        <v>4533</v>
      </c>
      <c r="I355" s="91" t="s">
        <v>643</v>
      </c>
    </row>
    <row r="356" spans="1:9" x14ac:dyDescent="0.25">
      <c r="A356" s="188" t="s">
        <v>759</v>
      </c>
      <c r="B356" s="91" t="s">
        <v>4882</v>
      </c>
      <c r="C356" s="170"/>
      <c r="D356" s="54"/>
      <c r="E356" s="91" t="s">
        <v>4402</v>
      </c>
      <c r="F356" s="91" t="s">
        <v>4883</v>
      </c>
      <c r="G356" s="91"/>
      <c r="H356" s="91" t="s">
        <v>4534</v>
      </c>
      <c r="I356" s="91" t="s">
        <v>2788</v>
      </c>
    </row>
    <row r="357" spans="1:9" x14ac:dyDescent="0.25">
      <c r="A357" s="188" t="s">
        <v>760</v>
      </c>
      <c r="B357" s="91" t="s">
        <v>3723</v>
      </c>
      <c r="C357" s="54"/>
      <c r="D357" s="54"/>
      <c r="E357" s="176" t="s">
        <v>4884</v>
      </c>
      <c r="F357" s="91"/>
      <c r="G357" s="91"/>
      <c r="H357" s="91" t="s">
        <v>4534</v>
      </c>
      <c r="I357" s="91" t="s">
        <v>2788</v>
      </c>
    </row>
    <row r="358" spans="1:9" x14ac:dyDescent="0.25">
      <c r="A358" s="188" t="s">
        <v>761</v>
      </c>
      <c r="B358" s="177" t="s">
        <v>4124</v>
      </c>
      <c r="C358" s="54"/>
      <c r="D358" s="54"/>
      <c r="E358" s="176" t="s">
        <v>4119</v>
      </c>
      <c r="F358" s="181" t="s">
        <v>4885</v>
      </c>
      <c r="G358" s="91"/>
      <c r="H358" s="91" t="s">
        <v>4534</v>
      </c>
      <c r="I358" s="91" t="s">
        <v>2788</v>
      </c>
    </row>
    <row r="359" spans="1:9" x14ac:dyDescent="0.25">
      <c r="A359" s="188" t="s">
        <v>762</v>
      </c>
      <c r="B359" s="161" t="s">
        <v>4831</v>
      </c>
      <c r="C359" s="161" t="s">
        <v>4832</v>
      </c>
      <c r="D359" s="54"/>
      <c r="E359" s="160" t="s">
        <v>4473</v>
      </c>
      <c r="F359" s="91" t="s">
        <v>4833</v>
      </c>
      <c r="G359" s="91"/>
      <c r="H359" s="91" t="s">
        <v>3199</v>
      </c>
      <c r="I359" s="91" t="s">
        <v>715</v>
      </c>
    </row>
    <row r="360" spans="1:9" x14ac:dyDescent="0.25">
      <c r="A360" s="188" t="s">
        <v>763</v>
      </c>
      <c r="B360" s="161"/>
      <c r="C360" s="54"/>
      <c r="D360" s="54"/>
      <c r="E360" s="160" t="s">
        <v>4474</v>
      </c>
      <c r="F360" s="91" t="s">
        <v>4834</v>
      </c>
      <c r="G360" s="91"/>
      <c r="H360" s="91" t="s">
        <v>3199</v>
      </c>
      <c r="I360" s="91" t="s">
        <v>715</v>
      </c>
    </row>
    <row r="361" spans="1:9" x14ac:dyDescent="0.25">
      <c r="A361" s="188" t="s">
        <v>764</v>
      </c>
      <c r="B361" s="91" t="s">
        <v>734</v>
      </c>
      <c r="C361" s="54"/>
      <c r="D361" s="54"/>
      <c r="E361" s="160" t="s">
        <v>4835</v>
      </c>
      <c r="F361" s="91" t="s">
        <v>4836</v>
      </c>
      <c r="G361" s="91"/>
      <c r="H361" s="91" t="s">
        <v>4537</v>
      </c>
      <c r="I361" s="91" t="s">
        <v>715</v>
      </c>
    </row>
    <row r="362" spans="1:9" x14ac:dyDescent="0.25">
      <c r="A362" s="188" t="s">
        <v>766</v>
      </c>
      <c r="B362" s="91" t="s">
        <v>2725</v>
      </c>
      <c r="C362" s="54"/>
      <c r="D362" s="54"/>
      <c r="E362" s="160" t="s">
        <v>4406</v>
      </c>
      <c r="F362" s="91"/>
      <c r="G362" s="91"/>
      <c r="H362" s="91" t="s">
        <v>4537</v>
      </c>
      <c r="I362" s="91" t="s">
        <v>715</v>
      </c>
    </row>
    <row r="363" spans="1:9" x14ac:dyDescent="0.25">
      <c r="A363" s="188" t="s">
        <v>1012</v>
      </c>
      <c r="B363" s="91" t="s">
        <v>3726</v>
      </c>
      <c r="C363" s="54"/>
      <c r="D363" s="54"/>
      <c r="E363" s="160" t="s">
        <v>4837</v>
      </c>
      <c r="F363" s="91" t="s">
        <v>4408</v>
      </c>
      <c r="G363" s="91"/>
      <c r="H363" s="91" t="s">
        <v>3199</v>
      </c>
      <c r="I363" s="91" t="s">
        <v>715</v>
      </c>
    </row>
    <row r="364" spans="1:9" x14ac:dyDescent="0.25">
      <c r="A364" s="188" t="s">
        <v>1015</v>
      </c>
      <c r="B364" s="91" t="s">
        <v>4838</v>
      </c>
      <c r="C364" s="54"/>
      <c r="D364" s="54"/>
      <c r="E364" s="165" t="s">
        <v>4839</v>
      </c>
      <c r="F364" s="91" t="s">
        <v>4407</v>
      </c>
      <c r="G364" s="91"/>
      <c r="H364" s="91" t="s">
        <v>3199</v>
      </c>
      <c r="I364" s="91" t="s">
        <v>715</v>
      </c>
    </row>
    <row r="365" spans="1:9" x14ac:dyDescent="0.25">
      <c r="A365" s="188" t="s">
        <v>1016</v>
      </c>
      <c r="B365" s="167" t="s">
        <v>4840</v>
      </c>
      <c r="C365" s="54"/>
      <c r="D365" s="54"/>
      <c r="E365" s="160" t="s">
        <v>4841</v>
      </c>
      <c r="F365" s="161" t="s">
        <v>4842</v>
      </c>
      <c r="G365" s="91"/>
      <c r="H365" s="91" t="s">
        <v>3199</v>
      </c>
      <c r="I365" s="91" t="s">
        <v>715</v>
      </c>
    </row>
    <row r="366" spans="1:9" x14ac:dyDescent="0.25">
      <c r="A366" s="188" t="s">
        <v>1017</v>
      </c>
      <c r="B366" s="167" t="s">
        <v>4843</v>
      </c>
      <c r="C366" s="54"/>
      <c r="D366" s="54"/>
      <c r="E366" s="160" t="s">
        <v>4475</v>
      </c>
      <c r="F366" s="91"/>
      <c r="G366" s="91"/>
      <c r="H366" s="91" t="s">
        <v>3199</v>
      </c>
      <c r="I366" s="91" t="s">
        <v>715</v>
      </c>
    </row>
    <row r="367" spans="1:9" x14ac:dyDescent="0.25">
      <c r="A367" s="188" t="s">
        <v>1021</v>
      </c>
      <c r="B367" s="161"/>
      <c r="C367" s="54"/>
      <c r="D367" s="54"/>
      <c r="E367" s="160" t="s">
        <v>4476</v>
      </c>
      <c r="F367" s="161" t="s">
        <v>4474</v>
      </c>
      <c r="G367" s="91"/>
      <c r="H367" s="91" t="s">
        <v>3199</v>
      </c>
      <c r="I367" s="91" t="s">
        <v>715</v>
      </c>
    </row>
    <row r="368" spans="1:9" x14ac:dyDescent="0.25">
      <c r="A368" s="188" t="s">
        <v>1019</v>
      </c>
      <c r="B368" s="91" t="s">
        <v>4844</v>
      </c>
      <c r="C368" s="54"/>
      <c r="D368" s="54"/>
      <c r="E368" s="160" t="s">
        <v>4845</v>
      </c>
      <c r="F368" s="91" t="s">
        <v>4846</v>
      </c>
      <c r="G368" s="91"/>
      <c r="H368" s="91" t="s">
        <v>4537</v>
      </c>
      <c r="I368" s="91" t="s">
        <v>715</v>
      </c>
    </row>
    <row r="369" spans="1:9" x14ac:dyDescent="0.25">
      <c r="A369" s="188" t="s">
        <v>2412</v>
      </c>
      <c r="B369" s="91" t="s">
        <v>2743</v>
      </c>
      <c r="C369" s="54"/>
      <c r="D369" s="54"/>
      <c r="E369" s="160" t="s">
        <v>4866</v>
      </c>
      <c r="F369" s="91"/>
      <c r="G369" s="91"/>
      <c r="H369" s="91" t="s">
        <v>4538</v>
      </c>
      <c r="I369" s="91" t="s">
        <v>610</v>
      </c>
    </row>
    <row r="370" spans="1:9" x14ac:dyDescent="0.25">
      <c r="A370" s="188" t="s">
        <v>2415</v>
      </c>
      <c r="B370" s="91" t="s">
        <v>3761</v>
      </c>
      <c r="C370" s="54"/>
      <c r="D370" s="54"/>
      <c r="E370" s="160" t="s">
        <v>4409</v>
      </c>
      <c r="F370" s="91"/>
      <c r="G370" s="91"/>
      <c r="H370" s="91" t="s">
        <v>4538</v>
      </c>
      <c r="I370" s="91" t="s">
        <v>610</v>
      </c>
    </row>
    <row r="371" spans="1:9" x14ac:dyDescent="0.25">
      <c r="A371" s="188" t="s">
        <v>4908</v>
      </c>
      <c r="B371" s="91" t="s">
        <v>4417</v>
      </c>
      <c r="C371" s="54"/>
      <c r="D371" s="54"/>
      <c r="E371" s="160"/>
      <c r="F371" s="91"/>
      <c r="G371" s="91"/>
      <c r="H371" s="91" t="s">
        <v>4538</v>
      </c>
      <c r="I371" s="91" t="s">
        <v>610</v>
      </c>
    </row>
    <row r="372" spans="1:9" x14ac:dyDescent="0.25">
      <c r="A372" s="188" t="s">
        <v>4909</v>
      </c>
      <c r="B372" s="91" t="s">
        <v>4126</v>
      </c>
      <c r="C372" s="54"/>
      <c r="D372" s="54"/>
      <c r="E372" s="160"/>
      <c r="F372" s="91"/>
      <c r="G372" s="91"/>
      <c r="H372" s="91" t="s">
        <v>726</v>
      </c>
      <c r="I372" s="91" t="s">
        <v>2788</v>
      </c>
    </row>
    <row r="373" spans="1:9" x14ac:dyDescent="0.25">
      <c r="A373" s="188" t="s">
        <v>4910</v>
      </c>
      <c r="B373" s="91" t="s">
        <v>4867</v>
      </c>
      <c r="C373" s="54"/>
      <c r="D373" s="54"/>
      <c r="E373" s="160"/>
      <c r="F373" s="91"/>
      <c r="G373" s="91"/>
      <c r="H373" s="91" t="s">
        <v>4538</v>
      </c>
      <c r="I373" s="91" t="s">
        <v>610</v>
      </c>
    </row>
    <row r="374" spans="1:9" x14ac:dyDescent="0.25">
      <c r="A374" s="188" t="s">
        <v>4911</v>
      </c>
      <c r="B374" s="161" t="s">
        <v>4868</v>
      </c>
      <c r="C374" s="54"/>
      <c r="D374" s="54"/>
      <c r="E374" s="160"/>
      <c r="F374" s="91"/>
      <c r="G374" s="91"/>
      <c r="H374" s="91" t="s">
        <v>726</v>
      </c>
      <c r="I374" s="91" t="s">
        <v>2788</v>
      </c>
    </row>
    <row r="375" spans="1:9" x14ac:dyDescent="0.25">
      <c r="A375" s="188" t="s">
        <v>2418</v>
      </c>
      <c r="B375" s="54" t="s">
        <v>4649</v>
      </c>
      <c r="C375" s="54"/>
      <c r="D375" s="54"/>
      <c r="E375" s="170" t="s">
        <v>4477</v>
      </c>
      <c r="F375" s="54"/>
      <c r="G375" s="54"/>
      <c r="H375" s="157" t="s">
        <v>4539</v>
      </c>
      <c r="I375" s="157" t="s">
        <v>978</v>
      </c>
    </row>
    <row r="376" spans="1:9" x14ac:dyDescent="0.25">
      <c r="A376" s="188" t="s">
        <v>770</v>
      </c>
      <c r="B376" s="54" t="s">
        <v>4650</v>
      </c>
      <c r="C376" s="54"/>
      <c r="D376" s="54"/>
      <c r="E376" s="170" t="s">
        <v>4139</v>
      </c>
      <c r="F376" s="54"/>
      <c r="G376" s="54"/>
      <c r="H376" s="157" t="s">
        <v>768</v>
      </c>
      <c r="I376" s="157" t="s">
        <v>978</v>
      </c>
    </row>
    <row r="377" spans="1:9" x14ac:dyDescent="0.25">
      <c r="A377" s="188" t="s">
        <v>772</v>
      </c>
      <c r="B377" s="54" t="s">
        <v>3729</v>
      </c>
      <c r="C377" s="54"/>
      <c r="D377" s="54"/>
      <c r="E377" s="170" t="s">
        <v>4140</v>
      </c>
      <c r="F377" s="54"/>
      <c r="G377" s="54"/>
      <c r="H377" s="157" t="s">
        <v>4539</v>
      </c>
      <c r="I377" s="157" t="s">
        <v>978</v>
      </c>
    </row>
    <row r="378" spans="1:9" x14ac:dyDescent="0.25">
      <c r="A378" s="188" t="s">
        <v>2425</v>
      </c>
      <c r="B378" s="54" t="e">
        <v>#N/A</v>
      </c>
      <c r="C378" s="54"/>
      <c r="D378" s="54"/>
      <c r="E378" s="170" t="s">
        <v>4141</v>
      </c>
      <c r="F378" s="54"/>
      <c r="G378" s="54"/>
      <c r="H378" s="157" t="s">
        <v>4539</v>
      </c>
      <c r="I378" s="157" t="s">
        <v>978</v>
      </c>
    </row>
    <row r="379" spans="1:9" x14ac:dyDescent="0.25">
      <c r="A379" s="188" t="s">
        <v>774</v>
      </c>
      <c r="B379" s="54" t="s">
        <v>4142</v>
      </c>
      <c r="C379" s="54"/>
      <c r="D379" s="54"/>
      <c r="E379" s="170" t="s">
        <v>4651</v>
      </c>
      <c r="F379" s="54"/>
      <c r="G379" s="54"/>
      <c r="H379" s="157" t="s">
        <v>4539</v>
      </c>
      <c r="I379" s="157" t="s">
        <v>978</v>
      </c>
    </row>
    <row r="380" spans="1:9" x14ac:dyDescent="0.25">
      <c r="A380" s="188" t="s">
        <v>775</v>
      </c>
      <c r="B380" s="54" t="s">
        <v>4143</v>
      </c>
      <c r="C380" s="54"/>
      <c r="D380" s="54"/>
      <c r="E380" s="170" t="s">
        <v>4479</v>
      </c>
      <c r="F380" s="170"/>
      <c r="G380" s="54"/>
      <c r="H380" s="157" t="s">
        <v>768</v>
      </c>
      <c r="I380" s="157" t="s">
        <v>978</v>
      </c>
    </row>
    <row r="381" spans="1:9" x14ac:dyDescent="0.25">
      <c r="A381" s="188" t="s">
        <v>778</v>
      </c>
      <c r="B381" s="54" t="s">
        <v>2772</v>
      </c>
      <c r="C381" s="54"/>
      <c r="D381" s="54"/>
      <c r="E381" s="170" t="s">
        <v>4480</v>
      </c>
      <c r="F381" s="54"/>
      <c r="G381" s="54"/>
      <c r="H381" s="157" t="s">
        <v>779</v>
      </c>
      <c r="I381" s="157" t="s">
        <v>978</v>
      </c>
    </row>
    <row r="382" spans="1:9" x14ac:dyDescent="0.25">
      <c r="A382" s="188" t="s">
        <v>780</v>
      </c>
      <c r="B382" s="19" t="s">
        <v>1440</v>
      </c>
      <c r="C382" s="54"/>
      <c r="D382" s="54"/>
      <c r="E382" s="170" t="s">
        <v>4481</v>
      </c>
      <c r="F382" s="54"/>
      <c r="G382" s="54"/>
      <c r="H382" s="157" t="s">
        <v>779</v>
      </c>
      <c r="I382" s="157" t="s">
        <v>978</v>
      </c>
    </row>
    <row r="383" spans="1:9" x14ac:dyDescent="0.25">
      <c r="A383" s="188" t="s">
        <v>781</v>
      </c>
      <c r="B383" s="54" t="s">
        <v>4652</v>
      </c>
      <c r="C383" s="54"/>
      <c r="D383" s="54"/>
      <c r="E383" s="170" t="s">
        <v>4145</v>
      </c>
      <c r="F383" s="54"/>
      <c r="G383" s="54"/>
      <c r="H383" s="157" t="s">
        <v>4540</v>
      </c>
      <c r="I383" s="157" t="s">
        <v>2756</v>
      </c>
    </row>
    <row r="384" spans="1:9" x14ac:dyDescent="0.25">
      <c r="A384" s="188" t="s">
        <v>2436</v>
      </c>
      <c r="B384" s="54" t="s">
        <v>782</v>
      </c>
      <c r="C384" s="54"/>
      <c r="D384" s="54"/>
      <c r="E384" s="170" t="s">
        <v>4146</v>
      </c>
      <c r="F384" s="54"/>
      <c r="G384" s="54"/>
      <c r="H384" s="157" t="s">
        <v>783</v>
      </c>
      <c r="I384" s="157" t="s">
        <v>2756</v>
      </c>
    </row>
    <row r="385" spans="1:9" x14ac:dyDescent="0.25">
      <c r="A385" s="188" t="s">
        <v>784</v>
      </c>
      <c r="B385" s="54" t="s">
        <v>4653</v>
      </c>
      <c r="C385" s="54"/>
      <c r="D385" s="54"/>
      <c r="E385" s="170" t="s">
        <v>4147</v>
      </c>
      <c r="F385" s="54"/>
      <c r="G385" s="54"/>
      <c r="H385" s="157" t="s">
        <v>783</v>
      </c>
      <c r="I385" s="157" t="s">
        <v>2756</v>
      </c>
    </row>
    <row r="386" spans="1:9" x14ac:dyDescent="0.25">
      <c r="A386" s="188" t="s">
        <v>2441</v>
      </c>
      <c r="B386" s="54" t="s">
        <v>2751</v>
      </c>
      <c r="C386" s="54"/>
      <c r="D386" s="54"/>
      <c r="E386" s="170" t="s">
        <v>4148</v>
      </c>
      <c r="F386" s="54"/>
      <c r="G386" s="54"/>
      <c r="H386" s="157" t="s">
        <v>783</v>
      </c>
      <c r="I386" s="157" t="s">
        <v>2756</v>
      </c>
    </row>
    <row r="387" spans="1:9" x14ac:dyDescent="0.25">
      <c r="A387" s="188" t="s">
        <v>785</v>
      </c>
      <c r="B387" s="54" t="s">
        <v>4654</v>
      </c>
      <c r="C387" s="54"/>
      <c r="D387" s="54"/>
      <c r="E387" s="170" t="s">
        <v>4149</v>
      </c>
      <c r="F387" s="54"/>
      <c r="G387" s="54"/>
      <c r="H387" s="157" t="s">
        <v>768</v>
      </c>
      <c r="I387" s="157" t="s">
        <v>978</v>
      </c>
    </row>
    <row r="388" spans="1:9" x14ac:dyDescent="0.25">
      <c r="A388" s="188" t="s">
        <v>787</v>
      </c>
      <c r="B388" s="54" t="s">
        <v>788</v>
      </c>
      <c r="C388" s="54"/>
      <c r="D388" s="54"/>
      <c r="E388" s="170" t="s">
        <v>4150</v>
      </c>
      <c r="F388" s="54"/>
      <c r="G388" s="54"/>
      <c r="H388" s="157" t="s">
        <v>783</v>
      </c>
      <c r="I388" s="157" t="s">
        <v>2756</v>
      </c>
    </row>
    <row r="389" spans="1:9" x14ac:dyDescent="0.25">
      <c r="A389" s="188" t="s">
        <v>790</v>
      </c>
      <c r="B389" s="54" t="s">
        <v>806</v>
      </c>
      <c r="C389" s="54"/>
      <c r="D389" s="54"/>
      <c r="E389" s="170" t="s">
        <v>4483</v>
      </c>
      <c r="F389" s="54"/>
      <c r="G389" s="54"/>
      <c r="H389" s="157" t="s">
        <v>4540</v>
      </c>
      <c r="I389" s="157" t="s">
        <v>2756</v>
      </c>
    </row>
    <row r="390" spans="1:9" x14ac:dyDescent="0.25">
      <c r="A390" s="188" t="s">
        <v>791</v>
      </c>
      <c r="B390" s="54" t="s">
        <v>4655</v>
      </c>
      <c r="C390" s="54"/>
      <c r="D390" s="54"/>
      <c r="E390" s="170" t="s">
        <v>4151</v>
      </c>
      <c r="F390" s="54"/>
      <c r="G390" s="54"/>
      <c r="H390" s="157" t="s">
        <v>4540</v>
      </c>
      <c r="I390" s="157" t="s">
        <v>2756</v>
      </c>
    </row>
    <row r="391" spans="1:9" x14ac:dyDescent="0.25">
      <c r="A391" s="188" t="s">
        <v>2460</v>
      </c>
      <c r="B391" s="54" t="s">
        <v>3764</v>
      </c>
      <c r="C391" s="54"/>
      <c r="D391" s="54"/>
      <c r="E391" s="180" t="s">
        <v>4484</v>
      </c>
      <c r="F391" s="54"/>
      <c r="G391" s="54"/>
      <c r="H391" s="157" t="s">
        <v>4540</v>
      </c>
      <c r="I391" s="157" t="s">
        <v>2756</v>
      </c>
    </row>
    <row r="392" spans="1:9" x14ac:dyDescent="0.25">
      <c r="A392" s="188" t="s">
        <v>793</v>
      </c>
      <c r="B392" s="54" t="s">
        <v>3763</v>
      </c>
      <c r="C392" s="54"/>
      <c r="D392" s="54"/>
      <c r="E392" s="170" t="s">
        <v>4485</v>
      </c>
      <c r="F392" s="54"/>
      <c r="G392" s="54"/>
      <c r="H392" s="157" t="s">
        <v>779</v>
      </c>
      <c r="I392" s="157" t="s">
        <v>978</v>
      </c>
    </row>
    <row r="393" spans="1:9" x14ac:dyDescent="0.25">
      <c r="A393" s="188" t="s">
        <v>796</v>
      </c>
      <c r="B393" s="54" t="s">
        <v>4656</v>
      </c>
      <c r="C393" s="54"/>
      <c r="D393" s="54"/>
      <c r="E393" s="170" t="s">
        <v>4155</v>
      </c>
      <c r="F393" s="54"/>
      <c r="G393" s="54"/>
      <c r="H393" s="157" t="s">
        <v>4541</v>
      </c>
      <c r="I393" s="157" t="s">
        <v>2756</v>
      </c>
    </row>
    <row r="394" spans="1:9" x14ac:dyDescent="0.25">
      <c r="A394" s="188" t="s">
        <v>797</v>
      </c>
      <c r="B394" s="54" t="s">
        <v>2769</v>
      </c>
      <c r="C394" s="54"/>
      <c r="D394" s="54"/>
      <c r="E394" s="170" t="s">
        <v>4156</v>
      </c>
      <c r="F394" s="54"/>
      <c r="G394" s="54"/>
      <c r="H394" s="157" t="s">
        <v>798</v>
      </c>
      <c r="I394" s="157" t="s">
        <v>829</v>
      </c>
    </row>
    <row r="395" spans="1:9" x14ac:dyDescent="0.25">
      <c r="A395" s="188" t="s">
        <v>800</v>
      </c>
      <c r="B395" s="54" t="s">
        <v>4657</v>
      </c>
      <c r="C395" s="54"/>
      <c r="D395" s="54"/>
      <c r="E395" s="170" t="s">
        <v>4658</v>
      </c>
      <c r="F395" s="54"/>
      <c r="G395" s="54"/>
      <c r="H395" s="157" t="s">
        <v>798</v>
      </c>
      <c r="I395" s="157" t="s">
        <v>829</v>
      </c>
    </row>
    <row r="396" spans="1:9" x14ac:dyDescent="0.25">
      <c r="A396" s="188" t="s">
        <v>801</v>
      </c>
      <c r="B396" s="54" t="s">
        <v>4659</v>
      </c>
      <c r="C396" s="54"/>
      <c r="D396" s="54"/>
      <c r="E396" s="170" t="s">
        <v>4660</v>
      </c>
      <c r="F396" s="54"/>
      <c r="G396" s="19"/>
      <c r="H396" s="157" t="s">
        <v>798</v>
      </c>
      <c r="I396" s="157" t="s">
        <v>829</v>
      </c>
    </row>
    <row r="397" spans="1:9" x14ac:dyDescent="0.25">
      <c r="A397" s="188" t="s">
        <v>802</v>
      </c>
      <c r="B397" s="54" t="s">
        <v>4661</v>
      </c>
      <c r="C397" s="54"/>
      <c r="D397" s="54"/>
      <c r="E397" s="170" t="s">
        <v>4662</v>
      </c>
      <c r="F397" s="54"/>
      <c r="G397" s="54"/>
      <c r="H397" s="157" t="s">
        <v>4539</v>
      </c>
      <c r="I397" s="157" t="s">
        <v>978</v>
      </c>
    </row>
    <row r="398" spans="1:9" x14ac:dyDescent="0.25">
      <c r="A398" s="188" t="s">
        <v>803</v>
      </c>
      <c r="B398" s="54" t="s">
        <v>3203</v>
      </c>
      <c r="C398" s="54"/>
      <c r="D398" s="54"/>
      <c r="E398" s="170" t="s">
        <v>4160</v>
      </c>
      <c r="F398" s="54"/>
      <c r="G398" s="54"/>
      <c r="H398" s="157" t="s">
        <v>4541</v>
      </c>
      <c r="I398" s="157" t="s">
        <v>2756</v>
      </c>
    </row>
    <row r="399" spans="1:9" x14ac:dyDescent="0.25">
      <c r="A399" s="188" t="s">
        <v>2488</v>
      </c>
      <c r="B399" s="54" t="s">
        <v>2691</v>
      </c>
      <c r="C399" s="54"/>
      <c r="D399" s="54"/>
      <c r="E399" s="170" t="s">
        <v>4161</v>
      </c>
      <c r="F399" s="54"/>
      <c r="G399" s="54"/>
      <c r="H399" s="157" t="s">
        <v>4541</v>
      </c>
      <c r="I399" s="157" t="s">
        <v>2756</v>
      </c>
    </row>
    <row r="400" spans="1:9" x14ac:dyDescent="0.25">
      <c r="A400" s="188" t="s">
        <v>804</v>
      </c>
      <c r="B400" s="54" t="s">
        <v>3733</v>
      </c>
      <c r="C400" s="54"/>
      <c r="D400" s="54"/>
      <c r="E400" s="170" t="s">
        <v>4162</v>
      </c>
      <c r="F400" s="54"/>
      <c r="G400" s="54"/>
      <c r="H400" s="157" t="s">
        <v>4540</v>
      </c>
      <c r="I400" s="157" t="s">
        <v>2756</v>
      </c>
    </row>
    <row r="401" spans="1:9" x14ac:dyDescent="0.25">
      <c r="A401" s="188" t="s">
        <v>807</v>
      </c>
      <c r="B401" s="54" t="s">
        <v>4663</v>
      </c>
      <c r="C401" s="54"/>
      <c r="D401" s="54"/>
      <c r="E401" s="170" t="s">
        <v>4664</v>
      </c>
      <c r="F401" s="54"/>
      <c r="G401" s="54"/>
      <c r="H401" s="157" t="s">
        <v>4541</v>
      </c>
      <c r="I401" s="157" t="s">
        <v>2756</v>
      </c>
    </row>
    <row r="402" spans="1:9" x14ac:dyDescent="0.25">
      <c r="A402" s="188" t="s">
        <v>2503</v>
      </c>
      <c r="B402" s="54" t="s">
        <v>4665</v>
      </c>
      <c r="C402" s="54"/>
      <c r="D402" s="54"/>
      <c r="E402" s="19" t="s">
        <v>4164</v>
      </c>
      <c r="F402" s="54"/>
      <c r="G402" s="19"/>
      <c r="H402" s="157" t="s">
        <v>798</v>
      </c>
      <c r="I402" s="157" t="s">
        <v>829</v>
      </c>
    </row>
    <row r="403" spans="1:9" x14ac:dyDescent="0.25">
      <c r="A403" s="188" t="s">
        <v>809</v>
      </c>
      <c r="B403" s="54" t="s">
        <v>812</v>
      </c>
      <c r="C403" s="54"/>
      <c r="D403" s="54"/>
      <c r="E403" s="170" t="s">
        <v>4165</v>
      </c>
      <c r="F403" s="54"/>
      <c r="G403" s="54"/>
      <c r="H403" s="157" t="s">
        <v>4666</v>
      </c>
      <c r="I403" s="157" t="s">
        <v>829</v>
      </c>
    </row>
    <row r="404" spans="1:9" x14ac:dyDescent="0.25">
      <c r="A404" s="188" t="s">
        <v>810</v>
      </c>
      <c r="B404" s="54" t="s">
        <v>3737</v>
      </c>
      <c r="C404" s="54"/>
      <c r="D404" s="54"/>
      <c r="E404" s="170" t="s">
        <v>4166</v>
      </c>
      <c r="F404" s="54"/>
      <c r="G404" s="54"/>
      <c r="H404" s="157" t="s">
        <v>4666</v>
      </c>
      <c r="I404" s="157" t="s">
        <v>829</v>
      </c>
    </row>
    <row r="405" spans="1:9" x14ac:dyDescent="0.25">
      <c r="A405" s="188" t="s">
        <v>813</v>
      </c>
      <c r="B405" s="54" t="s">
        <v>4667</v>
      </c>
      <c r="C405" s="54"/>
      <c r="D405" s="54"/>
      <c r="E405" s="170" t="s">
        <v>4668</v>
      </c>
      <c r="F405" s="54"/>
      <c r="G405" s="54"/>
      <c r="H405" s="157" t="s">
        <v>4666</v>
      </c>
      <c r="I405" s="157" t="s">
        <v>829</v>
      </c>
    </row>
    <row r="406" spans="1:9" x14ac:dyDescent="0.25">
      <c r="A406" s="188" t="s">
        <v>2518</v>
      </c>
      <c r="B406" s="54" t="s">
        <v>4669</v>
      </c>
      <c r="C406" s="54"/>
      <c r="D406" s="54"/>
      <c r="E406" s="170" t="e">
        <v>#N/A</v>
      </c>
      <c r="F406" s="54"/>
      <c r="G406" s="54"/>
      <c r="H406" s="157" t="s">
        <v>4670</v>
      </c>
      <c r="I406" s="157" t="s">
        <v>829</v>
      </c>
    </row>
    <row r="407" spans="1:9" x14ac:dyDescent="0.25">
      <c r="A407" s="188" t="s">
        <v>814</v>
      </c>
      <c r="B407" s="54" t="s">
        <v>4671</v>
      </c>
      <c r="C407" s="54"/>
      <c r="D407" s="54"/>
      <c r="E407" s="170" t="s">
        <v>4168</v>
      </c>
      <c r="F407" s="54"/>
      <c r="G407" s="54"/>
      <c r="H407" s="157" t="s">
        <v>4670</v>
      </c>
      <c r="I407" s="157" t="s">
        <v>829</v>
      </c>
    </row>
    <row r="408" spans="1:9" x14ac:dyDescent="0.25">
      <c r="A408" s="188" t="s">
        <v>2522</v>
      </c>
      <c r="B408" s="54" t="s">
        <v>3730</v>
      </c>
      <c r="C408" s="54"/>
      <c r="D408" s="54"/>
      <c r="E408" s="170" t="s">
        <v>4672</v>
      </c>
      <c r="F408" s="54"/>
      <c r="G408" s="54"/>
      <c r="H408" s="157" t="s">
        <v>4542</v>
      </c>
      <c r="I408" s="157" t="s">
        <v>978</v>
      </c>
    </row>
    <row r="409" spans="1:9" x14ac:dyDescent="0.25">
      <c r="A409" s="188" t="s">
        <v>815</v>
      </c>
      <c r="B409" s="54" t="s">
        <v>4169</v>
      </c>
      <c r="C409" s="54"/>
      <c r="D409" s="54"/>
      <c r="E409" s="170" t="s">
        <v>4673</v>
      </c>
      <c r="F409" s="54"/>
      <c r="G409" s="54"/>
      <c r="H409" s="157" t="s">
        <v>768</v>
      </c>
      <c r="I409" s="157" t="s">
        <v>978</v>
      </c>
    </row>
    <row r="410" spans="1:9" x14ac:dyDescent="0.25">
      <c r="A410" s="188" t="s">
        <v>816</v>
      </c>
      <c r="B410" s="54" t="s">
        <v>3193</v>
      </c>
      <c r="C410" s="54"/>
      <c r="D410" s="54"/>
      <c r="E410" s="170" t="s">
        <v>4170</v>
      </c>
      <c r="F410" s="54"/>
      <c r="G410" s="54"/>
      <c r="H410" s="157" t="s">
        <v>768</v>
      </c>
      <c r="I410" s="157" t="s">
        <v>978</v>
      </c>
    </row>
    <row r="411" spans="1:9" x14ac:dyDescent="0.25">
      <c r="A411" s="188" t="s">
        <v>2531</v>
      </c>
      <c r="B411" s="54" t="s">
        <v>3740</v>
      </c>
      <c r="C411" s="54"/>
      <c r="D411" s="54"/>
      <c r="E411" s="170" t="s">
        <v>4171</v>
      </c>
      <c r="F411" s="54"/>
      <c r="G411" s="54"/>
      <c r="H411" s="157" t="s">
        <v>4542</v>
      </c>
      <c r="I411" s="157" t="s">
        <v>978</v>
      </c>
    </row>
    <row r="412" spans="1:9" x14ac:dyDescent="0.25">
      <c r="A412" s="188" t="s">
        <v>817</v>
      </c>
      <c r="B412" s="54" t="s">
        <v>4674</v>
      </c>
      <c r="C412" s="54"/>
      <c r="D412" s="54"/>
      <c r="E412" s="170" t="s">
        <v>4172</v>
      </c>
      <c r="F412" s="54"/>
      <c r="G412" s="54"/>
      <c r="H412" s="157" t="s">
        <v>4542</v>
      </c>
      <c r="I412" s="157" t="s">
        <v>978</v>
      </c>
    </row>
    <row r="413" spans="1:9" x14ac:dyDescent="0.25">
      <c r="A413" s="188" t="s">
        <v>818</v>
      </c>
      <c r="B413" s="54" t="s">
        <v>4675</v>
      </c>
      <c r="C413" s="54"/>
      <c r="D413" s="54"/>
      <c r="E413" s="170" t="s">
        <v>4487</v>
      </c>
      <c r="F413" s="54"/>
      <c r="G413" s="54"/>
      <c r="H413" s="157" t="s">
        <v>783</v>
      </c>
      <c r="I413" s="157" t="s">
        <v>2756</v>
      </c>
    </row>
    <row r="414" spans="1:9" x14ac:dyDescent="0.25">
      <c r="A414" s="188" t="s">
        <v>819</v>
      </c>
      <c r="B414" s="19" t="s">
        <v>3741</v>
      </c>
      <c r="C414" s="54"/>
      <c r="D414" s="54"/>
      <c r="E414" s="170" t="s">
        <v>4174</v>
      </c>
      <c r="F414" s="54"/>
      <c r="G414" s="54"/>
      <c r="H414" s="157" t="s">
        <v>798</v>
      </c>
      <c r="I414" s="157" t="s">
        <v>829</v>
      </c>
    </row>
    <row r="415" spans="1:9" x14ac:dyDescent="0.25">
      <c r="A415" s="188" t="s">
        <v>820</v>
      </c>
      <c r="B415" s="54" t="s">
        <v>2764</v>
      </c>
      <c r="C415" s="54"/>
      <c r="D415" s="54"/>
      <c r="E415" s="170" t="s">
        <v>4488</v>
      </c>
      <c r="F415" s="54"/>
      <c r="G415" s="54"/>
      <c r="H415" s="157" t="s">
        <v>4543</v>
      </c>
      <c r="I415" s="157" t="s">
        <v>978</v>
      </c>
    </row>
    <row r="416" spans="1:9" x14ac:dyDescent="0.25">
      <c r="A416" s="188" t="s">
        <v>2544</v>
      </c>
      <c r="B416" s="54" t="s">
        <v>4676</v>
      </c>
      <c r="C416" s="54"/>
      <c r="D416" s="54"/>
      <c r="E416" s="170" t="s">
        <v>4176</v>
      </c>
      <c r="F416" s="19"/>
      <c r="G416" s="54"/>
      <c r="H416" s="157" t="s">
        <v>4543</v>
      </c>
      <c r="I416" s="157" t="s">
        <v>978</v>
      </c>
    </row>
    <row r="417" spans="1:9" x14ac:dyDescent="0.25">
      <c r="A417" s="188" t="s">
        <v>823</v>
      </c>
      <c r="B417" s="54" t="s">
        <v>3742</v>
      </c>
      <c r="C417" s="54"/>
      <c r="D417" s="54"/>
      <c r="E417" s="170" t="s">
        <v>4152</v>
      </c>
      <c r="F417" s="54"/>
      <c r="G417" s="54"/>
      <c r="H417" s="157" t="s">
        <v>783</v>
      </c>
      <c r="I417" s="157" t="s">
        <v>2756</v>
      </c>
    </row>
    <row r="418" spans="1:9" x14ac:dyDescent="0.25">
      <c r="A418" s="188" t="s">
        <v>825</v>
      </c>
      <c r="B418" s="54" t="s">
        <v>826</v>
      </c>
      <c r="C418" s="54"/>
      <c r="D418" s="54"/>
      <c r="E418" s="170" t="s">
        <v>4489</v>
      </c>
      <c r="F418" s="54"/>
      <c r="G418" s="54"/>
      <c r="H418" s="157" t="s">
        <v>4666</v>
      </c>
      <c r="I418" s="157" t="s">
        <v>829</v>
      </c>
    </row>
    <row r="419" spans="1:9" x14ac:dyDescent="0.25">
      <c r="A419" s="188" t="s">
        <v>827</v>
      </c>
      <c r="B419" s="54" t="s">
        <v>4677</v>
      </c>
      <c r="C419" s="54"/>
      <c r="D419" s="54"/>
      <c r="E419" s="170" t="s">
        <v>4490</v>
      </c>
      <c r="F419" s="54"/>
      <c r="G419" s="54"/>
      <c r="H419" s="157" t="s">
        <v>4543</v>
      </c>
      <c r="I419" s="157" t="s">
        <v>978</v>
      </c>
    </row>
    <row r="420" spans="1:9" x14ac:dyDescent="0.25">
      <c r="A420" s="188" t="s">
        <v>828</v>
      </c>
      <c r="B420" s="54" t="s">
        <v>4678</v>
      </c>
      <c r="C420" s="54"/>
      <c r="D420" s="54"/>
      <c r="E420" s="170" t="s">
        <v>4179</v>
      </c>
      <c r="F420" s="54"/>
      <c r="G420" s="54"/>
      <c r="H420" s="157" t="s">
        <v>4544</v>
      </c>
      <c r="I420" s="157" t="s">
        <v>829</v>
      </c>
    </row>
    <row r="421" spans="1:9" x14ac:dyDescent="0.25">
      <c r="A421" s="188" t="s">
        <v>831</v>
      </c>
      <c r="B421" s="54" t="s">
        <v>3743</v>
      </c>
      <c r="C421" s="54"/>
      <c r="D421" s="54"/>
      <c r="E421" s="170" t="s">
        <v>4492</v>
      </c>
      <c r="F421" s="54"/>
      <c r="G421" s="54"/>
      <c r="H421" s="157" t="s">
        <v>4544</v>
      </c>
      <c r="I421" s="157" t="s">
        <v>829</v>
      </c>
    </row>
    <row r="422" spans="1:9" x14ac:dyDescent="0.25">
      <c r="A422" s="188" t="s">
        <v>832</v>
      </c>
      <c r="B422" s="54" t="s">
        <v>3744</v>
      </c>
      <c r="C422" s="54"/>
      <c r="D422" s="54"/>
      <c r="E422" s="170" t="s">
        <v>4493</v>
      </c>
      <c r="F422" s="54"/>
      <c r="G422" s="54"/>
      <c r="H422" s="157" t="s">
        <v>4544</v>
      </c>
      <c r="I422" s="157" t="s">
        <v>829</v>
      </c>
    </row>
    <row r="423" spans="1:9" x14ac:dyDescent="0.25">
      <c r="A423" s="188" t="s">
        <v>834</v>
      </c>
      <c r="B423" s="54" t="s">
        <v>4679</v>
      </c>
      <c r="C423" s="54"/>
      <c r="D423" s="54"/>
      <c r="E423" s="170" t="s">
        <v>4182</v>
      </c>
      <c r="F423" s="54"/>
      <c r="G423" s="54"/>
      <c r="H423" s="157" t="s">
        <v>4543</v>
      </c>
      <c r="I423" s="157" t="s">
        <v>978</v>
      </c>
    </row>
    <row r="424" spans="1:9" x14ac:dyDescent="0.25">
      <c r="A424" s="188" t="s">
        <v>837</v>
      </c>
      <c r="B424" s="54" t="s">
        <v>3746</v>
      </c>
      <c r="C424" s="54"/>
      <c r="D424" s="54"/>
      <c r="E424" s="54" t="s">
        <v>4183</v>
      </c>
      <c r="F424" s="54"/>
      <c r="G424" s="54"/>
      <c r="H424" s="157" t="s">
        <v>4670</v>
      </c>
      <c r="I424" s="157" t="s">
        <v>829</v>
      </c>
    </row>
    <row r="425" spans="1:9" x14ac:dyDescent="0.25">
      <c r="A425" s="188" t="s">
        <v>838</v>
      </c>
      <c r="B425" s="54" t="s">
        <v>4680</v>
      </c>
      <c r="C425" s="170"/>
      <c r="D425" s="54"/>
      <c r="E425" s="54" t="s">
        <v>4184</v>
      </c>
      <c r="F425" s="19"/>
      <c r="G425" s="54"/>
      <c r="H425" s="157" t="s">
        <v>798</v>
      </c>
      <c r="I425" s="157" t="s">
        <v>829</v>
      </c>
    </row>
    <row r="426" spans="1:9" x14ac:dyDescent="0.25">
      <c r="A426" s="188" t="s">
        <v>839</v>
      </c>
      <c r="B426" s="54" t="s">
        <v>4681</v>
      </c>
      <c r="C426" s="54"/>
      <c r="D426" s="54"/>
      <c r="E426" s="170" t="s">
        <v>4682</v>
      </c>
      <c r="F426" s="54"/>
      <c r="G426" s="54"/>
      <c r="H426" s="157" t="s">
        <v>779</v>
      </c>
      <c r="I426" s="157" t="s">
        <v>978</v>
      </c>
    </row>
    <row r="427" spans="1:9" ht="15.75" thickBot="1" x14ac:dyDescent="0.3">
      <c r="A427" s="188" t="s">
        <v>841</v>
      </c>
      <c r="B427" s="54" t="s">
        <v>3748</v>
      </c>
      <c r="C427" s="54"/>
      <c r="D427" s="54"/>
      <c r="E427" s="179" t="s">
        <v>4186</v>
      </c>
      <c r="F427" s="54"/>
      <c r="G427" s="54"/>
      <c r="H427" s="157" t="s">
        <v>779</v>
      </c>
      <c r="I427" s="157" t="s">
        <v>978</v>
      </c>
    </row>
    <row r="428" spans="1:9" ht="15.75" thickBot="1" x14ac:dyDescent="0.3">
      <c r="A428" s="188" t="s">
        <v>842</v>
      </c>
      <c r="B428" s="54" t="s">
        <v>3749</v>
      </c>
      <c r="C428" s="54"/>
      <c r="D428" s="54"/>
      <c r="E428" s="179" t="s">
        <v>4494</v>
      </c>
      <c r="F428" s="179"/>
      <c r="G428" s="54"/>
      <c r="H428" s="157" t="s">
        <v>4544</v>
      </c>
      <c r="I428" s="157" t="s">
        <v>829</v>
      </c>
    </row>
    <row r="429" spans="1:9" x14ac:dyDescent="0.25">
      <c r="A429" s="188" t="s">
        <v>843</v>
      </c>
      <c r="B429" s="54" t="s">
        <v>3750</v>
      </c>
      <c r="C429" s="54"/>
      <c r="D429" s="54"/>
      <c r="E429" s="170" t="s">
        <v>4189</v>
      </c>
      <c r="F429" s="170"/>
      <c r="G429" s="54"/>
      <c r="H429" s="157" t="s">
        <v>4544</v>
      </c>
      <c r="I429" s="157" t="s">
        <v>829</v>
      </c>
    </row>
    <row r="430" spans="1:9" x14ac:dyDescent="0.25">
      <c r="A430" s="188" t="s">
        <v>844</v>
      </c>
      <c r="B430" s="54" t="s">
        <v>3751</v>
      </c>
      <c r="C430" s="54"/>
      <c r="D430" s="54"/>
      <c r="E430" s="180" t="s">
        <v>4683</v>
      </c>
      <c r="F430" s="54"/>
      <c r="G430" s="54"/>
      <c r="H430" s="157" t="s">
        <v>4545</v>
      </c>
      <c r="I430" s="157" t="s">
        <v>829</v>
      </c>
    </row>
    <row r="431" spans="1:9" x14ac:dyDescent="0.25">
      <c r="A431" s="188" t="s">
        <v>846</v>
      </c>
      <c r="B431" s="54" t="s">
        <v>4684</v>
      </c>
      <c r="C431" s="54"/>
      <c r="D431" s="54"/>
      <c r="E431" s="170" t="s">
        <v>4685</v>
      </c>
      <c r="F431" s="54"/>
      <c r="G431" s="54"/>
      <c r="H431" s="157" t="s">
        <v>4545</v>
      </c>
      <c r="I431" s="157" t="s">
        <v>829</v>
      </c>
    </row>
    <row r="432" spans="1:9" x14ac:dyDescent="0.25">
      <c r="A432" s="188" t="s">
        <v>1023</v>
      </c>
      <c r="B432" s="54" t="s">
        <v>4686</v>
      </c>
      <c r="C432" s="54"/>
      <c r="D432" s="54"/>
      <c r="E432" s="170" t="s">
        <v>4194</v>
      </c>
      <c r="F432" s="54"/>
      <c r="G432" s="54"/>
      <c r="H432" s="157" t="s">
        <v>4670</v>
      </c>
      <c r="I432" s="157" t="s">
        <v>829</v>
      </c>
    </row>
    <row r="433" spans="1:9" x14ac:dyDescent="0.25">
      <c r="A433" s="188" t="s">
        <v>2604</v>
      </c>
      <c r="B433" s="54" t="s">
        <v>3765</v>
      </c>
      <c r="C433" s="54"/>
      <c r="D433" s="54"/>
      <c r="E433" s="170"/>
      <c r="F433" s="54"/>
      <c r="G433" s="54"/>
      <c r="H433" s="157" t="s">
        <v>4670</v>
      </c>
      <c r="I433" s="157" t="s">
        <v>829</v>
      </c>
    </row>
    <row r="434" spans="1:9" x14ac:dyDescent="0.25">
      <c r="A434" s="188" t="s">
        <v>2610</v>
      </c>
      <c r="B434" s="54" t="s">
        <v>4175</v>
      </c>
      <c r="C434" s="54"/>
      <c r="D434" s="54"/>
      <c r="E434" s="170"/>
      <c r="F434" s="54"/>
      <c r="G434" s="54"/>
      <c r="H434" s="157" t="s">
        <v>4542</v>
      </c>
      <c r="I434" s="157" t="s">
        <v>978</v>
      </c>
    </row>
    <row r="435" spans="1:9" x14ac:dyDescent="0.25">
      <c r="A435" s="188" t="s">
        <v>2616</v>
      </c>
      <c r="B435" s="19" t="s">
        <v>4687</v>
      </c>
      <c r="C435" s="54"/>
      <c r="D435" s="54"/>
      <c r="E435" s="170"/>
      <c r="F435" s="54"/>
      <c r="G435" s="54"/>
      <c r="H435" s="157" t="s">
        <v>4542</v>
      </c>
      <c r="I435" s="157" t="s">
        <v>978</v>
      </c>
    </row>
    <row r="436" spans="1:9" x14ac:dyDescent="0.25">
      <c r="A436" s="188" t="s">
        <v>2619</v>
      </c>
      <c r="B436" s="19" t="s">
        <v>3771</v>
      </c>
      <c r="C436" s="54"/>
      <c r="D436" s="54"/>
      <c r="E436" s="170"/>
      <c r="F436" s="54"/>
      <c r="G436" s="54"/>
      <c r="H436" s="157" t="s">
        <v>4542</v>
      </c>
      <c r="I436" s="157" t="s">
        <v>978</v>
      </c>
    </row>
    <row r="437" spans="1:9" x14ac:dyDescent="0.25">
      <c r="A437" s="188" t="s">
        <v>2625</v>
      </c>
      <c r="B437" s="54" t="s">
        <v>3772</v>
      </c>
      <c r="C437" s="54"/>
      <c r="D437" s="54"/>
      <c r="E437" s="170" t="s">
        <v>4198</v>
      </c>
      <c r="F437" s="54"/>
      <c r="G437" s="54"/>
      <c r="H437" s="157" t="s">
        <v>4545</v>
      </c>
      <c r="I437" s="157" t="s">
        <v>829</v>
      </c>
    </row>
    <row r="438" spans="1:9" x14ac:dyDescent="0.25">
      <c r="A438" s="188" t="s">
        <v>2628</v>
      </c>
      <c r="B438" s="54" t="s">
        <v>4688</v>
      </c>
      <c r="C438" s="54"/>
      <c r="D438" s="54"/>
      <c r="E438" s="170" t="s">
        <v>4199</v>
      </c>
      <c r="F438" s="54"/>
      <c r="G438" s="54"/>
      <c r="H438" s="157" t="s">
        <v>4545</v>
      </c>
      <c r="I438" s="157" t="s">
        <v>829</v>
      </c>
    </row>
    <row r="439" spans="1:9" x14ac:dyDescent="0.25">
      <c r="A439" s="189" t="s">
        <v>4912</v>
      </c>
      <c r="B439" s="54" t="s">
        <v>4424</v>
      </c>
      <c r="C439" s="54"/>
      <c r="D439" s="54"/>
      <c r="E439" s="170"/>
      <c r="F439" s="158"/>
      <c r="G439" s="158"/>
      <c r="H439" s="157" t="s">
        <v>4541</v>
      </c>
      <c r="I439" s="157" t="s">
        <v>2756</v>
      </c>
    </row>
    <row r="440" spans="1:9" x14ac:dyDescent="0.25">
      <c r="A440" s="189" t="s">
        <v>4913</v>
      </c>
      <c r="B440" s="54" t="s">
        <v>2692</v>
      </c>
      <c r="C440" s="54"/>
      <c r="D440" s="54"/>
      <c r="E440" s="170" t="s">
        <v>4689</v>
      </c>
      <c r="F440" s="158"/>
      <c r="G440" s="158"/>
      <c r="H440" s="157" t="s">
        <v>4666</v>
      </c>
      <c r="I440" s="157" t="s">
        <v>829</v>
      </c>
    </row>
    <row r="441" spans="1:9" x14ac:dyDescent="0.25">
      <c r="A441" s="189" t="s">
        <v>4914</v>
      </c>
      <c r="B441" s="54" t="s">
        <v>4191</v>
      </c>
      <c r="C441" s="54"/>
      <c r="D441" s="54"/>
      <c r="E441" s="170" t="s">
        <v>4690</v>
      </c>
      <c r="F441" s="158"/>
      <c r="G441" s="158"/>
      <c r="H441" s="157" t="s">
        <v>4545</v>
      </c>
      <c r="I441" s="157" t="s">
        <v>829</v>
      </c>
    </row>
    <row r="442" spans="1:9" x14ac:dyDescent="0.25">
      <c r="A442" s="189" t="s">
        <v>4915</v>
      </c>
      <c r="B442" s="54" t="s">
        <v>4691</v>
      </c>
      <c r="C442" s="54"/>
      <c r="D442" s="54"/>
      <c r="E442" s="170" t="s">
        <v>4692</v>
      </c>
      <c r="F442" s="158"/>
      <c r="G442" s="158"/>
      <c r="H442" s="157" t="s">
        <v>4666</v>
      </c>
      <c r="I442" s="157" t="s">
        <v>829</v>
      </c>
    </row>
    <row r="443" spans="1:9" x14ac:dyDescent="0.25">
      <c r="A443" s="189" t="s">
        <v>4916</v>
      </c>
      <c r="B443" s="54" t="e">
        <v>#N/A</v>
      </c>
      <c r="C443" s="54"/>
      <c r="D443" s="54"/>
      <c r="E443" s="170"/>
      <c r="F443" s="158"/>
      <c r="G443" s="158"/>
      <c r="H443" s="157" t="s">
        <v>4544</v>
      </c>
      <c r="I443" s="157" t="s">
        <v>829</v>
      </c>
    </row>
    <row r="444" spans="1:9" x14ac:dyDescent="0.25">
      <c r="A444" s="189" t="s">
        <v>4917</v>
      </c>
      <c r="B444" s="54" t="s">
        <v>4693</v>
      </c>
      <c r="C444" s="54"/>
      <c r="D444" s="54"/>
      <c r="E444" s="170" t="s">
        <v>4190</v>
      </c>
      <c r="F444" s="158"/>
      <c r="G444" s="158"/>
      <c r="H444" s="157" t="s">
        <v>4545</v>
      </c>
      <c r="I444" s="157" t="s">
        <v>829</v>
      </c>
    </row>
  </sheetData>
  <sortState ref="A2:I444">
    <sortCondition ref="A4"/>
  </sortState>
  <hyperlinks>
    <hyperlink ref="B244" r:id="rId1" display="mailto:sharvan.kumar@ujjivan.com" xr:uid="{00000000-0004-0000-0900-000000000000}"/>
    <hyperlink ref="E154" r:id="rId2" display="mailto:rohitash.meena@ujjivan.com" xr:uid="{00000000-0004-0000-0900-000001000000}"/>
    <hyperlink ref="E213" r:id="rId3" display="mailto:ravi.kumarkarodia@ujjivan.com" xr:uid="{00000000-0004-0000-0900-000002000000}"/>
    <hyperlink ref="B241" r:id="rId4" display="mailto:kalu.ram@ujjivan.com" xr:uid="{00000000-0004-0000-0900-000003000000}"/>
    <hyperlink ref="E241" r:id="rId5" display="mailto:akash.saxena@ujjivan.com" xr:uid="{00000000-0004-0000-0900-000004000000}"/>
    <hyperlink ref="E205" r:id="rId6" display="mailto:anandkumar.kunar@ujjivan.com" xr:uid="{00000000-0004-0000-0900-000005000000}"/>
    <hyperlink ref="H136" r:id="rId7" xr:uid="{00000000-0004-0000-0900-000006000000}"/>
    <hyperlink ref="H137" r:id="rId8" xr:uid="{00000000-0004-0000-0900-000007000000}"/>
    <hyperlink ref="B68" r:id="rId9" display="mailto:nagaraja.paneer@ujjivan.com" xr:uid="{00000000-0004-0000-0900-000008000000}"/>
    <hyperlink ref="E68" r:id="rId10" display="mailto:sethupandiaraj.m@ujjivan.com" xr:uid="{00000000-0004-0000-0900-000009000000}"/>
    <hyperlink ref="B40" r:id="rId11" xr:uid="{00000000-0004-0000-0900-00000A000000}"/>
    <hyperlink ref="B358" r:id="rId12" display="mailto:mahesh.singh@ujjivan.com" xr:uid="{00000000-0004-0000-0900-00000B000000}"/>
    <hyperlink ref="H359" r:id="rId13" xr:uid="{00000000-0004-0000-0900-00000C000000}"/>
    <hyperlink ref="H360" r:id="rId14" xr:uid="{00000000-0004-0000-0900-00000D000000}"/>
    <hyperlink ref="H433:H437" r:id="rId15" display="suman.chakraborty@ujjivan.com" xr:uid="{00000000-0004-0000-0900-00000E000000}"/>
    <hyperlink ref="E305" r:id="rId16" xr:uid="{00000000-0004-0000-0900-00000F000000}"/>
    <hyperlink ref="F338" r:id="rId17" xr:uid="{00000000-0004-0000-0900-000010000000}"/>
    <hyperlink ref="E357" r:id="rId18" display="mailto:deepak.prince@ujjivan.com" xr:uid="{00000000-0004-0000-0900-000011000000}"/>
    <hyperlink ref="E358" r:id="rId19" display="mailto:sudhir.kumar266@ujjivan.com" xr:uid="{00000000-0004-0000-0900-000012000000}"/>
    <hyperlink ref="F358" r:id="rId20" display="mailto:rajan.kumar645@ujjivan.com" xr:uid="{00000000-0004-0000-0900-000013000000}"/>
    <hyperlink ref="E286" r:id="rId21" xr:uid="{00000000-0004-0000-0900-000014000000}"/>
    <hyperlink ref="B359" r:id="rId22" xr:uid="{00000000-0004-0000-0900-000015000000}"/>
    <hyperlink ref="C359" r:id="rId23" xr:uid="{00000000-0004-0000-0900-000016000000}"/>
    <hyperlink ref="E364" r:id="rId24" xr:uid="{00000000-0004-0000-0900-000017000000}"/>
    <hyperlink ref="F365" r:id="rId25" xr:uid="{00000000-0004-0000-0900-000018000000}"/>
    <hyperlink ref="F367" r:id="rId26" xr:uid="{00000000-0004-0000-0900-000019000000}"/>
    <hyperlink ref="E351" r:id="rId27" xr:uid="{00000000-0004-0000-0900-00001A000000}"/>
    <hyperlink ref="E353" r:id="rId28" xr:uid="{00000000-0004-0000-0900-00001B000000}"/>
    <hyperlink ref="E312" r:id="rId29" display="mailto:debashish.sarkar@ujjivan.com" xr:uid="{00000000-0004-0000-0900-00001C000000}"/>
    <hyperlink ref="B291" r:id="rId30" display="nirmal.ghosh@ujjivan.com" xr:uid="{00000000-0004-0000-0900-00001D000000}"/>
    <hyperlink ref="E318" r:id="rId31" xr:uid="{00000000-0004-0000-0900-00001E000000}"/>
    <hyperlink ref="F305" r:id="rId32" xr:uid="{00000000-0004-0000-0900-00001F000000}"/>
    <hyperlink ref="B305" r:id="rId33" xr:uid="{00000000-0004-0000-0900-000020000000}"/>
    <hyperlink ref="I373" r:id="rId34" xr:uid="{00000000-0004-0000-0900-000021000000}"/>
    <hyperlink ref="I439:I441" r:id="rId35" display="santanu.dey@ujjivan.com" xr:uid="{00000000-0004-0000-0900-000022000000}"/>
    <hyperlink ref="I420:I424" r:id="rId36" display="santanu.dey@ujjivan.com" xr:uid="{00000000-0004-0000-0900-000023000000}"/>
    <hyperlink ref="I339" r:id="rId37" xr:uid="{00000000-0004-0000-0900-000024000000}"/>
    <hyperlink ref="I385:I386" r:id="rId38" display="santanu.dey@ujjivan.com" xr:uid="{00000000-0004-0000-0900-000025000000}"/>
    <hyperlink ref="I379:I380" r:id="rId39" display="santanu.dey@ujjivan.com" xr:uid="{00000000-0004-0000-0900-000026000000}"/>
    <hyperlink ref="I280" r:id="rId40" xr:uid="{00000000-0004-0000-0900-000027000000}"/>
    <hyperlink ref="I276" r:id="rId41" xr:uid="{00000000-0004-0000-0900-000028000000}"/>
    <hyperlink ref="I311" r:id="rId42" xr:uid="{00000000-0004-0000-0900-000029000000}"/>
    <hyperlink ref="I377:I378" r:id="rId43" display="rajdeep.bhaduri@ujjivan.com" xr:uid="{00000000-0004-0000-0900-00002A000000}"/>
    <hyperlink ref="I303" r:id="rId44" xr:uid="{00000000-0004-0000-0900-00002B000000}"/>
    <hyperlink ref="I365:I369" r:id="rId45" display="rajdeep.bhaduri@ujjivan.com" xr:uid="{00000000-0004-0000-0900-00002C000000}"/>
    <hyperlink ref="I359:I361" r:id="rId46" display="rajdeep.bhaduri@ujjivan.com" xr:uid="{00000000-0004-0000-0900-00002D000000}"/>
    <hyperlink ref="I344" r:id="rId47" xr:uid="{00000000-0004-0000-0900-00002E000000}"/>
    <hyperlink ref="I397:I398" r:id="rId48" display="mithun.chakraborty@ujjivan.com" xr:uid="{00000000-0004-0000-0900-00002F000000}"/>
    <hyperlink ref="I389:I393" r:id="rId49" display="mithun.chakraborty@ujjivan.com" xr:uid="{00000000-0004-0000-0900-000030000000}"/>
    <hyperlink ref="I312" r:id="rId50" xr:uid="{00000000-0004-0000-0900-000031000000}"/>
    <hyperlink ref="I430:I438" r:id="rId51" display="indrajit.baishya@ujjivan.com" xr:uid="{00000000-0004-0000-0900-000032000000}"/>
    <hyperlink ref="I412:I413" r:id="rId52" display="indrajit.baishya@ujjivan.com" xr:uid="{00000000-0004-0000-0900-000033000000}"/>
    <hyperlink ref="I407:I408" r:id="rId53" display="indrajit.baishya@ujjivan.com" xr:uid="{00000000-0004-0000-0900-000034000000}"/>
    <hyperlink ref="I329" r:id="rId54" xr:uid="{00000000-0004-0000-0900-000035000000}"/>
    <hyperlink ref="I394:I396" r:id="rId55" display="indrajit.baishya@ujjivan.com" xr:uid="{00000000-0004-0000-0900-000036000000}"/>
    <hyperlink ref="I359" r:id="rId56" xr:uid="{00000000-0004-0000-0900-000037000000}"/>
    <hyperlink ref="I400:I402" r:id="rId57" display="ashish.das@ujjivan.com" xr:uid="{00000000-0004-0000-0900-000038000000}"/>
    <hyperlink ref="I318" r:id="rId58" xr:uid="{00000000-0004-0000-0900-000039000000}"/>
    <hyperlink ref="I374:I375" r:id="rId59" display="ashish.das@ujjivan.com" xr:uid="{00000000-0004-0000-0900-00003A000000}"/>
    <hyperlink ref="I294" r:id="rId60" xr:uid="{00000000-0004-0000-0900-00003B000000}"/>
    <hyperlink ref="I355:I357" r:id="rId61" display="ashish.das@ujjivan.com" xr:uid="{00000000-0004-0000-0900-00003C000000}"/>
    <hyperlink ref="I281" r:id="rId62" xr:uid="{00000000-0004-0000-0900-00003D000000}"/>
    <hyperlink ref="I347:I349" r:id="rId63" display="ashish.das@ujjivan.com" xr:uid="{00000000-0004-0000-0900-00003E000000}"/>
    <hyperlink ref="I275" r:id="rId64" xr:uid="{00000000-0004-0000-0900-00003F000000}"/>
    <hyperlink ref="I337:I338" r:id="rId65" display="ashish.das@ujjivan.com" xr:uid="{00000000-0004-0000-0900-000040000000}"/>
    <hyperlink ref="I355" r:id="rId66" xr:uid="{00000000-0004-0000-0900-000041000000}"/>
    <hyperlink ref="I374" r:id="rId67" xr:uid="{00000000-0004-0000-0900-000042000000}"/>
    <hyperlink ref="I372" r:id="rId68" xr:uid="{00000000-0004-0000-0900-000043000000}"/>
    <hyperlink ref="I426:I428" r:id="rId69" display="amit.kumar@ujjivan.com" xr:uid="{00000000-0004-0000-0900-000044000000}"/>
    <hyperlink ref="I415:I419" r:id="rId70" display="amit.kumar@ujjivan.com" xr:uid="{00000000-0004-0000-0900-000045000000}"/>
    <hyperlink ref="I410:I411" r:id="rId71" display="amit.kumar@ujjivan.com" xr:uid="{00000000-0004-0000-0900-000046000000}"/>
    <hyperlink ref="I403:I406" r:id="rId72" display="amit.kumar@ujjivan.com" xr:uid="{00000000-0004-0000-0900-000047000000}"/>
    <hyperlink ref="I317" r:id="rId73" xr:uid="{00000000-0004-0000-0900-000048000000}"/>
    <hyperlink ref="I383:I384" r:id="rId74" display="amit.kumar@ujjivan.com" xr:uid="{00000000-0004-0000-0900-000049000000}"/>
    <hyperlink ref="I306" r:id="rId75" xr:uid="{00000000-0004-0000-0900-00004A000000}"/>
    <hyperlink ref="I370:I372" r:id="rId76" display="amit.kumar@ujjivan.com" xr:uid="{00000000-0004-0000-0900-00004B000000}"/>
    <hyperlink ref="I362:I363" r:id="rId77" display="amit.kumar@ujjivan.com" xr:uid="{00000000-0004-0000-0900-00004C000000}"/>
    <hyperlink ref="I288" r:id="rId78" xr:uid="{00000000-0004-0000-0900-00004D000000}"/>
    <hyperlink ref="I352:I354" r:id="rId79" display="amit.kumar@ujjivan.com" xr:uid="{00000000-0004-0000-0900-00004E000000}"/>
    <hyperlink ref="I274" r:id="rId80" xr:uid="{00000000-0004-0000-0900-00004F000000}"/>
    <hyperlink ref="I273" r:id="rId81" xr:uid="{00000000-0004-0000-0900-000050000000}"/>
    <hyperlink ref="I339:I342" r:id="rId82" display="santanu.dey@ujjivan.com" xr:uid="{00000000-0004-0000-0900-000051000000}"/>
    <hyperlink ref="I265" r:id="rId83" xr:uid="{00000000-0004-0000-0900-000052000000}"/>
    <hyperlink ref="I266" r:id="rId84" xr:uid="{00000000-0004-0000-0900-000053000000}"/>
    <hyperlink ref="I264" r:id="rId85" xr:uid="{00000000-0004-0000-0900-000054000000}"/>
    <hyperlink ref="I261" r:id="rId86" xr:uid="{00000000-0004-0000-0900-000055000000}"/>
    <hyperlink ref="I332:I333" r:id="rId87" display="rajdeep.bhaduri@ujjivan.com" xr:uid="{00000000-0004-0000-0900-000056000000}"/>
    <hyperlink ref="I328:I330" r:id="rId88" display="rajdeep.bhaduri@ujjivan.com" xr:uid="{00000000-0004-0000-0900-000057000000}"/>
    <hyperlink ref="I257" r:id="rId89" xr:uid="{00000000-0004-0000-0900-000058000000}"/>
    <hyperlink ref="I320:I326" r:id="rId90" display="santanu.dey@ujjivan.com" xr:uid="{00000000-0004-0000-0900-000059000000}"/>
    <hyperlink ref="I248" r:id="rId91" xr:uid="{00000000-0004-0000-0900-00005A000000}"/>
    <hyperlink ref="I249" r:id="rId92" xr:uid="{00000000-0004-0000-0900-00005B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RDBMailOutlook (2)</vt:lpstr>
      <vt:lpstr>Sheet3</vt:lpstr>
      <vt:lpstr>Sheet4</vt:lpstr>
      <vt:lpstr>Sheet5</vt:lpstr>
      <vt:lpstr>Sheet6</vt:lpstr>
      <vt:lpstr>Sheet7</vt:lpstr>
      <vt:lpstr>Sheet8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vivek krishna</dc:creator>
  <cp:lastModifiedBy>Pullareddigaru.Karunakar</cp:lastModifiedBy>
  <dcterms:created xsi:type="dcterms:W3CDTF">2006-09-16T00:00:00Z</dcterms:created>
  <dcterms:modified xsi:type="dcterms:W3CDTF">2021-12-02T23:44:52Z</dcterms:modified>
</cp:coreProperties>
</file>